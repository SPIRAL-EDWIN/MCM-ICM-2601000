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1595" windowHeight="3855"/>
  </bookViews>
  <sheets>
    <sheet name="多分类圆角圆环图" sheetId="1" r:id="rId1"/>
  </sheets>
  <calcPr calcId="145621" concurrentCalc="0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K12" i="1"/>
  <c r="G15" i="1"/>
  <c r="AC368" i="1"/>
  <c r="K11" i="1"/>
  <c r="AB368" i="1"/>
  <c r="K10" i="1"/>
  <c r="AA368" i="1"/>
  <c r="K9" i="1"/>
  <c r="Z368" i="1"/>
  <c r="K8" i="1"/>
  <c r="Y368" i="1"/>
  <c r="K7" i="1"/>
  <c r="X368" i="1"/>
  <c r="K6" i="1"/>
  <c r="W368" i="1"/>
  <c r="K5" i="1"/>
  <c r="V368" i="1"/>
  <c r="U368" i="1"/>
  <c r="T368" i="1"/>
  <c r="S368" i="1"/>
  <c r="R368" i="1"/>
  <c r="Q368" i="1"/>
  <c r="P368" i="1"/>
  <c r="O368" i="1"/>
  <c r="N368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AC279" i="1"/>
  <c r="AB279" i="1"/>
  <c r="AA279" i="1"/>
  <c r="Z279" i="1"/>
  <c r="Y279" i="1"/>
  <c r="X279" i="1"/>
  <c r="W279" i="1"/>
  <c r="V279" i="1"/>
  <c r="O5" i="1"/>
  <c r="P5" i="1"/>
  <c r="Q5" i="1"/>
  <c r="R5" i="1"/>
  <c r="S5" i="1"/>
  <c r="T5" i="1"/>
  <c r="U5" i="1"/>
  <c r="U279" i="1"/>
  <c r="T279" i="1"/>
  <c r="S279" i="1"/>
  <c r="R279" i="1"/>
  <c r="Q279" i="1"/>
  <c r="P279" i="1"/>
  <c r="O279" i="1"/>
  <c r="N279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AC225" i="1"/>
  <c r="AB225" i="1"/>
  <c r="AA225" i="1"/>
  <c r="Z225" i="1"/>
  <c r="Y225" i="1"/>
  <c r="X225" i="1"/>
  <c r="W5" i="1"/>
  <c r="W225" i="1"/>
  <c r="V225" i="1"/>
  <c r="U225" i="1"/>
  <c r="T225" i="1"/>
  <c r="S225" i="1"/>
  <c r="R225" i="1"/>
  <c r="Q225" i="1"/>
  <c r="P225" i="1"/>
  <c r="O225" i="1"/>
  <c r="N225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AC219" i="1"/>
  <c r="AB219" i="1"/>
  <c r="AA219" i="1"/>
  <c r="Z219" i="1"/>
  <c r="Y219" i="1"/>
  <c r="X5" i="1"/>
  <c r="X219" i="1"/>
  <c r="W219" i="1"/>
  <c r="V219" i="1"/>
  <c r="U219" i="1"/>
  <c r="T219" i="1"/>
  <c r="S219" i="1"/>
  <c r="R219" i="1"/>
  <c r="Q219" i="1"/>
  <c r="P219" i="1"/>
  <c r="O219" i="1"/>
  <c r="N219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AC206" i="1"/>
  <c r="AB206" i="1"/>
  <c r="AA206" i="1"/>
  <c r="Z206" i="1"/>
  <c r="Y5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AC173" i="1"/>
  <c r="AB173" i="1"/>
  <c r="AA173" i="1"/>
  <c r="Z5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AC143" i="1"/>
  <c r="AB143" i="1"/>
  <c r="AA5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AC135" i="1"/>
  <c r="AB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AC5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J12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J11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J10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J9" i="1"/>
  <c r="J8" i="1"/>
  <c r="J7" i="1"/>
  <c r="J6" i="1"/>
  <c r="J5" i="1"/>
  <c r="V7" i="1"/>
  <c r="V8" i="1"/>
  <c r="W8" i="1"/>
  <c r="X8" i="1"/>
  <c r="Y8" i="1"/>
  <c r="Z8" i="1"/>
  <c r="AA8" i="1"/>
  <c r="AB8" i="1"/>
  <c r="AC8" i="1"/>
  <c r="W7" i="1"/>
  <c r="X7" i="1"/>
  <c r="Y7" i="1"/>
  <c r="Z7" i="1"/>
  <c r="AA7" i="1"/>
  <c r="AB7" i="1"/>
  <c r="V8" i="1" a="1"/>
  <c r="AC7" i="1"/>
</calcChain>
</file>

<file path=xl/sharedStrings.xml><?xml version="1.0" encoding="utf-8"?>
<sst xmlns="http://schemas.openxmlformats.org/spreadsheetml/2006/main" count="40" uniqueCount="30">
  <si>
    <t>地区</t>
  </si>
  <si>
    <t>指标</t>
  </si>
  <si>
    <t>辅助</t>
  </si>
  <si>
    <t>排序</t>
  </si>
  <si>
    <t>作图数据</t>
  </si>
  <si>
    <t>北京</t>
  </si>
  <si>
    <t>值</t>
  </si>
  <si>
    <t>上海</t>
  </si>
  <si>
    <t>引用</t>
  </si>
  <si>
    <t>广州</t>
  </si>
  <si>
    <t>南京</t>
  </si>
  <si>
    <t>汕头</t>
  </si>
  <si>
    <t>天津</t>
  </si>
  <si>
    <t>成都</t>
  </si>
  <si>
    <t>深圳</t>
  </si>
  <si>
    <t>数据标签</t>
  </si>
  <si>
    <t>辅助1</t>
  </si>
  <si>
    <t>辅助2</t>
  </si>
  <si>
    <t>辅助3</t>
  </si>
  <si>
    <t>辅助4</t>
  </si>
  <si>
    <t>辅助5</t>
  </si>
  <si>
    <t>辅助6</t>
  </si>
  <si>
    <t>辅助7</t>
  </si>
  <si>
    <t>辅助8</t>
  </si>
  <si>
    <t xml:space="preserve"> </t>
  </si>
  <si>
    <t>弧度</t>
  </si>
  <si>
    <t>作图思路</t>
  </si>
  <si>
    <t>与玫瑰图一样，需要构建360个数据才可以圆</t>
  </si>
  <si>
    <t>只有线条才可以设置圆角</t>
  </si>
  <si>
    <t>所以这里使用线条加粗制作的圆环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</si>
</sst>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2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8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2" applyFont="1">
      <alignment vertical="center"/>
    </xf>
    <xf numFmtId="0" fontId="1" fillId="0" borderId="0" xfId="2" applyFont="1" applyBorder="1" applyAlignment="1">
      <alignment horizontal="right" vertical="center"/>
    </xf>
    <xf numFmtId="176" fontId="1" fillId="0" borderId="0" xfId="2" applyNumberFormat="1" applyFont="1" applyBorder="1" applyAlignment="1">
      <alignment horizontal="left" vertical="center"/>
    </xf>
    <xf numFmtId="176" fontId="1" fillId="0" borderId="0" xfId="2" applyNumberFormat="1" applyFont="1" applyBorder="1" applyAlignment="1">
      <alignment horizontal="right" vertical="center"/>
    </xf>
    <xf numFmtId="0" fontId="1" fillId="0" borderId="0" xfId="2" applyFont="1" applyBorder="1">
      <alignment vertical="center"/>
    </xf>
    <xf numFmtId="0" fontId="2" fillId="0" borderId="0" xfId="1" applyFont="1">
      <alignment vertical="center"/>
    </xf>
    <xf numFmtId="0" fontId="3" fillId="2" borderId="0" xfId="0" applyFont="1" applyFill="1" applyBorder="1" applyAlignment="1">
      <alignment horizontal="right" vertical="center"/>
    </xf>
    <xf numFmtId="0" fontId="4" fillId="0" borderId="0" xfId="3" applyFont="1" applyBorder="1" applyAlignment="1">
      <alignment horizontal="right" vertical="center"/>
    </xf>
    <xf numFmtId="0" fontId="5" fillId="3" borderId="0" xfId="2" applyFont="1" applyFill="1" applyBorder="1" applyAlignment="1">
      <alignment horizontal="right" vertical="center"/>
    </xf>
    <xf numFmtId="0" fontId="6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right" vertical="top"/>
    </xf>
    <xf numFmtId="0" fontId="5" fillId="3" borderId="0" xfId="2" applyFont="1" applyFill="1" applyBorder="1" applyAlignment="1">
      <alignment horizontal="left" vertical="center"/>
    </xf>
    <xf numFmtId="0" fontId="4" fillId="0" borderId="0" xfId="3" applyFont="1" applyBorder="1" applyAlignment="1">
      <alignment horizontal="left" vertical="center"/>
    </xf>
    <xf numFmtId="0" fontId="7" fillId="4" borderId="0" xfId="2" applyFont="1" applyFill="1" applyBorder="1" applyAlignment="1">
      <alignment horizontal="right" vertical="center"/>
    </xf>
    <xf numFmtId="0" fontId="7" fillId="4" borderId="0" xfId="2" applyFont="1" applyFill="1" applyBorder="1" applyAlignment="1">
      <alignment horizontal="left" vertical="center"/>
    </xf>
    <xf numFmtId="0" fontId="6" fillId="0" borderId="0" xfId="2" quotePrefix="1" applyFont="1" applyBorder="1" applyAlignment="1">
      <alignment horizontal="left" vertical="top"/>
    </xf>
  </cellXfs>
  <cellStyles count="4">
    <cellStyle name="常规" xfId="0" builtinId="0"/>
    <cellStyle name="常规 2" xfId="3"/>
    <cellStyle name="常规 2 2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11074956671499E-2"/>
          <c:y val="8.3026814631580098E-2"/>
          <c:w val="0.91781518613663005"/>
          <c:h val="0.89195654164345295"/>
        </c:manualLayout>
      </c:layout>
      <c:radarChart>
        <c:radarStyle val="marker"/>
        <c:varyColors val="0"/>
        <c:ser>
          <c:idx val="8"/>
          <c:order val="8"/>
          <c:spPr>
            <a:ln w="1524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多分类圆角圆环图!$N$9:$N$368</c:f>
              <c:numCache>
                <c:formatCode>General</c:formatCode>
                <c:ptCount val="3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D8-49F9-8E94-E35F3E83A371}"/>
            </c:ext>
          </c:extLst>
        </c:ser>
        <c:ser>
          <c:idx val="9"/>
          <c:order val="9"/>
          <c:spPr>
            <a:ln w="1524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多分类圆角圆环图!$O$9:$O$368</c:f>
              <c:numCache>
                <c:formatCode>General</c:formatCode>
                <c:ptCount val="360"/>
                <c:pt idx="0">
                  <c:v>8.8000000000000007</c:v>
                </c:pt>
                <c:pt idx="1">
                  <c:v>8.8000000000000007</c:v>
                </c:pt>
                <c:pt idx="2">
                  <c:v>8.8000000000000007</c:v>
                </c:pt>
                <c:pt idx="3">
                  <c:v>8.8000000000000007</c:v>
                </c:pt>
                <c:pt idx="4">
                  <c:v>8.8000000000000007</c:v>
                </c:pt>
                <c:pt idx="5">
                  <c:v>8.8000000000000007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8.8000000000000007</c:v>
                </c:pt>
                <c:pt idx="10">
                  <c:v>8.8000000000000007</c:v>
                </c:pt>
                <c:pt idx="11">
                  <c:v>8.8000000000000007</c:v>
                </c:pt>
                <c:pt idx="12">
                  <c:v>8.8000000000000007</c:v>
                </c:pt>
                <c:pt idx="13">
                  <c:v>8.8000000000000007</c:v>
                </c:pt>
                <c:pt idx="14">
                  <c:v>8.8000000000000007</c:v>
                </c:pt>
                <c:pt idx="15">
                  <c:v>8.8000000000000007</c:v>
                </c:pt>
                <c:pt idx="16">
                  <c:v>8.8000000000000007</c:v>
                </c:pt>
                <c:pt idx="17">
                  <c:v>8.8000000000000007</c:v>
                </c:pt>
                <c:pt idx="18">
                  <c:v>8.8000000000000007</c:v>
                </c:pt>
                <c:pt idx="19">
                  <c:v>8.8000000000000007</c:v>
                </c:pt>
                <c:pt idx="20">
                  <c:v>8.8000000000000007</c:v>
                </c:pt>
                <c:pt idx="21">
                  <c:v>8.8000000000000007</c:v>
                </c:pt>
                <c:pt idx="22">
                  <c:v>8.8000000000000007</c:v>
                </c:pt>
                <c:pt idx="23">
                  <c:v>8.8000000000000007</c:v>
                </c:pt>
                <c:pt idx="24">
                  <c:v>8.8000000000000007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8.8000000000000007</c:v>
                </c:pt>
                <c:pt idx="30">
                  <c:v>8.8000000000000007</c:v>
                </c:pt>
                <c:pt idx="31">
                  <c:v>8.8000000000000007</c:v>
                </c:pt>
                <c:pt idx="32">
                  <c:v>8.8000000000000007</c:v>
                </c:pt>
                <c:pt idx="33">
                  <c:v>8.8000000000000007</c:v>
                </c:pt>
                <c:pt idx="34">
                  <c:v>8.8000000000000007</c:v>
                </c:pt>
                <c:pt idx="35">
                  <c:v>8.8000000000000007</c:v>
                </c:pt>
                <c:pt idx="36">
                  <c:v>8.8000000000000007</c:v>
                </c:pt>
                <c:pt idx="37">
                  <c:v>8.8000000000000007</c:v>
                </c:pt>
                <c:pt idx="38">
                  <c:v>8.8000000000000007</c:v>
                </c:pt>
                <c:pt idx="39">
                  <c:v>8.8000000000000007</c:v>
                </c:pt>
                <c:pt idx="40">
                  <c:v>8.8000000000000007</c:v>
                </c:pt>
                <c:pt idx="41">
                  <c:v>8.8000000000000007</c:v>
                </c:pt>
                <c:pt idx="42">
                  <c:v>8.8000000000000007</c:v>
                </c:pt>
                <c:pt idx="43">
                  <c:v>8.8000000000000007</c:v>
                </c:pt>
                <c:pt idx="44">
                  <c:v>8.8000000000000007</c:v>
                </c:pt>
                <c:pt idx="45">
                  <c:v>8.8000000000000007</c:v>
                </c:pt>
                <c:pt idx="46">
                  <c:v>8.8000000000000007</c:v>
                </c:pt>
                <c:pt idx="47">
                  <c:v>8.8000000000000007</c:v>
                </c:pt>
                <c:pt idx="48">
                  <c:v>8.8000000000000007</c:v>
                </c:pt>
                <c:pt idx="49">
                  <c:v>8.8000000000000007</c:v>
                </c:pt>
                <c:pt idx="50">
                  <c:v>8.8000000000000007</c:v>
                </c:pt>
                <c:pt idx="51">
                  <c:v>8.8000000000000007</c:v>
                </c:pt>
                <c:pt idx="52">
                  <c:v>8.8000000000000007</c:v>
                </c:pt>
                <c:pt idx="53">
                  <c:v>8.8000000000000007</c:v>
                </c:pt>
                <c:pt idx="54">
                  <c:v>8.8000000000000007</c:v>
                </c:pt>
                <c:pt idx="55">
                  <c:v>8.8000000000000007</c:v>
                </c:pt>
                <c:pt idx="56">
                  <c:v>8.8000000000000007</c:v>
                </c:pt>
                <c:pt idx="57">
                  <c:v>8.8000000000000007</c:v>
                </c:pt>
                <c:pt idx="58">
                  <c:v>8.8000000000000007</c:v>
                </c:pt>
                <c:pt idx="59">
                  <c:v>8.8000000000000007</c:v>
                </c:pt>
                <c:pt idx="60">
                  <c:v>8.8000000000000007</c:v>
                </c:pt>
                <c:pt idx="61">
                  <c:v>8.8000000000000007</c:v>
                </c:pt>
                <c:pt idx="62">
                  <c:v>8.8000000000000007</c:v>
                </c:pt>
                <c:pt idx="63">
                  <c:v>8.8000000000000007</c:v>
                </c:pt>
                <c:pt idx="64">
                  <c:v>8.8000000000000007</c:v>
                </c:pt>
                <c:pt idx="65">
                  <c:v>8.8000000000000007</c:v>
                </c:pt>
                <c:pt idx="66">
                  <c:v>8.8000000000000007</c:v>
                </c:pt>
                <c:pt idx="67">
                  <c:v>8.8000000000000007</c:v>
                </c:pt>
                <c:pt idx="68">
                  <c:v>8.8000000000000007</c:v>
                </c:pt>
                <c:pt idx="69">
                  <c:v>8.8000000000000007</c:v>
                </c:pt>
                <c:pt idx="70">
                  <c:v>8.8000000000000007</c:v>
                </c:pt>
                <c:pt idx="71">
                  <c:v>8.8000000000000007</c:v>
                </c:pt>
                <c:pt idx="72">
                  <c:v>8.8000000000000007</c:v>
                </c:pt>
                <c:pt idx="73">
                  <c:v>8.8000000000000007</c:v>
                </c:pt>
                <c:pt idx="74">
                  <c:v>8.8000000000000007</c:v>
                </c:pt>
                <c:pt idx="75">
                  <c:v>8.8000000000000007</c:v>
                </c:pt>
                <c:pt idx="76">
                  <c:v>8.8000000000000007</c:v>
                </c:pt>
                <c:pt idx="77">
                  <c:v>8.8000000000000007</c:v>
                </c:pt>
                <c:pt idx="78">
                  <c:v>8.8000000000000007</c:v>
                </c:pt>
                <c:pt idx="79">
                  <c:v>8.8000000000000007</c:v>
                </c:pt>
                <c:pt idx="80">
                  <c:v>8.8000000000000007</c:v>
                </c:pt>
                <c:pt idx="81">
                  <c:v>8.8000000000000007</c:v>
                </c:pt>
                <c:pt idx="82">
                  <c:v>8.8000000000000007</c:v>
                </c:pt>
                <c:pt idx="83">
                  <c:v>8.8000000000000007</c:v>
                </c:pt>
                <c:pt idx="84">
                  <c:v>8.8000000000000007</c:v>
                </c:pt>
                <c:pt idx="85">
                  <c:v>8.8000000000000007</c:v>
                </c:pt>
                <c:pt idx="86">
                  <c:v>8.8000000000000007</c:v>
                </c:pt>
                <c:pt idx="87">
                  <c:v>8.8000000000000007</c:v>
                </c:pt>
                <c:pt idx="88">
                  <c:v>8.8000000000000007</c:v>
                </c:pt>
                <c:pt idx="89">
                  <c:v>8.8000000000000007</c:v>
                </c:pt>
                <c:pt idx="90">
                  <c:v>8.8000000000000007</c:v>
                </c:pt>
                <c:pt idx="91">
                  <c:v>8.8000000000000007</c:v>
                </c:pt>
                <c:pt idx="92">
                  <c:v>8.8000000000000007</c:v>
                </c:pt>
                <c:pt idx="93">
                  <c:v>8.8000000000000007</c:v>
                </c:pt>
                <c:pt idx="94">
                  <c:v>8.8000000000000007</c:v>
                </c:pt>
                <c:pt idx="95">
                  <c:v>8.8000000000000007</c:v>
                </c:pt>
                <c:pt idx="96">
                  <c:v>8.8000000000000007</c:v>
                </c:pt>
                <c:pt idx="97">
                  <c:v>8.8000000000000007</c:v>
                </c:pt>
                <c:pt idx="98">
                  <c:v>8.8000000000000007</c:v>
                </c:pt>
                <c:pt idx="99">
                  <c:v>8.8000000000000007</c:v>
                </c:pt>
                <c:pt idx="100">
                  <c:v>8.8000000000000007</c:v>
                </c:pt>
                <c:pt idx="101">
                  <c:v>8.8000000000000007</c:v>
                </c:pt>
                <c:pt idx="102">
                  <c:v>8.8000000000000007</c:v>
                </c:pt>
                <c:pt idx="103">
                  <c:v>8.8000000000000007</c:v>
                </c:pt>
                <c:pt idx="104">
                  <c:v>8.8000000000000007</c:v>
                </c:pt>
                <c:pt idx="105">
                  <c:v>8.8000000000000007</c:v>
                </c:pt>
                <c:pt idx="106">
                  <c:v>8.8000000000000007</c:v>
                </c:pt>
                <c:pt idx="107">
                  <c:v>8.8000000000000007</c:v>
                </c:pt>
                <c:pt idx="108">
                  <c:v>8.8000000000000007</c:v>
                </c:pt>
                <c:pt idx="109">
                  <c:v>8.8000000000000007</c:v>
                </c:pt>
                <c:pt idx="110">
                  <c:v>8.8000000000000007</c:v>
                </c:pt>
                <c:pt idx="111">
                  <c:v>8.8000000000000007</c:v>
                </c:pt>
                <c:pt idx="112">
                  <c:v>8.8000000000000007</c:v>
                </c:pt>
                <c:pt idx="113">
                  <c:v>8.8000000000000007</c:v>
                </c:pt>
                <c:pt idx="114">
                  <c:v>8.8000000000000007</c:v>
                </c:pt>
                <c:pt idx="115">
                  <c:v>8.8000000000000007</c:v>
                </c:pt>
                <c:pt idx="116">
                  <c:v>8.8000000000000007</c:v>
                </c:pt>
                <c:pt idx="117">
                  <c:v>8.8000000000000007</c:v>
                </c:pt>
                <c:pt idx="118">
                  <c:v>8.8000000000000007</c:v>
                </c:pt>
                <c:pt idx="119">
                  <c:v>8.8000000000000007</c:v>
                </c:pt>
                <c:pt idx="120">
                  <c:v>8.8000000000000007</c:v>
                </c:pt>
                <c:pt idx="121">
                  <c:v>8.8000000000000007</c:v>
                </c:pt>
                <c:pt idx="122">
                  <c:v>8.8000000000000007</c:v>
                </c:pt>
                <c:pt idx="123">
                  <c:v>8.8000000000000007</c:v>
                </c:pt>
                <c:pt idx="124">
                  <c:v>8.8000000000000007</c:v>
                </c:pt>
                <c:pt idx="125">
                  <c:v>8.8000000000000007</c:v>
                </c:pt>
                <c:pt idx="126">
                  <c:v>8.8000000000000007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8.8000000000000007</c:v>
                </c:pt>
                <c:pt idx="130">
                  <c:v>8.8000000000000007</c:v>
                </c:pt>
                <c:pt idx="131">
                  <c:v>8.8000000000000007</c:v>
                </c:pt>
                <c:pt idx="132">
                  <c:v>8.8000000000000007</c:v>
                </c:pt>
                <c:pt idx="133">
                  <c:v>8.8000000000000007</c:v>
                </c:pt>
                <c:pt idx="134">
                  <c:v>8.8000000000000007</c:v>
                </c:pt>
                <c:pt idx="135">
                  <c:v>8.8000000000000007</c:v>
                </c:pt>
                <c:pt idx="136">
                  <c:v>8.8000000000000007</c:v>
                </c:pt>
                <c:pt idx="137">
                  <c:v>8.8000000000000007</c:v>
                </c:pt>
                <c:pt idx="138">
                  <c:v>8.8000000000000007</c:v>
                </c:pt>
                <c:pt idx="139">
                  <c:v>8.8000000000000007</c:v>
                </c:pt>
                <c:pt idx="140">
                  <c:v>8.8000000000000007</c:v>
                </c:pt>
                <c:pt idx="141">
                  <c:v>8.8000000000000007</c:v>
                </c:pt>
                <c:pt idx="142">
                  <c:v>8.8000000000000007</c:v>
                </c:pt>
                <c:pt idx="143">
                  <c:v>8.8000000000000007</c:v>
                </c:pt>
                <c:pt idx="144">
                  <c:v>8.8000000000000007</c:v>
                </c:pt>
                <c:pt idx="145">
                  <c:v>8.8000000000000007</c:v>
                </c:pt>
                <c:pt idx="146">
                  <c:v>8.8000000000000007</c:v>
                </c:pt>
                <c:pt idx="147">
                  <c:v>8.8000000000000007</c:v>
                </c:pt>
                <c:pt idx="148">
                  <c:v>8.8000000000000007</c:v>
                </c:pt>
                <c:pt idx="149">
                  <c:v>8.8000000000000007</c:v>
                </c:pt>
                <c:pt idx="150">
                  <c:v>8.8000000000000007</c:v>
                </c:pt>
                <c:pt idx="151">
                  <c:v>8.8000000000000007</c:v>
                </c:pt>
                <c:pt idx="152">
                  <c:v>8.8000000000000007</c:v>
                </c:pt>
                <c:pt idx="153">
                  <c:v>8.8000000000000007</c:v>
                </c:pt>
                <c:pt idx="154">
                  <c:v>8.8000000000000007</c:v>
                </c:pt>
                <c:pt idx="155">
                  <c:v>8.8000000000000007</c:v>
                </c:pt>
                <c:pt idx="156">
                  <c:v>8.8000000000000007</c:v>
                </c:pt>
                <c:pt idx="157">
                  <c:v>8.8000000000000007</c:v>
                </c:pt>
                <c:pt idx="158">
                  <c:v>8.8000000000000007</c:v>
                </c:pt>
                <c:pt idx="159">
                  <c:v>8.8000000000000007</c:v>
                </c:pt>
                <c:pt idx="160">
                  <c:v>8.8000000000000007</c:v>
                </c:pt>
                <c:pt idx="161">
                  <c:v>8.8000000000000007</c:v>
                </c:pt>
                <c:pt idx="162">
                  <c:v>8.8000000000000007</c:v>
                </c:pt>
                <c:pt idx="163">
                  <c:v>8.8000000000000007</c:v>
                </c:pt>
                <c:pt idx="164">
                  <c:v>8.8000000000000007</c:v>
                </c:pt>
                <c:pt idx="165">
                  <c:v>8.8000000000000007</c:v>
                </c:pt>
                <c:pt idx="166">
                  <c:v>8.8000000000000007</c:v>
                </c:pt>
                <c:pt idx="167">
                  <c:v>8.8000000000000007</c:v>
                </c:pt>
                <c:pt idx="168">
                  <c:v>8.8000000000000007</c:v>
                </c:pt>
                <c:pt idx="169">
                  <c:v>8.8000000000000007</c:v>
                </c:pt>
                <c:pt idx="170">
                  <c:v>8.8000000000000007</c:v>
                </c:pt>
                <c:pt idx="171">
                  <c:v>8.8000000000000007</c:v>
                </c:pt>
                <c:pt idx="172">
                  <c:v>8.8000000000000007</c:v>
                </c:pt>
                <c:pt idx="173">
                  <c:v>8.8000000000000007</c:v>
                </c:pt>
                <c:pt idx="174">
                  <c:v>8.8000000000000007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8.8000000000000007</c:v>
                </c:pt>
                <c:pt idx="178">
                  <c:v>8.8000000000000007</c:v>
                </c:pt>
                <c:pt idx="179">
                  <c:v>8.8000000000000007</c:v>
                </c:pt>
                <c:pt idx="180">
                  <c:v>8.8000000000000007</c:v>
                </c:pt>
                <c:pt idx="181">
                  <c:v>8.8000000000000007</c:v>
                </c:pt>
                <c:pt idx="182">
                  <c:v>8.8000000000000007</c:v>
                </c:pt>
                <c:pt idx="183">
                  <c:v>8.8000000000000007</c:v>
                </c:pt>
                <c:pt idx="184">
                  <c:v>8.8000000000000007</c:v>
                </c:pt>
                <c:pt idx="185">
                  <c:v>8.8000000000000007</c:v>
                </c:pt>
                <c:pt idx="186">
                  <c:v>8.8000000000000007</c:v>
                </c:pt>
                <c:pt idx="187">
                  <c:v>8.8000000000000007</c:v>
                </c:pt>
                <c:pt idx="188">
                  <c:v>8.8000000000000007</c:v>
                </c:pt>
                <c:pt idx="189">
                  <c:v>8.8000000000000007</c:v>
                </c:pt>
                <c:pt idx="190">
                  <c:v>8.8000000000000007</c:v>
                </c:pt>
                <c:pt idx="191">
                  <c:v>8.8000000000000007</c:v>
                </c:pt>
                <c:pt idx="192">
                  <c:v>8.8000000000000007</c:v>
                </c:pt>
                <c:pt idx="193">
                  <c:v>8.8000000000000007</c:v>
                </c:pt>
                <c:pt idx="194">
                  <c:v>8.8000000000000007</c:v>
                </c:pt>
                <c:pt idx="195">
                  <c:v>8.8000000000000007</c:v>
                </c:pt>
                <c:pt idx="196">
                  <c:v>8.8000000000000007</c:v>
                </c:pt>
                <c:pt idx="197">
                  <c:v>8.8000000000000007</c:v>
                </c:pt>
                <c:pt idx="198">
                  <c:v>8.8000000000000007</c:v>
                </c:pt>
                <c:pt idx="199">
                  <c:v>8.8000000000000007</c:v>
                </c:pt>
                <c:pt idx="200">
                  <c:v>8.8000000000000007</c:v>
                </c:pt>
                <c:pt idx="201">
                  <c:v>8.8000000000000007</c:v>
                </c:pt>
                <c:pt idx="202">
                  <c:v>8.8000000000000007</c:v>
                </c:pt>
                <c:pt idx="203">
                  <c:v>8.8000000000000007</c:v>
                </c:pt>
                <c:pt idx="204">
                  <c:v>8.8000000000000007</c:v>
                </c:pt>
                <c:pt idx="205">
                  <c:v>8.8000000000000007</c:v>
                </c:pt>
                <c:pt idx="206">
                  <c:v>8.8000000000000007</c:v>
                </c:pt>
                <c:pt idx="207">
                  <c:v>8.8000000000000007</c:v>
                </c:pt>
                <c:pt idx="208">
                  <c:v>8.8000000000000007</c:v>
                </c:pt>
                <c:pt idx="209">
                  <c:v>8.8000000000000007</c:v>
                </c:pt>
                <c:pt idx="210">
                  <c:v>8.8000000000000007</c:v>
                </c:pt>
                <c:pt idx="211">
                  <c:v>8.8000000000000007</c:v>
                </c:pt>
                <c:pt idx="212">
                  <c:v>8.8000000000000007</c:v>
                </c:pt>
                <c:pt idx="213">
                  <c:v>8.8000000000000007</c:v>
                </c:pt>
                <c:pt idx="214">
                  <c:v>8.8000000000000007</c:v>
                </c:pt>
                <c:pt idx="215">
                  <c:v>8.8000000000000007</c:v>
                </c:pt>
                <c:pt idx="216">
                  <c:v>8.8000000000000007</c:v>
                </c:pt>
                <c:pt idx="217">
                  <c:v>8.8000000000000007</c:v>
                </c:pt>
                <c:pt idx="218">
                  <c:v>8.8000000000000007</c:v>
                </c:pt>
                <c:pt idx="219">
                  <c:v>8.8000000000000007</c:v>
                </c:pt>
                <c:pt idx="220">
                  <c:v>8.8000000000000007</c:v>
                </c:pt>
                <c:pt idx="221">
                  <c:v>8.8000000000000007</c:v>
                </c:pt>
                <c:pt idx="222">
                  <c:v>8.8000000000000007</c:v>
                </c:pt>
                <c:pt idx="223">
                  <c:v>8.8000000000000007</c:v>
                </c:pt>
                <c:pt idx="224">
                  <c:v>8.8000000000000007</c:v>
                </c:pt>
                <c:pt idx="225">
                  <c:v>8.8000000000000007</c:v>
                </c:pt>
                <c:pt idx="226">
                  <c:v>8.8000000000000007</c:v>
                </c:pt>
                <c:pt idx="227">
                  <c:v>8.8000000000000007</c:v>
                </c:pt>
                <c:pt idx="228">
                  <c:v>8.8000000000000007</c:v>
                </c:pt>
                <c:pt idx="229">
                  <c:v>8.8000000000000007</c:v>
                </c:pt>
                <c:pt idx="230">
                  <c:v>8.8000000000000007</c:v>
                </c:pt>
                <c:pt idx="231">
                  <c:v>8.8000000000000007</c:v>
                </c:pt>
                <c:pt idx="232">
                  <c:v>8.8000000000000007</c:v>
                </c:pt>
                <c:pt idx="233">
                  <c:v>8.8000000000000007</c:v>
                </c:pt>
                <c:pt idx="234">
                  <c:v>8.8000000000000007</c:v>
                </c:pt>
                <c:pt idx="235">
                  <c:v>8.8000000000000007</c:v>
                </c:pt>
                <c:pt idx="236">
                  <c:v>8.8000000000000007</c:v>
                </c:pt>
                <c:pt idx="237">
                  <c:v>8.8000000000000007</c:v>
                </c:pt>
                <c:pt idx="238">
                  <c:v>8.8000000000000007</c:v>
                </c:pt>
                <c:pt idx="239">
                  <c:v>8.8000000000000007</c:v>
                </c:pt>
                <c:pt idx="240">
                  <c:v>8.8000000000000007</c:v>
                </c:pt>
                <c:pt idx="241">
                  <c:v>8.8000000000000007</c:v>
                </c:pt>
                <c:pt idx="242">
                  <c:v>8.8000000000000007</c:v>
                </c:pt>
                <c:pt idx="243">
                  <c:v>8.8000000000000007</c:v>
                </c:pt>
                <c:pt idx="244">
                  <c:v>8.8000000000000007</c:v>
                </c:pt>
                <c:pt idx="245">
                  <c:v>8.8000000000000007</c:v>
                </c:pt>
                <c:pt idx="246">
                  <c:v>8.8000000000000007</c:v>
                </c:pt>
                <c:pt idx="247">
                  <c:v>8.8000000000000007</c:v>
                </c:pt>
                <c:pt idx="248">
                  <c:v>8.8000000000000007</c:v>
                </c:pt>
                <c:pt idx="249">
                  <c:v>8.8000000000000007</c:v>
                </c:pt>
                <c:pt idx="250">
                  <c:v>8.8000000000000007</c:v>
                </c:pt>
                <c:pt idx="251">
                  <c:v>8.8000000000000007</c:v>
                </c:pt>
                <c:pt idx="252">
                  <c:v>8.8000000000000007</c:v>
                </c:pt>
                <c:pt idx="253">
                  <c:v>8.8000000000000007</c:v>
                </c:pt>
                <c:pt idx="254">
                  <c:v>8.8000000000000007</c:v>
                </c:pt>
                <c:pt idx="255">
                  <c:v>8.8000000000000007</c:v>
                </c:pt>
                <c:pt idx="256">
                  <c:v>8.8000000000000007</c:v>
                </c:pt>
                <c:pt idx="257">
                  <c:v>8.8000000000000007</c:v>
                </c:pt>
                <c:pt idx="258">
                  <c:v>8.8000000000000007</c:v>
                </c:pt>
                <c:pt idx="259">
                  <c:v>8.8000000000000007</c:v>
                </c:pt>
                <c:pt idx="260">
                  <c:v>8.8000000000000007</c:v>
                </c:pt>
                <c:pt idx="261">
                  <c:v>8.8000000000000007</c:v>
                </c:pt>
                <c:pt idx="262">
                  <c:v>8.8000000000000007</c:v>
                </c:pt>
                <c:pt idx="263">
                  <c:v>8.8000000000000007</c:v>
                </c:pt>
                <c:pt idx="264">
                  <c:v>8.8000000000000007</c:v>
                </c:pt>
                <c:pt idx="265">
                  <c:v>8.8000000000000007</c:v>
                </c:pt>
                <c:pt idx="266">
                  <c:v>8.8000000000000007</c:v>
                </c:pt>
                <c:pt idx="267">
                  <c:v>8.8000000000000007</c:v>
                </c:pt>
                <c:pt idx="268">
                  <c:v>8.8000000000000007</c:v>
                </c:pt>
                <c:pt idx="269">
                  <c:v>8.8000000000000007</c:v>
                </c:pt>
                <c:pt idx="270">
                  <c:v>8.8000000000000007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1D8-49F9-8E94-E35F3E83A371}"/>
            </c:ext>
          </c:extLst>
        </c:ser>
        <c:ser>
          <c:idx val="10"/>
          <c:order val="10"/>
          <c:spPr>
            <a:ln w="1524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多分类圆角圆环图!$P$9:$P$368</c:f>
              <c:numCache>
                <c:formatCode>General</c:formatCode>
                <c:ptCount val="360"/>
                <c:pt idx="0">
                  <c:v>7.6000000000000005</c:v>
                </c:pt>
                <c:pt idx="1">
                  <c:v>7.6000000000000005</c:v>
                </c:pt>
                <c:pt idx="2">
                  <c:v>7.6000000000000005</c:v>
                </c:pt>
                <c:pt idx="3">
                  <c:v>7.6000000000000005</c:v>
                </c:pt>
                <c:pt idx="4">
                  <c:v>7.6000000000000005</c:v>
                </c:pt>
                <c:pt idx="5">
                  <c:v>7.6000000000000005</c:v>
                </c:pt>
                <c:pt idx="6">
                  <c:v>7.6000000000000005</c:v>
                </c:pt>
                <c:pt idx="7">
                  <c:v>7.6000000000000005</c:v>
                </c:pt>
                <c:pt idx="8">
                  <c:v>7.6000000000000005</c:v>
                </c:pt>
                <c:pt idx="9">
                  <c:v>7.6000000000000005</c:v>
                </c:pt>
                <c:pt idx="10">
                  <c:v>7.6000000000000005</c:v>
                </c:pt>
                <c:pt idx="11">
                  <c:v>7.6000000000000005</c:v>
                </c:pt>
                <c:pt idx="12">
                  <c:v>7.6000000000000005</c:v>
                </c:pt>
                <c:pt idx="13">
                  <c:v>7.6000000000000005</c:v>
                </c:pt>
                <c:pt idx="14">
                  <c:v>7.6000000000000005</c:v>
                </c:pt>
                <c:pt idx="15">
                  <c:v>7.6000000000000005</c:v>
                </c:pt>
                <c:pt idx="16">
                  <c:v>7.6000000000000005</c:v>
                </c:pt>
                <c:pt idx="17">
                  <c:v>7.6000000000000005</c:v>
                </c:pt>
                <c:pt idx="18">
                  <c:v>7.6000000000000005</c:v>
                </c:pt>
                <c:pt idx="19">
                  <c:v>7.6000000000000005</c:v>
                </c:pt>
                <c:pt idx="20">
                  <c:v>7.6000000000000005</c:v>
                </c:pt>
                <c:pt idx="21">
                  <c:v>7.6000000000000005</c:v>
                </c:pt>
                <c:pt idx="22">
                  <c:v>7.6000000000000005</c:v>
                </c:pt>
                <c:pt idx="23">
                  <c:v>7.6000000000000005</c:v>
                </c:pt>
                <c:pt idx="24">
                  <c:v>7.6000000000000005</c:v>
                </c:pt>
                <c:pt idx="25">
                  <c:v>7.6000000000000005</c:v>
                </c:pt>
                <c:pt idx="26">
                  <c:v>7.6000000000000005</c:v>
                </c:pt>
                <c:pt idx="27">
                  <c:v>7.6000000000000005</c:v>
                </c:pt>
                <c:pt idx="28">
                  <c:v>7.6000000000000005</c:v>
                </c:pt>
                <c:pt idx="29">
                  <c:v>7.6000000000000005</c:v>
                </c:pt>
                <c:pt idx="30">
                  <c:v>7.6000000000000005</c:v>
                </c:pt>
                <c:pt idx="31">
                  <c:v>7.6000000000000005</c:v>
                </c:pt>
                <c:pt idx="32">
                  <c:v>7.6000000000000005</c:v>
                </c:pt>
                <c:pt idx="33">
                  <c:v>7.6000000000000005</c:v>
                </c:pt>
                <c:pt idx="34">
                  <c:v>7.6000000000000005</c:v>
                </c:pt>
                <c:pt idx="35">
                  <c:v>7.6000000000000005</c:v>
                </c:pt>
                <c:pt idx="36">
                  <c:v>7.6000000000000005</c:v>
                </c:pt>
                <c:pt idx="37">
                  <c:v>7.6000000000000005</c:v>
                </c:pt>
                <c:pt idx="38">
                  <c:v>7.6000000000000005</c:v>
                </c:pt>
                <c:pt idx="39">
                  <c:v>7.6000000000000005</c:v>
                </c:pt>
                <c:pt idx="40">
                  <c:v>7.6000000000000005</c:v>
                </c:pt>
                <c:pt idx="41">
                  <c:v>7.6000000000000005</c:v>
                </c:pt>
                <c:pt idx="42">
                  <c:v>7.6000000000000005</c:v>
                </c:pt>
                <c:pt idx="43">
                  <c:v>7.6000000000000005</c:v>
                </c:pt>
                <c:pt idx="44">
                  <c:v>7.6000000000000005</c:v>
                </c:pt>
                <c:pt idx="45">
                  <c:v>7.6000000000000005</c:v>
                </c:pt>
                <c:pt idx="46">
                  <c:v>7.6000000000000005</c:v>
                </c:pt>
                <c:pt idx="47">
                  <c:v>7.6000000000000005</c:v>
                </c:pt>
                <c:pt idx="48">
                  <c:v>7.6000000000000005</c:v>
                </c:pt>
                <c:pt idx="49">
                  <c:v>7.6000000000000005</c:v>
                </c:pt>
                <c:pt idx="50">
                  <c:v>7.6000000000000005</c:v>
                </c:pt>
                <c:pt idx="51">
                  <c:v>7.6000000000000005</c:v>
                </c:pt>
                <c:pt idx="52">
                  <c:v>7.6000000000000005</c:v>
                </c:pt>
                <c:pt idx="53">
                  <c:v>7.6000000000000005</c:v>
                </c:pt>
                <c:pt idx="54">
                  <c:v>7.6000000000000005</c:v>
                </c:pt>
                <c:pt idx="55">
                  <c:v>7.6000000000000005</c:v>
                </c:pt>
                <c:pt idx="56">
                  <c:v>7.6000000000000005</c:v>
                </c:pt>
                <c:pt idx="57">
                  <c:v>7.6000000000000005</c:v>
                </c:pt>
                <c:pt idx="58">
                  <c:v>7.6000000000000005</c:v>
                </c:pt>
                <c:pt idx="59">
                  <c:v>7.6000000000000005</c:v>
                </c:pt>
                <c:pt idx="60">
                  <c:v>7.6000000000000005</c:v>
                </c:pt>
                <c:pt idx="61">
                  <c:v>7.6000000000000005</c:v>
                </c:pt>
                <c:pt idx="62">
                  <c:v>7.6000000000000005</c:v>
                </c:pt>
                <c:pt idx="63">
                  <c:v>7.6000000000000005</c:v>
                </c:pt>
                <c:pt idx="64">
                  <c:v>7.6000000000000005</c:v>
                </c:pt>
                <c:pt idx="65">
                  <c:v>7.6000000000000005</c:v>
                </c:pt>
                <c:pt idx="66">
                  <c:v>7.6000000000000005</c:v>
                </c:pt>
                <c:pt idx="67">
                  <c:v>7.6000000000000005</c:v>
                </c:pt>
                <c:pt idx="68">
                  <c:v>7.6000000000000005</c:v>
                </c:pt>
                <c:pt idx="69">
                  <c:v>7.6000000000000005</c:v>
                </c:pt>
                <c:pt idx="70">
                  <c:v>7.6000000000000005</c:v>
                </c:pt>
                <c:pt idx="71">
                  <c:v>7.6000000000000005</c:v>
                </c:pt>
                <c:pt idx="72">
                  <c:v>7.6000000000000005</c:v>
                </c:pt>
                <c:pt idx="73">
                  <c:v>7.6000000000000005</c:v>
                </c:pt>
                <c:pt idx="74">
                  <c:v>7.6000000000000005</c:v>
                </c:pt>
                <c:pt idx="75">
                  <c:v>7.6000000000000005</c:v>
                </c:pt>
                <c:pt idx="76">
                  <c:v>7.6000000000000005</c:v>
                </c:pt>
                <c:pt idx="77">
                  <c:v>7.6000000000000005</c:v>
                </c:pt>
                <c:pt idx="78">
                  <c:v>7.6000000000000005</c:v>
                </c:pt>
                <c:pt idx="79">
                  <c:v>7.6000000000000005</c:v>
                </c:pt>
                <c:pt idx="80">
                  <c:v>7.6000000000000005</c:v>
                </c:pt>
                <c:pt idx="81">
                  <c:v>7.6000000000000005</c:v>
                </c:pt>
                <c:pt idx="82">
                  <c:v>7.6000000000000005</c:v>
                </c:pt>
                <c:pt idx="83">
                  <c:v>7.6000000000000005</c:v>
                </c:pt>
                <c:pt idx="84">
                  <c:v>7.6000000000000005</c:v>
                </c:pt>
                <c:pt idx="85">
                  <c:v>7.6000000000000005</c:v>
                </c:pt>
                <c:pt idx="86">
                  <c:v>7.6000000000000005</c:v>
                </c:pt>
                <c:pt idx="87">
                  <c:v>7.6000000000000005</c:v>
                </c:pt>
                <c:pt idx="88">
                  <c:v>7.6000000000000005</c:v>
                </c:pt>
                <c:pt idx="89">
                  <c:v>7.6000000000000005</c:v>
                </c:pt>
                <c:pt idx="90">
                  <c:v>7.6000000000000005</c:v>
                </c:pt>
                <c:pt idx="91">
                  <c:v>7.6000000000000005</c:v>
                </c:pt>
                <c:pt idx="92">
                  <c:v>7.6000000000000005</c:v>
                </c:pt>
                <c:pt idx="93">
                  <c:v>7.6000000000000005</c:v>
                </c:pt>
                <c:pt idx="94">
                  <c:v>7.6000000000000005</c:v>
                </c:pt>
                <c:pt idx="95">
                  <c:v>7.6000000000000005</c:v>
                </c:pt>
                <c:pt idx="96">
                  <c:v>7.6000000000000005</c:v>
                </c:pt>
                <c:pt idx="97">
                  <c:v>7.6000000000000005</c:v>
                </c:pt>
                <c:pt idx="98">
                  <c:v>7.6000000000000005</c:v>
                </c:pt>
                <c:pt idx="99">
                  <c:v>7.6000000000000005</c:v>
                </c:pt>
                <c:pt idx="100">
                  <c:v>7.6000000000000005</c:v>
                </c:pt>
                <c:pt idx="101">
                  <c:v>7.6000000000000005</c:v>
                </c:pt>
                <c:pt idx="102">
                  <c:v>7.6000000000000005</c:v>
                </c:pt>
                <c:pt idx="103">
                  <c:v>7.6000000000000005</c:v>
                </c:pt>
                <c:pt idx="104">
                  <c:v>7.6000000000000005</c:v>
                </c:pt>
                <c:pt idx="105">
                  <c:v>7.6000000000000005</c:v>
                </c:pt>
                <c:pt idx="106">
                  <c:v>7.6000000000000005</c:v>
                </c:pt>
                <c:pt idx="107">
                  <c:v>7.6000000000000005</c:v>
                </c:pt>
                <c:pt idx="108">
                  <c:v>7.6000000000000005</c:v>
                </c:pt>
                <c:pt idx="109">
                  <c:v>7.6000000000000005</c:v>
                </c:pt>
                <c:pt idx="110">
                  <c:v>7.6000000000000005</c:v>
                </c:pt>
                <c:pt idx="111">
                  <c:v>7.6000000000000005</c:v>
                </c:pt>
                <c:pt idx="112">
                  <c:v>7.6000000000000005</c:v>
                </c:pt>
                <c:pt idx="113">
                  <c:v>7.6000000000000005</c:v>
                </c:pt>
                <c:pt idx="114">
                  <c:v>7.6000000000000005</c:v>
                </c:pt>
                <c:pt idx="115">
                  <c:v>7.6000000000000005</c:v>
                </c:pt>
                <c:pt idx="116">
                  <c:v>7.6000000000000005</c:v>
                </c:pt>
                <c:pt idx="117">
                  <c:v>7.6000000000000005</c:v>
                </c:pt>
                <c:pt idx="118">
                  <c:v>7.6000000000000005</c:v>
                </c:pt>
                <c:pt idx="119">
                  <c:v>7.6000000000000005</c:v>
                </c:pt>
                <c:pt idx="120">
                  <c:v>7.6000000000000005</c:v>
                </c:pt>
                <c:pt idx="121">
                  <c:v>7.6000000000000005</c:v>
                </c:pt>
                <c:pt idx="122">
                  <c:v>7.6000000000000005</c:v>
                </c:pt>
                <c:pt idx="123">
                  <c:v>7.6000000000000005</c:v>
                </c:pt>
                <c:pt idx="124">
                  <c:v>7.6000000000000005</c:v>
                </c:pt>
                <c:pt idx="125">
                  <c:v>7.6000000000000005</c:v>
                </c:pt>
                <c:pt idx="126">
                  <c:v>7.6000000000000005</c:v>
                </c:pt>
                <c:pt idx="127">
                  <c:v>7.6000000000000005</c:v>
                </c:pt>
                <c:pt idx="128">
                  <c:v>7.6000000000000005</c:v>
                </c:pt>
                <c:pt idx="129">
                  <c:v>7.6000000000000005</c:v>
                </c:pt>
                <c:pt idx="130">
                  <c:v>7.6000000000000005</c:v>
                </c:pt>
                <c:pt idx="131">
                  <c:v>7.6000000000000005</c:v>
                </c:pt>
                <c:pt idx="132">
                  <c:v>7.6000000000000005</c:v>
                </c:pt>
                <c:pt idx="133">
                  <c:v>7.6000000000000005</c:v>
                </c:pt>
                <c:pt idx="134">
                  <c:v>7.6000000000000005</c:v>
                </c:pt>
                <c:pt idx="135">
                  <c:v>7.6000000000000005</c:v>
                </c:pt>
                <c:pt idx="136">
                  <c:v>7.6000000000000005</c:v>
                </c:pt>
                <c:pt idx="137">
                  <c:v>7.6000000000000005</c:v>
                </c:pt>
                <c:pt idx="138">
                  <c:v>7.6000000000000005</c:v>
                </c:pt>
                <c:pt idx="139">
                  <c:v>7.6000000000000005</c:v>
                </c:pt>
                <c:pt idx="140">
                  <c:v>7.6000000000000005</c:v>
                </c:pt>
                <c:pt idx="141">
                  <c:v>7.6000000000000005</c:v>
                </c:pt>
                <c:pt idx="142">
                  <c:v>7.6000000000000005</c:v>
                </c:pt>
                <c:pt idx="143">
                  <c:v>7.6000000000000005</c:v>
                </c:pt>
                <c:pt idx="144">
                  <c:v>7.6000000000000005</c:v>
                </c:pt>
                <c:pt idx="145">
                  <c:v>7.6000000000000005</c:v>
                </c:pt>
                <c:pt idx="146">
                  <c:v>7.6000000000000005</c:v>
                </c:pt>
                <c:pt idx="147">
                  <c:v>7.6000000000000005</c:v>
                </c:pt>
                <c:pt idx="148">
                  <c:v>7.6000000000000005</c:v>
                </c:pt>
                <c:pt idx="149">
                  <c:v>7.6000000000000005</c:v>
                </c:pt>
                <c:pt idx="150">
                  <c:v>7.6000000000000005</c:v>
                </c:pt>
                <c:pt idx="151">
                  <c:v>7.6000000000000005</c:v>
                </c:pt>
                <c:pt idx="152">
                  <c:v>7.6000000000000005</c:v>
                </c:pt>
                <c:pt idx="153">
                  <c:v>7.6000000000000005</c:v>
                </c:pt>
                <c:pt idx="154">
                  <c:v>7.6000000000000005</c:v>
                </c:pt>
                <c:pt idx="155">
                  <c:v>7.6000000000000005</c:v>
                </c:pt>
                <c:pt idx="156">
                  <c:v>7.6000000000000005</c:v>
                </c:pt>
                <c:pt idx="157">
                  <c:v>7.6000000000000005</c:v>
                </c:pt>
                <c:pt idx="158">
                  <c:v>7.6000000000000005</c:v>
                </c:pt>
                <c:pt idx="159">
                  <c:v>7.6000000000000005</c:v>
                </c:pt>
                <c:pt idx="160">
                  <c:v>7.6000000000000005</c:v>
                </c:pt>
                <c:pt idx="161">
                  <c:v>7.6000000000000005</c:v>
                </c:pt>
                <c:pt idx="162">
                  <c:v>7.6000000000000005</c:v>
                </c:pt>
                <c:pt idx="163">
                  <c:v>7.6000000000000005</c:v>
                </c:pt>
                <c:pt idx="164">
                  <c:v>7.6000000000000005</c:v>
                </c:pt>
                <c:pt idx="165">
                  <c:v>7.6000000000000005</c:v>
                </c:pt>
                <c:pt idx="166">
                  <c:v>7.6000000000000005</c:v>
                </c:pt>
                <c:pt idx="167">
                  <c:v>7.6000000000000005</c:v>
                </c:pt>
                <c:pt idx="168">
                  <c:v>7.6000000000000005</c:v>
                </c:pt>
                <c:pt idx="169">
                  <c:v>7.6000000000000005</c:v>
                </c:pt>
                <c:pt idx="170">
                  <c:v>7.6000000000000005</c:v>
                </c:pt>
                <c:pt idx="171">
                  <c:v>7.6000000000000005</c:v>
                </c:pt>
                <c:pt idx="172">
                  <c:v>7.6000000000000005</c:v>
                </c:pt>
                <c:pt idx="173">
                  <c:v>7.6000000000000005</c:v>
                </c:pt>
                <c:pt idx="174">
                  <c:v>7.6000000000000005</c:v>
                </c:pt>
                <c:pt idx="175">
                  <c:v>7.6000000000000005</c:v>
                </c:pt>
                <c:pt idx="176">
                  <c:v>7.6000000000000005</c:v>
                </c:pt>
                <c:pt idx="177">
                  <c:v>7.6000000000000005</c:v>
                </c:pt>
                <c:pt idx="178">
                  <c:v>7.6000000000000005</c:v>
                </c:pt>
                <c:pt idx="179">
                  <c:v>7.6000000000000005</c:v>
                </c:pt>
                <c:pt idx="180">
                  <c:v>7.6000000000000005</c:v>
                </c:pt>
                <c:pt idx="181">
                  <c:v>7.6000000000000005</c:v>
                </c:pt>
                <c:pt idx="182">
                  <c:v>7.6000000000000005</c:v>
                </c:pt>
                <c:pt idx="183">
                  <c:v>7.6000000000000005</c:v>
                </c:pt>
                <c:pt idx="184">
                  <c:v>7.6000000000000005</c:v>
                </c:pt>
                <c:pt idx="185">
                  <c:v>7.6000000000000005</c:v>
                </c:pt>
                <c:pt idx="186">
                  <c:v>7.6000000000000005</c:v>
                </c:pt>
                <c:pt idx="187">
                  <c:v>7.6000000000000005</c:v>
                </c:pt>
                <c:pt idx="188">
                  <c:v>7.6000000000000005</c:v>
                </c:pt>
                <c:pt idx="189">
                  <c:v>7.6000000000000005</c:v>
                </c:pt>
                <c:pt idx="190">
                  <c:v>7.6000000000000005</c:v>
                </c:pt>
                <c:pt idx="191">
                  <c:v>7.6000000000000005</c:v>
                </c:pt>
                <c:pt idx="192">
                  <c:v>7.6000000000000005</c:v>
                </c:pt>
                <c:pt idx="193">
                  <c:v>7.6000000000000005</c:v>
                </c:pt>
                <c:pt idx="194">
                  <c:v>7.6000000000000005</c:v>
                </c:pt>
                <c:pt idx="195">
                  <c:v>7.6000000000000005</c:v>
                </c:pt>
                <c:pt idx="196">
                  <c:v>7.6000000000000005</c:v>
                </c:pt>
                <c:pt idx="197">
                  <c:v>7.6000000000000005</c:v>
                </c:pt>
                <c:pt idx="198">
                  <c:v>7.6000000000000005</c:v>
                </c:pt>
                <c:pt idx="199">
                  <c:v>7.6000000000000005</c:v>
                </c:pt>
                <c:pt idx="200">
                  <c:v>7.6000000000000005</c:v>
                </c:pt>
                <c:pt idx="201">
                  <c:v>7.6000000000000005</c:v>
                </c:pt>
                <c:pt idx="202">
                  <c:v>7.6000000000000005</c:v>
                </c:pt>
                <c:pt idx="203">
                  <c:v>7.6000000000000005</c:v>
                </c:pt>
                <c:pt idx="204">
                  <c:v>7.6000000000000005</c:v>
                </c:pt>
                <c:pt idx="205">
                  <c:v>7.6000000000000005</c:v>
                </c:pt>
                <c:pt idx="206">
                  <c:v>7.6000000000000005</c:v>
                </c:pt>
                <c:pt idx="207">
                  <c:v>7.6000000000000005</c:v>
                </c:pt>
                <c:pt idx="208">
                  <c:v>7.6000000000000005</c:v>
                </c:pt>
                <c:pt idx="209">
                  <c:v>7.6000000000000005</c:v>
                </c:pt>
                <c:pt idx="210">
                  <c:v>7.6000000000000005</c:v>
                </c:pt>
                <c:pt idx="211">
                  <c:v>7.6000000000000005</c:v>
                </c:pt>
                <c:pt idx="212">
                  <c:v>7.6000000000000005</c:v>
                </c:pt>
                <c:pt idx="213">
                  <c:v>7.6000000000000005</c:v>
                </c:pt>
                <c:pt idx="214">
                  <c:v>7.6000000000000005</c:v>
                </c:pt>
                <c:pt idx="215">
                  <c:v>7.6000000000000005</c:v>
                </c:pt>
                <c:pt idx="216">
                  <c:v>7.6000000000000005</c:v>
                </c:pt>
                <c:pt idx="217">
                  <c:v>7.6000000000000005</c:v>
                </c:pt>
                <c:pt idx="218">
                  <c:v>7.6000000000000005</c:v>
                </c:pt>
                <c:pt idx="219">
                  <c:v>7.6000000000000005</c:v>
                </c:pt>
                <c:pt idx="220">
                  <c:v>7.6000000000000005</c:v>
                </c:pt>
                <c:pt idx="221">
                  <c:v>7.6000000000000005</c:v>
                </c:pt>
                <c:pt idx="222">
                  <c:v>7.6000000000000005</c:v>
                </c:pt>
                <c:pt idx="223">
                  <c:v>7.6000000000000005</c:v>
                </c:pt>
                <c:pt idx="224">
                  <c:v>7.6000000000000005</c:v>
                </c:pt>
                <c:pt idx="225">
                  <c:v>7.6000000000000005</c:v>
                </c:pt>
                <c:pt idx="226">
                  <c:v>7.6000000000000005</c:v>
                </c:pt>
                <c:pt idx="227">
                  <c:v>7.6000000000000005</c:v>
                </c:pt>
                <c:pt idx="228">
                  <c:v>7.6000000000000005</c:v>
                </c:pt>
                <c:pt idx="229">
                  <c:v>7.6000000000000005</c:v>
                </c:pt>
                <c:pt idx="230">
                  <c:v>7.6000000000000005</c:v>
                </c:pt>
                <c:pt idx="231">
                  <c:v>7.6000000000000005</c:v>
                </c:pt>
                <c:pt idx="232">
                  <c:v>7.6000000000000005</c:v>
                </c:pt>
                <c:pt idx="233">
                  <c:v>7.6000000000000005</c:v>
                </c:pt>
                <c:pt idx="234">
                  <c:v>7.6000000000000005</c:v>
                </c:pt>
                <c:pt idx="235">
                  <c:v>7.6000000000000005</c:v>
                </c:pt>
                <c:pt idx="236">
                  <c:v>7.6000000000000005</c:v>
                </c:pt>
                <c:pt idx="237">
                  <c:v>7.6000000000000005</c:v>
                </c:pt>
                <c:pt idx="238">
                  <c:v>7.6000000000000005</c:v>
                </c:pt>
                <c:pt idx="239">
                  <c:v>7.6000000000000005</c:v>
                </c:pt>
                <c:pt idx="240">
                  <c:v>7.6000000000000005</c:v>
                </c:pt>
                <c:pt idx="241">
                  <c:v>7.6000000000000005</c:v>
                </c:pt>
                <c:pt idx="242">
                  <c:v>7.6000000000000005</c:v>
                </c:pt>
                <c:pt idx="243">
                  <c:v>7.6000000000000005</c:v>
                </c:pt>
                <c:pt idx="244">
                  <c:v>7.6000000000000005</c:v>
                </c:pt>
                <c:pt idx="245">
                  <c:v>7.6000000000000005</c:v>
                </c:pt>
                <c:pt idx="246">
                  <c:v>7.6000000000000005</c:v>
                </c:pt>
                <c:pt idx="247">
                  <c:v>7.6000000000000005</c:v>
                </c:pt>
                <c:pt idx="248">
                  <c:v>7.6000000000000005</c:v>
                </c:pt>
                <c:pt idx="249">
                  <c:v>7.6000000000000005</c:v>
                </c:pt>
                <c:pt idx="250">
                  <c:v>7.6000000000000005</c:v>
                </c:pt>
                <c:pt idx="251">
                  <c:v>7.6000000000000005</c:v>
                </c:pt>
                <c:pt idx="252">
                  <c:v>7.6000000000000005</c:v>
                </c:pt>
                <c:pt idx="253">
                  <c:v>7.6000000000000005</c:v>
                </c:pt>
                <c:pt idx="254">
                  <c:v>7.6000000000000005</c:v>
                </c:pt>
                <c:pt idx="255">
                  <c:v>7.6000000000000005</c:v>
                </c:pt>
                <c:pt idx="256">
                  <c:v>7.6000000000000005</c:v>
                </c:pt>
                <c:pt idx="257">
                  <c:v>7.6000000000000005</c:v>
                </c:pt>
                <c:pt idx="258">
                  <c:v>7.6000000000000005</c:v>
                </c:pt>
                <c:pt idx="259">
                  <c:v>7.6000000000000005</c:v>
                </c:pt>
                <c:pt idx="260">
                  <c:v>7.6000000000000005</c:v>
                </c:pt>
                <c:pt idx="261">
                  <c:v>7.6000000000000005</c:v>
                </c:pt>
                <c:pt idx="262">
                  <c:v>7.6000000000000005</c:v>
                </c:pt>
                <c:pt idx="263">
                  <c:v>7.6000000000000005</c:v>
                </c:pt>
                <c:pt idx="264">
                  <c:v>7.6000000000000005</c:v>
                </c:pt>
                <c:pt idx="265">
                  <c:v>7.6000000000000005</c:v>
                </c:pt>
                <c:pt idx="266">
                  <c:v>7.6000000000000005</c:v>
                </c:pt>
                <c:pt idx="267">
                  <c:v>7.6000000000000005</c:v>
                </c:pt>
                <c:pt idx="268">
                  <c:v>7.6000000000000005</c:v>
                </c:pt>
                <c:pt idx="269">
                  <c:v>7.6000000000000005</c:v>
                </c:pt>
                <c:pt idx="270">
                  <c:v>7.6000000000000005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1D8-49F9-8E94-E35F3E83A371}"/>
            </c:ext>
          </c:extLst>
        </c:ser>
        <c:ser>
          <c:idx val="11"/>
          <c:order val="11"/>
          <c:spPr>
            <a:ln w="1524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多分类圆角圆环图!$Q$9:$Q$368</c:f>
              <c:numCache>
                <c:formatCode>General</c:formatCode>
                <c:ptCount val="360"/>
                <c:pt idx="0">
                  <c:v>6.4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6.4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  <c:pt idx="24">
                  <c:v>6.4</c:v>
                </c:pt>
                <c:pt idx="25">
                  <c:v>6.4</c:v>
                </c:pt>
                <c:pt idx="26">
                  <c:v>6.4</c:v>
                </c:pt>
                <c:pt idx="27">
                  <c:v>6.4</c:v>
                </c:pt>
                <c:pt idx="28">
                  <c:v>6.4</c:v>
                </c:pt>
                <c:pt idx="29">
                  <c:v>6.4</c:v>
                </c:pt>
                <c:pt idx="30">
                  <c:v>6.4</c:v>
                </c:pt>
                <c:pt idx="31">
                  <c:v>6.4</c:v>
                </c:pt>
                <c:pt idx="32">
                  <c:v>6.4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6.4</c:v>
                </c:pt>
                <c:pt idx="37">
                  <c:v>6.4</c:v>
                </c:pt>
                <c:pt idx="38">
                  <c:v>6.4</c:v>
                </c:pt>
                <c:pt idx="39">
                  <c:v>6.4</c:v>
                </c:pt>
                <c:pt idx="40">
                  <c:v>6.4</c:v>
                </c:pt>
                <c:pt idx="41">
                  <c:v>6.4</c:v>
                </c:pt>
                <c:pt idx="42">
                  <c:v>6.4</c:v>
                </c:pt>
                <c:pt idx="43">
                  <c:v>6.4</c:v>
                </c:pt>
                <c:pt idx="44">
                  <c:v>6.4</c:v>
                </c:pt>
                <c:pt idx="45">
                  <c:v>6.4</c:v>
                </c:pt>
                <c:pt idx="46">
                  <c:v>6.4</c:v>
                </c:pt>
                <c:pt idx="47">
                  <c:v>6.4</c:v>
                </c:pt>
                <c:pt idx="48">
                  <c:v>6.4</c:v>
                </c:pt>
                <c:pt idx="49">
                  <c:v>6.4</c:v>
                </c:pt>
                <c:pt idx="50">
                  <c:v>6.4</c:v>
                </c:pt>
                <c:pt idx="51">
                  <c:v>6.4</c:v>
                </c:pt>
                <c:pt idx="52">
                  <c:v>6.4</c:v>
                </c:pt>
                <c:pt idx="53">
                  <c:v>6.4</c:v>
                </c:pt>
                <c:pt idx="54">
                  <c:v>6.4</c:v>
                </c:pt>
                <c:pt idx="55">
                  <c:v>6.4</c:v>
                </c:pt>
                <c:pt idx="56">
                  <c:v>6.4</c:v>
                </c:pt>
                <c:pt idx="57">
                  <c:v>6.4</c:v>
                </c:pt>
                <c:pt idx="58">
                  <c:v>6.4</c:v>
                </c:pt>
                <c:pt idx="59">
                  <c:v>6.4</c:v>
                </c:pt>
                <c:pt idx="60">
                  <c:v>6.4</c:v>
                </c:pt>
                <c:pt idx="61">
                  <c:v>6.4</c:v>
                </c:pt>
                <c:pt idx="62">
                  <c:v>6.4</c:v>
                </c:pt>
                <c:pt idx="63">
                  <c:v>6.4</c:v>
                </c:pt>
                <c:pt idx="64">
                  <c:v>6.4</c:v>
                </c:pt>
                <c:pt idx="65">
                  <c:v>6.4</c:v>
                </c:pt>
                <c:pt idx="66">
                  <c:v>6.4</c:v>
                </c:pt>
                <c:pt idx="67">
                  <c:v>6.4</c:v>
                </c:pt>
                <c:pt idx="68">
                  <c:v>6.4</c:v>
                </c:pt>
                <c:pt idx="69">
                  <c:v>6.4</c:v>
                </c:pt>
                <c:pt idx="70">
                  <c:v>6.4</c:v>
                </c:pt>
                <c:pt idx="71">
                  <c:v>6.4</c:v>
                </c:pt>
                <c:pt idx="72">
                  <c:v>6.4</c:v>
                </c:pt>
                <c:pt idx="73">
                  <c:v>6.4</c:v>
                </c:pt>
                <c:pt idx="74">
                  <c:v>6.4</c:v>
                </c:pt>
                <c:pt idx="75">
                  <c:v>6.4</c:v>
                </c:pt>
                <c:pt idx="76">
                  <c:v>6.4</c:v>
                </c:pt>
                <c:pt idx="77">
                  <c:v>6.4</c:v>
                </c:pt>
                <c:pt idx="78">
                  <c:v>6.4</c:v>
                </c:pt>
                <c:pt idx="79">
                  <c:v>6.4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6.4</c:v>
                </c:pt>
                <c:pt idx="84">
                  <c:v>6.4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6.4</c:v>
                </c:pt>
                <c:pt idx="111">
                  <c:v>6.4</c:v>
                </c:pt>
                <c:pt idx="112">
                  <c:v>6.4</c:v>
                </c:pt>
                <c:pt idx="113">
                  <c:v>6.4</c:v>
                </c:pt>
                <c:pt idx="114">
                  <c:v>6.4</c:v>
                </c:pt>
                <c:pt idx="115">
                  <c:v>6.4</c:v>
                </c:pt>
                <c:pt idx="116">
                  <c:v>6.4</c:v>
                </c:pt>
                <c:pt idx="117">
                  <c:v>6.4</c:v>
                </c:pt>
                <c:pt idx="118">
                  <c:v>6.4</c:v>
                </c:pt>
                <c:pt idx="119">
                  <c:v>6.4</c:v>
                </c:pt>
                <c:pt idx="120">
                  <c:v>6.4</c:v>
                </c:pt>
                <c:pt idx="121">
                  <c:v>6.4</c:v>
                </c:pt>
                <c:pt idx="122">
                  <c:v>6.4</c:v>
                </c:pt>
                <c:pt idx="123">
                  <c:v>6.4</c:v>
                </c:pt>
                <c:pt idx="124">
                  <c:v>6.4</c:v>
                </c:pt>
                <c:pt idx="125">
                  <c:v>6.4</c:v>
                </c:pt>
                <c:pt idx="126">
                  <c:v>6.4</c:v>
                </c:pt>
                <c:pt idx="127">
                  <c:v>6.4</c:v>
                </c:pt>
                <c:pt idx="128">
                  <c:v>6.4</c:v>
                </c:pt>
                <c:pt idx="129">
                  <c:v>6.4</c:v>
                </c:pt>
                <c:pt idx="130">
                  <c:v>6.4</c:v>
                </c:pt>
                <c:pt idx="131">
                  <c:v>6.4</c:v>
                </c:pt>
                <c:pt idx="132">
                  <c:v>6.4</c:v>
                </c:pt>
                <c:pt idx="133">
                  <c:v>6.4</c:v>
                </c:pt>
                <c:pt idx="134">
                  <c:v>6.4</c:v>
                </c:pt>
                <c:pt idx="135">
                  <c:v>6.4</c:v>
                </c:pt>
                <c:pt idx="136">
                  <c:v>6.4</c:v>
                </c:pt>
                <c:pt idx="137">
                  <c:v>6.4</c:v>
                </c:pt>
                <c:pt idx="138">
                  <c:v>6.4</c:v>
                </c:pt>
                <c:pt idx="139">
                  <c:v>6.4</c:v>
                </c:pt>
                <c:pt idx="140">
                  <c:v>6.4</c:v>
                </c:pt>
                <c:pt idx="141">
                  <c:v>6.4</c:v>
                </c:pt>
                <c:pt idx="142">
                  <c:v>6.4</c:v>
                </c:pt>
                <c:pt idx="143">
                  <c:v>6.4</c:v>
                </c:pt>
                <c:pt idx="144">
                  <c:v>6.4</c:v>
                </c:pt>
                <c:pt idx="145">
                  <c:v>6.4</c:v>
                </c:pt>
                <c:pt idx="146">
                  <c:v>6.4</c:v>
                </c:pt>
                <c:pt idx="147">
                  <c:v>6.4</c:v>
                </c:pt>
                <c:pt idx="148">
                  <c:v>6.4</c:v>
                </c:pt>
                <c:pt idx="149">
                  <c:v>6.4</c:v>
                </c:pt>
                <c:pt idx="150">
                  <c:v>6.4</c:v>
                </c:pt>
                <c:pt idx="151">
                  <c:v>6.4</c:v>
                </c:pt>
                <c:pt idx="152">
                  <c:v>6.4</c:v>
                </c:pt>
                <c:pt idx="153">
                  <c:v>6.4</c:v>
                </c:pt>
                <c:pt idx="154">
                  <c:v>6.4</c:v>
                </c:pt>
                <c:pt idx="155">
                  <c:v>6.4</c:v>
                </c:pt>
                <c:pt idx="156">
                  <c:v>6.4</c:v>
                </c:pt>
                <c:pt idx="157">
                  <c:v>6.4</c:v>
                </c:pt>
                <c:pt idx="158">
                  <c:v>6.4</c:v>
                </c:pt>
                <c:pt idx="159">
                  <c:v>6.4</c:v>
                </c:pt>
                <c:pt idx="160">
                  <c:v>6.4</c:v>
                </c:pt>
                <c:pt idx="161">
                  <c:v>6.4</c:v>
                </c:pt>
                <c:pt idx="162">
                  <c:v>6.4</c:v>
                </c:pt>
                <c:pt idx="163">
                  <c:v>6.4</c:v>
                </c:pt>
                <c:pt idx="164">
                  <c:v>6.4</c:v>
                </c:pt>
                <c:pt idx="165">
                  <c:v>6.4</c:v>
                </c:pt>
                <c:pt idx="166">
                  <c:v>6.4</c:v>
                </c:pt>
                <c:pt idx="167">
                  <c:v>6.4</c:v>
                </c:pt>
                <c:pt idx="168">
                  <c:v>6.4</c:v>
                </c:pt>
                <c:pt idx="169">
                  <c:v>6.4</c:v>
                </c:pt>
                <c:pt idx="170">
                  <c:v>6.4</c:v>
                </c:pt>
                <c:pt idx="171">
                  <c:v>6.4</c:v>
                </c:pt>
                <c:pt idx="172">
                  <c:v>6.4</c:v>
                </c:pt>
                <c:pt idx="173">
                  <c:v>6.4</c:v>
                </c:pt>
                <c:pt idx="174">
                  <c:v>6.4</c:v>
                </c:pt>
                <c:pt idx="175">
                  <c:v>6.4</c:v>
                </c:pt>
                <c:pt idx="176">
                  <c:v>6.4</c:v>
                </c:pt>
                <c:pt idx="177">
                  <c:v>6.4</c:v>
                </c:pt>
                <c:pt idx="178">
                  <c:v>6.4</c:v>
                </c:pt>
                <c:pt idx="179">
                  <c:v>6.4</c:v>
                </c:pt>
                <c:pt idx="180">
                  <c:v>6.4</c:v>
                </c:pt>
                <c:pt idx="181">
                  <c:v>6.4</c:v>
                </c:pt>
                <c:pt idx="182">
                  <c:v>6.4</c:v>
                </c:pt>
                <c:pt idx="183">
                  <c:v>6.4</c:v>
                </c:pt>
                <c:pt idx="184">
                  <c:v>6.4</c:v>
                </c:pt>
                <c:pt idx="185">
                  <c:v>6.4</c:v>
                </c:pt>
                <c:pt idx="186">
                  <c:v>6.4</c:v>
                </c:pt>
                <c:pt idx="187">
                  <c:v>6.4</c:v>
                </c:pt>
                <c:pt idx="188">
                  <c:v>6.4</c:v>
                </c:pt>
                <c:pt idx="189">
                  <c:v>6.4</c:v>
                </c:pt>
                <c:pt idx="190">
                  <c:v>6.4</c:v>
                </c:pt>
                <c:pt idx="191">
                  <c:v>6.4</c:v>
                </c:pt>
                <c:pt idx="192">
                  <c:v>6.4</c:v>
                </c:pt>
                <c:pt idx="193">
                  <c:v>6.4</c:v>
                </c:pt>
                <c:pt idx="194">
                  <c:v>6.4</c:v>
                </c:pt>
                <c:pt idx="195">
                  <c:v>6.4</c:v>
                </c:pt>
                <c:pt idx="196">
                  <c:v>6.4</c:v>
                </c:pt>
                <c:pt idx="197">
                  <c:v>6.4</c:v>
                </c:pt>
                <c:pt idx="198">
                  <c:v>6.4</c:v>
                </c:pt>
                <c:pt idx="199">
                  <c:v>6.4</c:v>
                </c:pt>
                <c:pt idx="200">
                  <c:v>6.4</c:v>
                </c:pt>
                <c:pt idx="201">
                  <c:v>6.4</c:v>
                </c:pt>
                <c:pt idx="202">
                  <c:v>6.4</c:v>
                </c:pt>
                <c:pt idx="203">
                  <c:v>6.4</c:v>
                </c:pt>
                <c:pt idx="204">
                  <c:v>6.4</c:v>
                </c:pt>
                <c:pt idx="205">
                  <c:v>6.4</c:v>
                </c:pt>
                <c:pt idx="206">
                  <c:v>6.4</c:v>
                </c:pt>
                <c:pt idx="207">
                  <c:v>6.4</c:v>
                </c:pt>
                <c:pt idx="208">
                  <c:v>6.4</c:v>
                </c:pt>
                <c:pt idx="209">
                  <c:v>6.4</c:v>
                </c:pt>
                <c:pt idx="210">
                  <c:v>6.4</c:v>
                </c:pt>
                <c:pt idx="211">
                  <c:v>6.4</c:v>
                </c:pt>
                <c:pt idx="212">
                  <c:v>6.4</c:v>
                </c:pt>
                <c:pt idx="213">
                  <c:v>6.4</c:v>
                </c:pt>
                <c:pt idx="214">
                  <c:v>6.4</c:v>
                </c:pt>
                <c:pt idx="215">
                  <c:v>6.4</c:v>
                </c:pt>
                <c:pt idx="216">
                  <c:v>6.4</c:v>
                </c:pt>
                <c:pt idx="217">
                  <c:v>6.4</c:v>
                </c:pt>
                <c:pt idx="218">
                  <c:v>6.4</c:v>
                </c:pt>
                <c:pt idx="219">
                  <c:v>6.4</c:v>
                </c:pt>
                <c:pt idx="220">
                  <c:v>6.4</c:v>
                </c:pt>
                <c:pt idx="221">
                  <c:v>6.4</c:v>
                </c:pt>
                <c:pt idx="222">
                  <c:v>6.4</c:v>
                </c:pt>
                <c:pt idx="223">
                  <c:v>6.4</c:v>
                </c:pt>
                <c:pt idx="224">
                  <c:v>6.4</c:v>
                </c:pt>
                <c:pt idx="225">
                  <c:v>6.4</c:v>
                </c:pt>
                <c:pt idx="226">
                  <c:v>6.4</c:v>
                </c:pt>
                <c:pt idx="227">
                  <c:v>6.4</c:v>
                </c:pt>
                <c:pt idx="228">
                  <c:v>6.4</c:v>
                </c:pt>
                <c:pt idx="229">
                  <c:v>6.4</c:v>
                </c:pt>
                <c:pt idx="230">
                  <c:v>6.4</c:v>
                </c:pt>
                <c:pt idx="231">
                  <c:v>6.4</c:v>
                </c:pt>
                <c:pt idx="232">
                  <c:v>6.4</c:v>
                </c:pt>
                <c:pt idx="233">
                  <c:v>6.4</c:v>
                </c:pt>
                <c:pt idx="234">
                  <c:v>6.4</c:v>
                </c:pt>
                <c:pt idx="235">
                  <c:v>6.4</c:v>
                </c:pt>
                <c:pt idx="236">
                  <c:v>6.4</c:v>
                </c:pt>
                <c:pt idx="237">
                  <c:v>6.4</c:v>
                </c:pt>
                <c:pt idx="238">
                  <c:v>6.4</c:v>
                </c:pt>
                <c:pt idx="239">
                  <c:v>6.4</c:v>
                </c:pt>
                <c:pt idx="240">
                  <c:v>6.4</c:v>
                </c:pt>
                <c:pt idx="241">
                  <c:v>6.4</c:v>
                </c:pt>
                <c:pt idx="242">
                  <c:v>6.4</c:v>
                </c:pt>
                <c:pt idx="243">
                  <c:v>6.4</c:v>
                </c:pt>
                <c:pt idx="244">
                  <c:v>6.4</c:v>
                </c:pt>
                <c:pt idx="245">
                  <c:v>6.4</c:v>
                </c:pt>
                <c:pt idx="246">
                  <c:v>6.4</c:v>
                </c:pt>
                <c:pt idx="247">
                  <c:v>6.4</c:v>
                </c:pt>
                <c:pt idx="248">
                  <c:v>6.4</c:v>
                </c:pt>
                <c:pt idx="249">
                  <c:v>6.4</c:v>
                </c:pt>
                <c:pt idx="250">
                  <c:v>6.4</c:v>
                </c:pt>
                <c:pt idx="251">
                  <c:v>6.4</c:v>
                </c:pt>
                <c:pt idx="252">
                  <c:v>6.4</c:v>
                </c:pt>
                <c:pt idx="253">
                  <c:v>6.4</c:v>
                </c:pt>
                <c:pt idx="254">
                  <c:v>6.4</c:v>
                </c:pt>
                <c:pt idx="255">
                  <c:v>6.4</c:v>
                </c:pt>
                <c:pt idx="256">
                  <c:v>6.4</c:v>
                </c:pt>
                <c:pt idx="257">
                  <c:v>6.4</c:v>
                </c:pt>
                <c:pt idx="258">
                  <c:v>6.4</c:v>
                </c:pt>
                <c:pt idx="259">
                  <c:v>6.4</c:v>
                </c:pt>
                <c:pt idx="260">
                  <c:v>6.4</c:v>
                </c:pt>
                <c:pt idx="261">
                  <c:v>6.4</c:v>
                </c:pt>
                <c:pt idx="262">
                  <c:v>6.4</c:v>
                </c:pt>
                <c:pt idx="263">
                  <c:v>6.4</c:v>
                </c:pt>
                <c:pt idx="264">
                  <c:v>6.4</c:v>
                </c:pt>
                <c:pt idx="265">
                  <c:v>6.4</c:v>
                </c:pt>
                <c:pt idx="266">
                  <c:v>6.4</c:v>
                </c:pt>
                <c:pt idx="267">
                  <c:v>6.4</c:v>
                </c:pt>
                <c:pt idx="268">
                  <c:v>6.4</c:v>
                </c:pt>
                <c:pt idx="269">
                  <c:v>6.4</c:v>
                </c:pt>
                <c:pt idx="270">
                  <c:v>6.4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1D8-49F9-8E94-E35F3E83A371}"/>
            </c:ext>
          </c:extLst>
        </c:ser>
        <c:ser>
          <c:idx val="12"/>
          <c:order val="12"/>
          <c:spPr>
            <a:ln w="1524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多分类圆角圆环图!$R$9:$R$368</c:f>
              <c:numCache>
                <c:formatCode>General</c:formatCode>
                <c:ptCount val="360"/>
                <c:pt idx="0">
                  <c:v>5.2</c:v>
                </c:pt>
                <c:pt idx="1">
                  <c:v>5.2</c:v>
                </c:pt>
                <c:pt idx="2">
                  <c:v>5.2</c:v>
                </c:pt>
                <c:pt idx="3">
                  <c:v>5.2</c:v>
                </c:pt>
                <c:pt idx="4">
                  <c:v>5.2</c:v>
                </c:pt>
                <c:pt idx="5">
                  <c:v>5.2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5.2</c:v>
                </c:pt>
                <c:pt idx="23">
                  <c:v>5.2</c:v>
                </c:pt>
                <c:pt idx="24">
                  <c:v>5.2</c:v>
                </c:pt>
                <c:pt idx="25">
                  <c:v>5.2</c:v>
                </c:pt>
                <c:pt idx="26">
                  <c:v>5.2</c:v>
                </c:pt>
                <c:pt idx="27">
                  <c:v>5.2</c:v>
                </c:pt>
                <c:pt idx="28">
                  <c:v>5.2</c:v>
                </c:pt>
                <c:pt idx="29">
                  <c:v>5.2</c:v>
                </c:pt>
                <c:pt idx="30">
                  <c:v>5.2</c:v>
                </c:pt>
                <c:pt idx="31">
                  <c:v>5.2</c:v>
                </c:pt>
                <c:pt idx="32">
                  <c:v>5.2</c:v>
                </c:pt>
                <c:pt idx="33">
                  <c:v>5.2</c:v>
                </c:pt>
                <c:pt idx="34">
                  <c:v>5.2</c:v>
                </c:pt>
                <c:pt idx="35">
                  <c:v>5.2</c:v>
                </c:pt>
                <c:pt idx="36">
                  <c:v>5.2</c:v>
                </c:pt>
                <c:pt idx="37">
                  <c:v>5.2</c:v>
                </c:pt>
                <c:pt idx="38">
                  <c:v>5.2</c:v>
                </c:pt>
                <c:pt idx="39">
                  <c:v>5.2</c:v>
                </c:pt>
                <c:pt idx="40">
                  <c:v>5.2</c:v>
                </c:pt>
                <c:pt idx="41">
                  <c:v>5.2</c:v>
                </c:pt>
                <c:pt idx="42">
                  <c:v>5.2</c:v>
                </c:pt>
                <c:pt idx="43">
                  <c:v>5.2</c:v>
                </c:pt>
                <c:pt idx="44">
                  <c:v>5.2</c:v>
                </c:pt>
                <c:pt idx="45">
                  <c:v>5.2</c:v>
                </c:pt>
                <c:pt idx="46">
                  <c:v>5.2</c:v>
                </c:pt>
                <c:pt idx="47">
                  <c:v>5.2</c:v>
                </c:pt>
                <c:pt idx="48">
                  <c:v>5.2</c:v>
                </c:pt>
                <c:pt idx="49">
                  <c:v>5.2</c:v>
                </c:pt>
                <c:pt idx="50">
                  <c:v>5.2</c:v>
                </c:pt>
                <c:pt idx="51">
                  <c:v>5.2</c:v>
                </c:pt>
                <c:pt idx="52">
                  <c:v>5.2</c:v>
                </c:pt>
                <c:pt idx="53">
                  <c:v>5.2</c:v>
                </c:pt>
                <c:pt idx="54">
                  <c:v>5.2</c:v>
                </c:pt>
                <c:pt idx="55">
                  <c:v>5.2</c:v>
                </c:pt>
                <c:pt idx="56">
                  <c:v>5.2</c:v>
                </c:pt>
                <c:pt idx="57">
                  <c:v>5.2</c:v>
                </c:pt>
                <c:pt idx="58">
                  <c:v>5.2</c:v>
                </c:pt>
                <c:pt idx="59">
                  <c:v>5.2</c:v>
                </c:pt>
                <c:pt idx="60">
                  <c:v>5.2</c:v>
                </c:pt>
                <c:pt idx="61">
                  <c:v>5.2</c:v>
                </c:pt>
                <c:pt idx="62">
                  <c:v>5.2</c:v>
                </c:pt>
                <c:pt idx="63">
                  <c:v>5.2</c:v>
                </c:pt>
                <c:pt idx="64">
                  <c:v>5.2</c:v>
                </c:pt>
                <c:pt idx="65">
                  <c:v>5.2</c:v>
                </c:pt>
                <c:pt idx="66">
                  <c:v>5.2</c:v>
                </c:pt>
                <c:pt idx="67">
                  <c:v>5.2</c:v>
                </c:pt>
                <c:pt idx="68">
                  <c:v>5.2</c:v>
                </c:pt>
                <c:pt idx="69">
                  <c:v>5.2</c:v>
                </c:pt>
                <c:pt idx="70">
                  <c:v>5.2</c:v>
                </c:pt>
                <c:pt idx="71">
                  <c:v>5.2</c:v>
                </c:pt>
                <c:pt idx="72">
                  <c:v>5.2</c:v>
                </c:pt>
                <c:pt idx="73">
                  <c:v>5.2</c:v>
                </c:pt>
                <c:pt idx="74">
                  <c:v>5.2</c:v>
                </c:pt>
                <c:pt idx="75">
                  <c:v>5.2</c:v>
                </c:pt>
                <c:pt idx="76">
                  <c:v>5.2</c:v>
                </c:pt>
                <c:pt idx="77">
                  <c:v>5.2</c:v>
                </c:pt>
                <c:pt idx="78">
                  <c:v>5.2</c:v>
                </c:pt>
                <c:pt idx="79">
                  <c:v>5.2</c:v>
                </c:pt>
                <c:pt idx="80">
                  <c:v>5.2</c:v>
                </c:pt>
                <c:pt idx="81">
                  <c:v>5.2</c:v>
                </c:pt>
                <c:pt idx="82">
                  <c:v>5.2</c:v>
                </c:pt>
                <c:pt idx="83">
                  <c:v>5.2</c:v>
                </c:pt>
                <c:pt idx="84">
                  <c:v>5.2</c:v>
                </c:pt>
                <c:pt idx="85">
                  <c:v>5.2</c:v>
                </c:pt>
                <c:pt idx="86">
                  <c:v>5.2</c:v>
                </c:pt>
                <c:pt idx="87">
                  <c:v>5.2</c:v>
                </c:pt>
                <c:pt idx="88">
                  <c:v>5.2</c:v>
                </c:pt>
                <c:pt idx="89">
                  <c:v>5.2</c:v>
                </c:pt>
                <c:pt idx="90">
                  <c:v>5.2</c:v>
                </c:pt>
                <c:pt idx="91">
                  <c:v>5.2</c:v>
                </c:pt>
                <c:pt idx="92">
                  <c:v>5.2</c:v>
                </c:pt>
                <c:pt idx="93">
                  <c:v>5.2</c:v>
                </c:pt>
                <c:pt idx="94">
                  <c:v>5.2</c:v>
                </c:pt>
                <c:pt idx="95">
                  <c:v>5.2</c:v>
                </c:pt>
                <c:pt idx="96">
                  <c:v>5.2</c:v>
                </c:pt>
                <c:pt idx="97">
                  <c:v>5.2</c:v>
                </c:pt>
                <c:pt idx="98">
                  <c:v>5.2</c:v>
                </c:pt>
                <c:pt idx="99">
                  <c:v>5.2</c:v>
                </c:pt>
                <c:pt idx="100">
                  <c:v>5.2</c:v>
                </c:pt>
                <c:pt idx="101">
                  <c:v>5.2</c:v>
                </c:pt>
                <c:pt idx="102">
                  <c:v>5.2</c:v>
                </c:pt>
                <c:pt idx="103">
                  <c:v>5.2</c:v>
                </c:pt>
                <c:pt idx="104">
                  <c:v>5.2</c:v>
                </c:pt>
                <c:pt idx="105">
                  <c:v>5.2</c:v>
                </c:pt>
                <c:pt idx="106">
                  <c:v>5.2</c:v>
                </c:pt>
                <c:pt idx="107">
                  <c:v>5.2</c:v>
                </c:pt>
                <c:pt idx="108">
                  <c:v>5.2</c:v>
                </c:pt>
                <c:pt idx="109">
                  <c:v>5.2</c:v>
                </c:pt>
                <c:pt idx="110">
                  <c:v>5.2</c:v>
                </c:pt>
                <c:pt idx="111">
                  <c:v>5.2</c:v>
                </c:pt>
                <c:pt idx="112">
                  <c:v>5.2</c:v>
                </c:pt>
                <c:pt idx="113">
                  <c:v>5.2</c:v>
                </c:pt>
                <c:pt idx="114">
                  <c:v>5.2</c:v>
                </c:pt>
                <c:pt idx="115">
                  <c:v>5.2</c:v>
                </c:pt>
                <c:pt idx="116">
                  <c:v>5.2</c:v>
                </c:pt>
                <c:pt idx="117">
                  <c:v>5.2</c:v>
                </c:pt>
                <c:pt idx="118">
                  <c:v>5.2</c:v>
                </c:pt>
                <c:pt idx="119">
                  <c:v>5.2</c:v>
                </c:pt>
                <c:pt idx="120">
                  <c:v>5.2</c:v>
                </c:pt>
                <c:pt idx="121">
                  <c:v>5.2</c:v>
                </c:pt>
                <c:pt idx="122">
                  <c:v>5.2</c:v>
                </c:pt>
                <c:pt idx="123">
                  <c:v>5.2</c:v>
                </c:pt>
                <c:pt idx="124">
                  <c:v>5.2</c:v>
                </c:pt>
                <c:pt idx="125">
                  <c:v>5.2</c:v>
                </c:pt>
                <c:pt idx="126">
                  <c:v>5.2</c:v>
                </c:pt>
                <c:pt idx="127">
                  <c:v>5.2</c:v>
                </c:pt>
                <c:pt idx="128">
                  <c:v>5.2</c:v>
                </c:pt>
                <c:pt idx="129">
                  <c:v>5.2</c:v>
                </c:pt>
                <c:pt idx="130">
                  <c:v>5.2</c:v>
                </c:pt>
                <c:pt idx="131">
                  <c:v>5.2</c:v>
                </c:pt>
                <c:pt idx="132">
                  <c:v>5.2</c:v>
                </c:pt>
                <c:pt idx="133">
                  <c:v>5.2</c:v>
                </c:pt>
                <c:pt idx="134">
                  <c:v>5.2</c:v>
                </c:pt>
                <c:pt idx="135">
                  <c:v>5.2</c:v>
                </c:pt>
                <c:pt idx="136">
                  <c:v>5.2</c:v>
                </c:pt>
                <c:pt idx="137">
                  <c:v>5.2</c:v>
                </c:pt>
                <c:pt idx="138">
                  <c:v>5.2</c:v>
                </c:pt>
                <c:pt idx="139">
                  <c:v>5.2</c:v>
                </c:pt>
                <c:pt idx="140">
                  <c:v>5.2</c:v>
                </c:pt>
                <c:pt idx="141">
                  <c:v>5.2</c:v>
                </c:pt>
                <c:pt idx="142">
                  <c:v>5.2</c:v>
                </c:pt>
                <c:pt idx="143">
                  <c:v>5.2</c:v>
                </c:pt>
                <c:pt idx="144">
                  <c:v>5.2</c:v>
                </c:pt>
                <c:pt idx="145">
                  <c:v>5.2</c:v>
                </c:pt>
                <c:pt idx="146">
                  <c:v>5.2</c:v>
                </c:pt>
                <c:pt idx="147">
                  <c:v>5.2</c:v>
                </c:pt>
                <c:pt idx="148">
                  <c:v>5.2</c:v>
                </c:pt>
                <c:pt idx="149">
                  <c:v>5.2</c:v>
                </c:pt>
                <c:pt idx="150">
                  <c:v>5.2</c:v>
                </c:pt>
                <c:pt idx="151">
                  <c:v>5.2</c:v>
                </c:pt>
                <c:pt idx="152">
                  <c:v>5.2</c:v>
                </c:pt>
                <c:pt idx="153">
                  <c:v>5.2</c:v>
                </c:pt>
                <c:pt idx="154">
                  <c:v>5.2</c:v>
                </c:pt>
                <c:pt idx="155">
                  <c:v>5.2</c:v>
                </c:pt>
                <c:pt idx="156">
                  <c:v>5.2</c:v>
                </c:pt>
                <c:pt idx="157">
                  <c:v>5.2</c:v>
                </c:pt>
                <c:pt idx="158">
                  <c:v>5.2</c:v>
                </c:pt>
                <c:pt idx="159">
                  <c:v>5.2</c:v>
                </c:pt>
                <c:pt idx="160">
                  <c:v>5.2</c:v>
                </c:pt>
                <c:pt idx="161">
                  <c:v>5.2</c:v>
                </c:pt>
                <c:pt idx="162">
                  <c:v>5.2</c:v>
                </c:pt>
                <c:pt idx="163">
                  <c:v>5.2</c:v>
                </c:pt>
                <c:pt idx="164">
                  <c:v>5.2</c:v>
                </c:pt>
                <c:pt idx="165">
                  <c:v>5.2</c:v>
                </c:pt>
                <c:pt idx="166">
                  <c:v>5.2</c:v>
                </c:pt>
                <c:pt idx="167">
                  <c:v>5.2</c:v>
                </c:pt>
                <c:pt idx="168">
                  <c:v>5.2</c:v>
                </c:pt>
                <c:pt idx="169">
                  <c:v>5.2</c:v>
                </c:pt>
                <c:pt idx="170">
                  <c:v>5.2</c:v>
                </c:pt>
                <c:pt idx="171">
                  <c:v>5.2</c:v>
                </c:pt>
                <c:pt idx="172">
                  <c:v>5.2</c:v>
                </c:pt>
                <c:pt idx="173">
                  <c:v>5.2</c:v>
                </c:pt>
                <c:pt idx="174">
                  <c:v>5.2</c:v>
                </c:pt>
                <c:pt idx="175">
                  <c:v>5.2</c:v>
                </c:pt>
                <c:pt idx="176">
                  <c:v>5.2</c:v>
                </c:pt>
                <c:pt idx="177">
                  <c:v>5.2</c:v>
                </c:pt>
                <c:pt idx="178">
                  <c:v>5.2</c:v>
                </c:pt>
                <c:pt idx="179">
                  <c:v>5.2</c:v>
                </c:pt>
                <c:pt idx="180">
                  <c:v>5.2</c:v>
                </c:pt>
                <c:pt idx="181">
                  <c:v>5.2</c:v>
                </c:pt>
                <c:pt idx="182">
                  <c:v>5.2</c:v>
                </c:pt>
                <c:pt idx="183">
                  <c:v>5.2</c:v>
                </c:pt>
                <c:pt idx="184">
                  <c:v>5.2</c:v>
                </c:pt>
                <c:pt idx="185">
                  <c:v>5.2</c:v>
                </c:pt>
                <c:pt idx="186">
                  <c:v>5.2</c:v>
                </c:pt>
                <c:pt idx="187">
                  <c:v>5.2</c:v>
                </c:pt>
                <c:pt idx="188">
                  <c:v>5.2</c:v>
                </c:pt>
                <c:pt idx="189">
                  <c:v>5.2</c:v>
                </c:pt>
                <c:pt idx="190">
                  <c:v>5.2</c:v>
                </c:pt>
                <c:pt idx="191">
                  <c:v>5.2</c:v>
                </c:pt>
                <c:pt idx="192">
                  <c:v>5.2</c:v>
                </c:pt>
                <c:pt idx="193">
                  <c:v>5.2</c:v>
                </c:pt>
                <c:pt idx="194">
                  <c:v>5.2</c:v>
                </c:pt>
                <c:pt idx="195">
                  <c:v>5.2</c:v>
                </c:pt>
                <c:pt idx="196">
                  <c:v>5.2</c:v>
                </c:pt>
                <c:pt idx="197">
                  <c:v>5.2</c:v>
                </c:pt>
                <c:pt idx="198">
                  <c:v>5.2</c:v>
                </c:pt>
                <c:pt idx="199">
                  <c:v>5.2</c:v>
                </c:pt>
                <c:pt idx="200">
                  <c:v>5.2</c:v>
                </c:pt>
                <c:pt idx="201">
                  <c:v>5.2</c:v>
                </c:pt>
                <c:pt idx="202">
                  <c:v>5.2</c:v>
                </c:pt>
                <c:pt idx="203">
                  <c:v>5.2</c:v>
                </c:pt>
                <c:pt idx="204">
                  <c:v>5.2</c:v>
                </c:pt>
                <c:pt idx="205">
                  <c:v>5.2</c:v>
                </c:pt>
                <c:pt idx="206">
                  <c:v>5.2</c:v>
                </c:pt>
                <c:pt idx="207">
                  <c:v>5.2</c:v>
                </c:pt>
                <c:pt idx="208">
                  <c:v>5.2</c:v>
                </c:pt>
                <c:pt idx="209">
                  <c:v>5.2</c:v>
                </c:pt>
                <c:pt idx="210">
                  <c:v>5.2</c:v>
                </c:pt>
                <c:pt idx="211">
                  <c:v>5.2</c:v>
                </c:pt>
                <c:pt idx="212">
                  <c:v>5.2</c:v>
                </c:pt>
                <c:pt idx="213">
                  <c:v>5.2</c:v>
                </c:pt>
                <c:pt idx="214">
                  <c:v>5.2</c:v>
                </c:pt>
                <c:pt idx="215">
                  <c:v>5.2</c:v>
                </c:pt>
                <c:pt idx="216">
                  <c:v>5.2</c:v>
                </c:pt>
                <c:pt idx="217">
                  <c:v>5.2</c:v>
                </c:pt>
                <c:pt idx="218">
                  <c:v>5.2</c:v>
                </c:pt>
                <c:pt idx="219">
                  <c:v>5.2</c:v>
                </c:pt>
                <c:pt idx="220">
                  <c:v>5.2</c:v>
                </c:pt>
                <c:pt idx="221">
                  <c:v>5.2</c:v>
                </c:pt>
                <c:pt idx="222">
                  <c:v>5.2</c:v>
                </c:pt>
                <c:pt idx="223">
                  <c:v>5.2</c:v>
                </c:pt>
                <c:pt idx="224">
                  <c:v>5.2</c:v>
                </c:pt>
                <c:pt idx="225">
                  <c:v>5.2</c:v>
                </c:pt>
                <c:pt idx="226">
                  <c:v>5.2</c:v>
                </c:pt>
                <c:pt idx="227">
                  <c:v>5.2</c:v>
                </c:pt>
                <c:pt idx="228">
                  <c:v>5.2</c:v>
                </c:pt>
                <c:pt idx="229">
                  <c:v>5.2</c:v>
                </c:pt>
                <c:pt idx="230">
                  <c:v>5.2</c:v>
                </c:pt>
                <c:pt idx="231">
                  <c:v>5.2</c:v>
                </c:pt>
                <c:pt idx="232">
                  <c:v>5.2</c:v>
                </c:pt>
                <c:pt idx="233">
                  <c:v>5.2</c:v>
                </c:pt>
                <c:pt idx="234">
                  <c:v>5.2</c:v>
                </c:pt>
                <c:pt idx="235">
                  <c:v>5.2</c:v>
                </c:pt>
                <c:pt idx="236">
                  <c:v>5.2</c:v>
                </c:pt>
                <c:pt idx="237">
                  <c:v>5.2</c:v>
                </c:pt>
                <c:pt idx="238">
                  <c:v>5.2</c:v>
                </c:pt>
                <c:pt idx="239">
                  <c:v>5.2</c:v>
                </c:pt>
                <c:pt idx="240">
                  <c:v>5.2</c:v>
                </c:pt>
                <c:pt idx="241">
                  <c:v>5.2</c:v>
                </c:pt>
                <c:pt idx="242">
                  <c:v>5.2</c:v>
                </c:pt>
                <c:pt idx="243">
                  <c:v>5.2</c:v>
                </c:pt>
                <c:pt idx="244">
                  <c:v>5.2</c:v>
                </c:pt>
                <c:pt idx="245">
                  <c:v>5.2</c:v>
                </c:pt>
                <c:pt idx="246">
                  <c:v>5.2</c:v>
                </c:pt>
                <c:pt idx="247">
                  <c:v>5.2</c:v>
                </c:pt>
                <c:pt idx="248">
                  <c:v>5.2</c:v>
                </c:pt>
                <c:pt idx="249">
                  <c:v>5.2</c:v>
                </c:pt>
                <c:pt idx="250">
                  <c:v>5.2</c:v>
                </c:pt>
                <c:pt idx="251">
                  <c:v>5.2</c:v>
                </c:pt>
                <c:pt idx="252">
                  <c:v>5.2</c:v>
                </c:pt>
                <c:pt idx="253">
                  <c:v>5.2</c:v>
                </c:pt>
                <c:pt idx="254">
                  <c:v>5.2</c:v>
                </c:pt>
                <c:pt idx="255">
                  <c:v>5.2</c:v>
                </c:pt>
                <c:pt idx="256">
                  <c:v>5.2</c:v>
                </c:pt>
                <c:pt idx="257">
                  <c:v>5.2</c:v>
                </c:pt>
                <c:pt idx="258">
                  <c:v>5.2</c:v>
                </c:pt>
                <c:pt idx="259">
                  <c:v>5.2</c:v>
                </c:pt>
                <c:pt idx="260">
                  <c:v>5.2</c:v>
                </c:pt>
                <c:pt idx="261">
                  <c:v>5.2</c:v>
                </c:pt>
                <c:pt idx="262">
                  <c:v>5.2</c:v>
                </c:pt>
                <c:pt idx="263">
                  <c:v>5.2</c:v>
                </c:pt>
                <c:pt idx="264">
                  <c:v>5.2</c:v>
                </c:pt>
                <c:pt idx="265">
                  <c:v>5.2</c:v>
                </c:pt>
                <c:pt idx="266">
                  <c:v>5.2</c:v>
                </c:pt>
                <c:pt idx="267">
                  <c:v>5.2</c:v>
                </c:pt>
                <c:pt idx="268">
                  <c:v>5.2</c:v>
                </c:pt>
                <c:pt idx="269">
                  <c:v>5.2</c:v>
                </c:pt>
                <c:pt idx="270">
                  <c:v>5.2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1D8-49F9-8E94-E35F3E83A371}"/>
            </c:ext>
          </c:extLst>
        </c:ser>
        <c:ser>
          <c:idx val="13"/>
          <c:order val="13"/>
          <c:spPr>
            <a:ln w="1524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多分类圆角圆环图!$S$9:$S$368</c:f>
              <c:numCache>
                <c:formatCode>General</c:formatCode>
                <c:ptCount val="36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31D8-49F9-8E94-E35F3E83A371}"/>
            </c:ext>
          </c:extLst>
        </c:ser>
        <c:ser>
          <c:idx val="14"/>
          <c:order val="14"/>
          <c:spPr>
            <a:ln w="1524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多分类圆角圆环图!$T$9:$T$368</c:f>
              <c:numCache>
                <c:formatCode>General</c:formatCode>
                <c:ptCount val="360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2.8</c:v>
                </c:pt>
                <c:pt idx="25">
                  <c:v>2.8</c:v>
                </c:pt>
                <c:pt idx="26">
                  <c:v>2.8</c:v>
                </c:pt>
                <c:pt idx="27">
                  <c:v>2.8</c:v>
                </c:pt>
                <c:pt idx="28">
                  <c:v>2.8</c:v>
                </c:pt>
                <c:pt idx="29">
                  <c:v>2.8</c:v>
                </c:pt>
                <c:pt idx="30">
                  <c:v>2.8</c:v>
                </c:pt>
                <c:pt idx="31">
                  <c:v>2.8</c:v>
                </c:pt>
                <c:pt idx="32">
                  <c:v>2.8</c:v>
                </c:pt>
                <c:pt idx="33">
                  <c:v>2.8</c:v>
                </c:pt>
                <c:pt idx="34">
                  <c:v>2.8</c:v>
                </c:pt>
                <c:pt idx="35">
                  <c:v>2.8</c:v>
                </c:pt>
                <c:pt idx="36">
                  <c:v>2.8</c:v>
                </c:pt>
                <c:pt idx="37">
                  <c:v>2.8</c:v>
                </c:pt>
                <c:pt idx="38">
                  <c:v>2.8</c:v>
                </c:pt>
                <c:pt idx="39">
                  <c:v>2.8</c:v>
                </c:pt>
                <c:pt idx="40">
                  <c:v>2.8</c:v>
                </c:pt>
                <c:pt idx="41">
                  <c:v>2.8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2.8</c:v>
                </c:pt>
                <c:pt idx="46">
                  <c:v>2.8</c:v>
                </c:pt>
                <c:pt idx="47">
                  <c:v>2.8</c:v>
                </c:pt>
                <c:pt idx="48">
                  <c:v>2.8</c:v>
                </c:pt>
                <c:pt idx="49">
                  <c:v>2.8</c:v>
                </c:pt>
                <c:pt idx="50">
                  <c:v>2.8</c:v>
                </c:pt>
                <c:pt idx="51">
                  <c:v>2.8</c:v>
                </c:pt>
                <c:pt idx="52">
                  <c:v>2.8</c:v>
                </c:pt>
                <c:pt idx="53">
                  <c:v>2.8</c:v>
                </c:pt>
                <c:pt idx="54">
                  <c:v>2.8</c:v>
                </c:pt>
                <c:pt idx="55">
                  <c:v>2.8</c:v>
                </c:pt>
                <c:pt idx="56">
                  <c:v>2.8</c:v>
                </c:pt>
                <c:pt idx="57">
                  <c:v>2.8</c:v>
                </c:pt>
                <c:pt idx="58">
                  <c:v>2.8</c:v>
                </c:pt>
                <c:pt idx="59">
                  <c:v>2.8</c:v>
                </c:pt>
                <c:pt idx="60">
                  <c:v>2.8</c:v>
                </c:pt>
                <c:pt idx="61">
                  <c:v>2.8</c:v>
                </c:pt>
                <c:pt idx="62">
                  <c:v>2.8</c:v>
                </c:pt>
                <c:pt idx="63">
                  <c:v>2.8</c:v>
                </c:pt>
                <c:pt idx="64">
                  <c:v>2.8</c:v>
                </c:pt>
                <c:pt idx="65">
                  <c:v>2.8</c:v>
                </c:pt>
                <c:pt idx="66">
                  <c:v>2.8</c:v>
                </c:pt>
                <c:pt idx="67">
                  <c:v>2.8</c:v>
                </c:pt>
                <c:pt idx="68">
                  <c:v>2.8</c:v>
                </c:pt>
                <c:pt idx="69">
                  <c:v>2.8</c:v>
                </c:pt>
                <c:pt idx="70">
                  <c:v>2.8</c:v>
                </c:pt>
                <c:pt idx="71">
                  <c:v>2.8</c:v>
                </c:pt>
                <c:pt idx="72">
                  <c:v>2.8</c:v>
                </c:pt>
                <c:pt idx="73">
                  <c:v>2.8</c:v>
                </c:pt>
                <c:pt idx="74">
                  <c:v>2.8</c:v>
                </c:pt>
                <c:pt idx="75">
                  <c:v>2.8</c:v>
                </c:pt>
                <c:pt idx="76">
                  <c:v>2.8</c:v>
                </c:pt>
                <c:pt idx="77">
                  <c:v>2.8</c:v>
                </c:pt>
                <c:pt idx="78">
                  <c:v>2.8</c:v>
                </c:pt>
                <c:pt idx="79">
                  <c:v>2.8</c:v>
                </c:pt>
                <c:pt idx="80">
                  <c:v>2.8</c:v>
                </c:pt>
                <c:pt idx="81">
                  <c:v>2.8</c:v>
                </c:pt>
                <c:pt idx="82">
                  <c:v>2.8</c:v>
                </c:pt>
                <c:pt idx="83">
                  <c:v>2.8</c:v>
                </c:pt>
                <c:pt idx="84">
                  <c:v>2.8</c:v>
                </c:pt>
                <c:pt idx="85">
                  <c:v>2.8</c:v>
                </c:pt>
                <c:pt idx="86">
                  <c:v>2.8</c:v>
                </c:pt>
                <c:pt idx="87">
                  <c:v>2.8</c:v>
                </c:pt>
                <c:pt idx="88">
                  <c:v>2.8</c:v>
                </c:pt>
                <c:pt idx="89">
                  <c:v>2.8</c:v>
                </c:pt>
                <c:pt idx="90">
                  <c:v>2.8</c:v>
                </c:pt>
                <c:pt idx="91">
                  <c:v>2.8</c:v>
                </c:pt>
                <c:pt idx="92">
                  <c:v>2.8</c:v>
                </c:pt>
                <c:pt idx="93">
                  <c:v>2.8</c:v>
                </c:pt>
                <c:pt idx="94">
                  <c:v>2.8</c:v>
                </c:pt>
                <c:pt idx="95">
                  <c:v>2.8</c:v>
                </c:pt>
                <c:pt idx="96">
                  <c:v>2.8</c:v>
                </c:pt>
                <c:pt idx="97">
                  <c:v>2.8</c:v>
                </c:pt>
                <c:pt idx="98">
                  <c:v>2.8</c:v>
                </c:pt>
                <c:pt idx="99">
                  <c:v>2.8</c:v>
                </c:pt>
                <c:pt idx="100">
                  <c:v>2.8</c:v>
                </c:pt>
                <c:pt idx="101">
                  <c:v>2.8</c:v>
                </c:pt>
                <c:pt idx="102">
                  <c:v>2.8</c:v>
                </c:pt>
                <c:pt idx="103">
                  <c:v>2.8</c:v>
                </c:pt>
                <c:pt idx="104">
                  <c:v>2.8</c:v>
                </c:pt>
                <c:pt idx="105">
                  <c:v>2.8</c:v>
                </c:pt>
                <c:pt idx="106">
                  <c:v>2.8</c:v>
                </c:pt>
                <c:pt idx="107">
                  <c:v>2.8</c:v>
                </c:pt>
                <c:pt idx="108">
                  <c:v>2.8</c:v>
                </c:pt>
                <c:pt idx="109">
                  <c:v>2.8</c:v>
                </c:pt>
                <c:pt idx="110">
                  <c:v>2.8</c:v>
                </c:pt>
                <c:pt idx="111">
                  <c:v>2.8</c:v>
                </c:pt>
                <c:pt idx="112">
                  <c:v>2.8</c:v>
                </c:pt>
                <c:pt idx="113">
                  <c:v>2.8</c:v>
                </c:pt>
                <c:pt idx="114">
                  <c:v>2.8</c:v>
                </c:pt>
                <c:pt idx="115">
                  <c:v>2.8</c:v>
                </c:pt>
                <c:pt idx="116">
                  <c:v>2.8</c:v>
                </c:pt>
                <c:pt idx="117">
                  <c:v>2.8</c:v>
                </c:pt>
                <c:pt idx="118">
                  <c:v>2.8</c:v>
                </c:pt>
                <c:pt idx="119">
                  <c:v>2.8</c:v>
                </c:pt>
                <c:pt idx="120">
                  <c:v>2.8</c:v>
                </c:pt>
                <c:pt idx="121">
                  <c:v>2.8</c:v>
                </c:pt>
                <c:pt idx="122">
                  <c:v>2.8</c:v>
                </c:pt>
                <c:pt idx="123">
                  <c:v>2.8</c:v>
                </c:pt>
                <c:pt idx="124">
                  <c:v>2.8</c:v>
                </c:pt>
                <c:pt idx="125">
                  <c:v>2.8</c:v>
                </c:pt>
                <c:pt idx="126">
                  <c:v>2.8</c:v>
                </c:pt>
                <c:pt idx="127">
                  <c:v>2.8</c:v>
                </c:pt>
                <c:pt idx="128">
                  <c:v>2.8</c:v>
                </c:pt>
                <c:pt idx="129">
                  <c:v>2.8</c:v>
                </c:pt>
                <c:pt idx="130">
                  <c:v>2.8</c:v>
                </c:pt>
                <c:pt idx="131">
                  <c:v>2.8</c:v>
                </c:pt>
                <c:pt idx="132">
                  <c:v>2.8</c:v>
                </c:pt>
                <c:pt idx="133">
                  <c:v>2.8</c:v>
                </c:pt>
                <c:pt idx="134">
                  <c:v>2.8</c:v>
                </c:pt>
                <c:pt idx="135">
                  <c:v>2.8</c:v>
                </c:pt>
                <c:pt idx="136">
                  <c:v>2.8</c:v>
                </c:pt>
                <c:pt idx="137">
                  <c:v>2.8</c:v>
                </c:pt>
                <c:pt idx="138">
                  <c:v>2.8</c:v>
                </c:pt>
                <c:pt idx="139">
                  <c:v>2.8</c:v>
                </c:pt>
                <c:pt idx="140">
                  <c:v>2.8</c:v>
                </c:pt>
                <c:pt idx="141">
                  <c:v>2.8</c:v>
                </c:pt>
                <c:pt idx="142">
                  <c:v>2.8</c:v>
                </c:pt>
                <c:pt idx="143">
                  <c:v>2.8</c:v>
                </c:pt>
                <c:pt idx="144">
                  <c:v>2.8</c:v>
                </c:pt>
                <c:pt idx="145">
                  <c:v>2.8</c:v>
                </c:pt>
                <c:pt idx="146">
                  <c:v>2.8</c:v>
                </c:pt>
                <c:pt idx="147">
                  <c:v>2.8</c:v>
                </c:pt>
                <c:pt idx="148">
                  <c:v>2.8</c:v>
                </c:pt>
                <c:pt idx="149">
                  <c:v>2.8</c:v>
                </c:pt>
                <c:pt idx="150">
                  <c:v>2.8</c:v>
                </c:pt>
                <c:pt idx="151">
                  <c:v>2.8</c:v>
                </c:pt>
                <c:pt idx="152">
                  <c:v>2.8</c:v>
                </c:pt>
                <c:pt idx="153">
                  <c:v>2.8</c:v>
                </c:pt>
                <c:pt idx="154">
                  <c:v>2.8</c:v>
                </c:pt>
                <c:pt idx="155">
                  <c:v>2.8</c:v>
                </c:pt>
                <c:pt idx="156">
                  <c:v>2.8</c:v>
                </c:pt>
                <c:pt idx="157">
                  <c:v>2.8</c:v>
                </c:pt>
                <c:pt idx="158">
                  <c:v>2.8</c:v>
                </c:pt>
                <c:pt idx="159">
                  <c:v>2.8</c:v>
                </c:pt>
                <c:pt idx="160">
                  <c:v>2.8</c:v>
                </c:pt>
                <c:pt idx="161">
                  <c:v>2.8</c:v>
                </c:pt>
                <c:pt idx="162">
                  <c:v>2.8</c:v>
                </c:pt>
                <c:pt idx="163">
                  <c:v>2.8</c:v>
                </c:pt>
                <c:pt idx="164">
                  <c:v>2.8</c:v>
                </c:pt>
                <c:pt idx="165">
                  <c:v>2.8</c:v>
                </c:pt>
                <c:pt idx="166">
                  <c:v>2.8</c:v>
                </c:pt>
                <c:pt idx="167">
                  <c:v>2.8</c:v>
                </c:pt>
                <c:pt idx="168">
                  <c:v>2.8</c:v>
                </c:pt>
                <c:pt idx="169">
                  <c:v>2.8</c:v>
                </c:pt>
                <c:pt idx="170">
                  <c:v>2.8</c:v>
                </c:pt>
                <c:pt idx="171">
                  <c:v>2.8</c:v>
                </c:pt>
                <c:pt idx="172">
                  <c:v>2.8</c:v>
                </c:pt>
                <c:pt idx="173">
                  <c:v>2.8</c:v>
                </c:pt>
                <c:pt idx="174">
                  <c:v>2.8</c:v>
                </c:pt>
                <c:pt idx="175">
                  <c:v>2.8</c:v>
                </c:pt>
                <c:pt idx="176">
                  <c:v>2.8</c:v>
                </c:pt>
                <c:pt idx="177">
                  <c:v>2.8</c:v>
                </c:pt>
                <c:pt idx="178">
                  <c:v>2.8</c:v>
                </c:pt>
                <c:pt idx="179">
                  <c:v>2.8</c:v>
                </c:pt>
                <c:pt idx="180">
                  <c:v>2.8</c:v>
                </c:pt>
                <c:pt idx="181">
                  <c:v>2.8</c:v>
                </c:pt>
                <c:pt idx="182">
                  <c:v>2.8</c:v>
                </c:pt>
                <c:pt idx="183">
                  <c:v>2.8</c:v>
                </c:pt>
                <c:pt idx="184">
                  <c:v>2.8</c:v>
                </c:pt>
                <c:pt idx="185">
                  <c:v>2.8</c:v>
                </c:pt>
                <c:pt idx="186">
                  <c:v>2.8</c:v>
                </c:pt>
                <c:pt idx="187">
                  <c:v>2.8</c:v>
                </c:pt>
                <c:pt idx="188">
                  <c:v>2.8</c:v>
                </c:pt>
                <c:pt idx="189">
                  <c:v>2.8</c:v>
                </c:pt>
                <c:pt idx="190">
                  <c:v>2.8</c:v>
                </c:pt>
                <c:pt idx="191">
                  <c:v>2.8</c:v>
                </c:pt>
                <c:pt idx="192">
                  <c:v>2.8</c:v>
                </c:pt>
                <c:pt idx="193">
                  <c:v>2.8</c:v>
                </c:pt>
                <c:pt idx="194">
                  <c:v>2.8</c:v>
                </c:pt>
                <c:pt idx="195">
                  <c:v>2.8</c:v>
                </c:pt>
                <c:pt idx="196">
                  <c:v>2.8</c:v>
                </c:pt>
                <c:pt idx="197">
                  <c:v>2.8</c:v>
                </c:pt>
                <c:pt idx="198">
                  <c:v>2.8</c:v>
                </c:pt>
                <c:pt idx="199">
                  <c:v>2.8</c:v>
                </c:pt>
                <c:pt idx="200">
                  <c:v>2.8</c:v>
                </c:pt>
                <c:pt idx="201">
                  <c:v>2.8</c:v>
                </c:pt>
                <c:pt idx="202">
                  <c:v>2.8</c:v>
                </c:pt>
                <c:pt idx="203">
                  <c:v>2.8</c:v>
                </c:pt>
                <c:pt idx="204">
                  <c:v>2.8</c:v>
                </c:pt>
                <c:pt idx="205">
                  <c:v>2.8</c:v>
                </c:pt>
                <c:pt idx="206">
                  <c:v>2.8</c:v>
                </c:pt>
                <c:pt idx="207">
                  <c:v>2.8</c:v>
                </c:pt>
                <c:pt idx="208">
                  <c:v>2.8</c:v>
                </c:pt>
                <c:pt idx="209">
                  <c:v>2.8</c:v>
                </c:pt>
                <c:pt idx="210">
                  <c:v>2.8</c:v>
                </c:pt>
                <c:pt idx="211">
                  <c:v>2.8</c:v>
                </c:pt>
                <c:pt idx="212">
                  <c:v>2.8</c:v>
                </c:pt>
                <c:pt idx="213">
                  <c:v>2.8</c:v>
                </c:pt>
                <c:pt idx="214">
                  <c:v>2.8</c:v>
                </c:pt>
                <c:pt idx="215">
                  <c:v>2.8</c:v>
                </c:pt>
                <c:pt idx="216">
                  <c:v>2.8</c:v>
                </c:pt>
                <c:pt idx="217">
                  <c:v>2.8</c:v>
                </c:pt>
                <c:pt idx="218">
                  <c:v>2.8</c:v>
                </c:pt>
                <c:pt idx="219">
                  <c:v>2.8</c:v>
                </c:pt>
                <c:pt idx="220">
                  <c:v>2.8</c:v>
                </c:pt>
                <c:pt idx="221">
                  <c:v>2.8</c:v>
                </c:pt>
                <c:pt idx="222">
                  <c:v>2.8</c:v>
                </c:pt>
                <c:pt idx="223">
                  <c:v>2.8</c:v>
                </c:pt>
                <c:pt idx="224">
                  <c:v>2.8</c:v>
                </c:pt>
                <c:pt idx="225">
                  <c:v>2.8</c:v>
                </c:pt>
                <c:pt idx="226">
                  <c:v>2.8</c:v>
                </c:pt>
                <c:pt idx="227">
                  <c:v>2.8</c:v>
                </c:pt>
                <c:pt idx="228">
                  <c:v>2.8</c:v>
                </c:pt>
                <c:pt idx="229">
                  <c:v>2.8</c:v>
                </c:pt>
                <c:pt idx="230">
                  <c:v>2.8</c:v>
                </c:pt>
                <c:pt idx="231">
                  <c:v>2.8</c:v>
                </c:pt>
                <c:pt idx="232">
                  <c:v>2.8</c:v>
                </c:pt>
                <c:pt idx="233">
                  <c:v>2.8</c:v>
                </c:pt>
                <c:pt idx="234">
                  <c:v>2.8</c:v>
                </c:pt>
                <c:pt idx="235">
                  <c:v>2.8</c:v>
                </c:pt>
                <c:pt idx="236">
                  <c:v>2.8</c:v>
                </c:pt>
                <c:pt idx="237">
                  <c:v>2.8</c:v>
                </c:pt>
                <c:pt idx="238">
                  <c:v>2.8</c:v>
                </c:pt>
                <c:pt idx="239">
                  <c:v>2.8</c:v>
                </c:pt>
                <c:pt idx="240">
                  <c:v>2.8</c:v>
                </c:pt>
                <c:pt idx="241">
                  <c:v>2.8</c:v>
                </c:pt>
                <c:pt idx="242">
                  <c:v>2.8</c:v>
                </c:pt>
                <c:pt idx="243">
                  <c:v>2.8</c:v>
                </c:pt>
                <c:pt idx="244">
                  <c:v>2.8</c:v>
                </c:pt>
                <c:pt idx="245">
                  <c:v>2.8</c:v>
                </c:pt>
                <c:pt idx="246">
                  <c:v>2.8</c:v>
                </c:pt>
                <c:pt idx="247">
                  <c:v>2.8</c:v>
                </c:pt>
                <c:pt idx="248">
                  <c:v>2.8</c:v>
                </c:pt>
                <c:pt idx="249">
                  <c:v>2.8</c:v>
                </c:pt>
                <c:pt idx="250">
                  <c:v>2.8</c:v>
                </c:pt>
                <c:pt idx="251">
                  <c:v>2.8</c:v>
                </c:pt>
                <c:pt idx="252">
                  <c:v>2.8</c:v>
                </c:pt>
                <c:pt idx="253">
                  <c:v>2.8</c:v>
                </c:pt>
                <c:pt idx="254">
                  <c:v>2.8</c:v>
                </c:pt>
                <c:pt idx="255">
                  <c:v>2.8</c:v>
                </c:pt>
                <c:pt idx="256">
                  <c:v>2.8</c:v>
                </c:pt>
                <c:pt idx="257">
                  <c:v>2.8</c:v>
                </c:pt>
                <c:pt idx="258">
                  <c:v>2.8</c:v>
                </c:pt>
                <c:pt idx="259">
                  <c:v>2.8</c:v>
                </c:pt>
                <c:pt idx="260">
                  <c:v>2.8</c:v>
                </c:pt>
                <c:pt idx="261">
                  <c:v>2.8</c:v>
                </c:pt>
                <c:pt idx="262">
                  <c:v>2.8</c:v>
                </c:pt>
                <c:pt idx="263">
                  <c:v>2.8</c:v>
                </c:pt>
                <c:pt idx="264">
                  <c:v>2.8</c:v>
                </c:pt>
                <c:pt idx="265">
                  <c:v>2.8</c:v>
                </c:pt>
                <c:pt idx="266">
                  <c:v>2.8</c:v>
                </c:pt>
                <c:pt idx="267">
                  <c:v>2.8</c:v>
                </c:pt>
                <c:pt idx="268">
                  <c:v>2.8</c:v>
                </c:pt>
                <c:pt idx="269">
                  <c:v>2.8</c:v>
                </c:pt>
                <c:pt idx="270">
                  <c:v>2.8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31D8-49F9-8E94-E35F3E83A371}"/>
            </c:ext>
          </c:extLst>
        </c:ser>
        <c:ser>
          <c:idx val="15"/>
          <c:order val="15"/>
          <c:spPr>
            <a:ln w="152400" cap="rnd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多分类圆角圆环图!$U$9:$U$368</c:f>
              <c:numCache>
                <c:formatCode>General</c:formatCode>
                <c:ptCount val="360"/>
                <c:pt idx="0">
                  <c:v>1.5999999999999999</c:v>
                </c:pt>
                <c:pt idx="1">
                  <c:v>1.5999999999999999</c:v>
                </c:pt>
                <c:pt idx="2">
                  <c:v>1.5999999999999999</c:v>
                </c:pt>
                <c:pt idx="3">
                  <c:v>1.5999999999999999</c:v>
                </c:pt>
                <c:pt idx="4">
                  <c:v>1.5999999999999999</c:v>
                </c:pt>
                <c:pt idx="5">
                  <c:v>1.5999999999999999</c:v>
                </c:pt>
                <c:pt idx="6">
                  <c:v>1.5999999999999999</c:v>
                </c:pt>
                <c:pt idx="7">
                  <c:v>1.5999999999999999</c:v>
                </c:pt>
                <c:pt idx="8">
                  <c:v>1.5999999999999999</c:v>
                </c:pt>
                <c:pt idx="9">
                  <c:v>1.5999999999999999</c:v>
                </c:pt>
                <c:pt idx="10">
                  <c:v>1.5999999999999999</c:v>
                </c:pt>
                <c:pt idx="11">
                  <c:v>1.5999999999999999</c:v>
                </c:pt>
                <c:pt idx="12">
                  <c:v>1.5999999999999999</c:v>
                </c:pt>
                <c:pt idx="13">
                  <c:v>1.5999999999999999</c:v>
                </c:pt>
                <c:pt idx="14">
                  <c:v>1.5999999999999999</c:v>
                </c:pt>
                <c:pt idx="15">
                  <c:v>1.5999999999999999</c:v>
                </c:pt>
                <c:pt idx="16">
                  <c:v>1.5999999999999999</c:v>
                </c:pt>
                <c:pt idx="17">
                  <c:v>1.5999999999999999</c:v>
                </c:pt>
                <c:pt idx="18">
                  <c:v>1.5999999999999999</c:v>
                </c:pt>
                <c:pt idx="19">
                  <c:v>1.5999999999999999</c:v>
                </c:pt>
                <c:pt idx="20">
                  <c:v>1.5999999999999999</c:v>
                </c:pt>
                <c:pt idx="21">
                  <c:v>1.5999999999999999</c:v>
                </c:pt>
                <c:pt idx="22">
                  <c:v>1.5999999999999999</c:v>
                </c:pt>
                <c:pt idx="23">
                  <c:v>1.5999999999999999</c:v>
                </c:pt>
                <c:pt idx="24">
                  <c:v>1.5999999999999999</c:v>
                </c:pt>
                <c:pt idx="25">
                  <c:v>1.5999999999999999</c:v>
                </c:pt>
                <c:pt idx="26">
                  <c:v>1.5999999999999999</c:v>
                </c:pt>
                <c:pt idx="27">
                  <c:v>1.5999999999999999</c:v>
                </c:pt>
                <c:pt idx="28">
                  <c:v>1.5999999999999999</c:v>
                </c:pt>
                <c:pt idx="29">
                  <c:v>1.5999999999999999</c:v>
                </c:pt>
                <c:pt idx="30">
                  <c:v>1.5999999999999999</c:v>
                </c:pt>
                <c:pt idx="31">
                  <c:v>1.5999999999999999</c:v>
                </c:pt>
                <c:pt idx="32">
                  <c:v>1.5999999999999999</c:v>
                </c:pt>
                <c:pt idx="33">
                  <c:v>1.5999999999999999</c:v>
                </c:pt>
                <c:pt idx="34">
                  <c:v>1.5999999999999999</c:v>
                </c:pt>
                <c:pt idx="35">
                  <c:v>1.5999999999999999</c:v>
                </c:pt>
                <c:pt idx="36">
                  <c:v>1.5999999999999999</c:v>
                </c:pt>
                <c:pt idx="37">
                  <c:v>1.5999999999999999</c:v>
                </c:pt>
                <c:pt idx="38">
                  <c:v>1.5999999999999999</c:v>
                </c:pt>
                <c:pt idx="39">
                  <c:v>1.5999999999999999</c:v>
                </c:pt>
                <c:pt idx="40">
                  <c:v>1.5999999999999999</c:v>
                </c:pt>
                <c:pt idx="41">
                  <c:v>1.5999999999999999</c:v>
                </c:pt>
                <c:pt idx="42">
                  <c:v>1.5999999999999999</c:v>
                </c:pt>
                <c:pt idx="43">
                  <c:v>1.5999999999999999</c:v>
                </c:pt>
                <c:pt idx="44">
                  <c:v>1.5999999999999999</c:v>
                </c:pt>
                <c:pt idx="45">
                  <c:v>1.5999999999999999</c:v>
                </c:pt>
                <c:pt idx="46">
                  <c:v>1.5999999999999999</c:v>
                </c:pt>
                <c:pt idx="47">
                  <c:v>1.5999999999999999</c:v>
                </c:pt>
                <c:pt idx="48">
                  <c:v>1.5999999999999999</c:v>
                </c:pt>
                <c:pt idx="49">
                  <c:v>1.5999999999999999</c:v>
                </c:pt>
                <c:pt idx="50">
                  <c:v>1.5999999999999999</c:v>
                </c:pt>
                <c:pt idx="51">
                  <c:v>1.5999999999999999</c:v>
                </c:pt>
                <c:pt idx="52">
                  <c:v>1.5999999999999999</c:v>
                </c:pt>
                <c:pt idx="53">
                  <c:v>1.5999999999999999</c:v>
                </c:pt>
                <c:pt idx="54">
                  <c:v>1.5999999999999999</c:v>
                </c:pt>
                <c:pt idx="55">
                  <c:v>1.5999999999999999</c:v>
                </c:pt>
                <c:pt idx="56">
                  <c:v>1.5999999999999999</c:v>
                </c:pt>
                <c:pt idx="57">
                  <c:v>1.5999999999999999</c:v>
                </c:pt>
                <c:pt idx="58">
                  <c:v>1.5999999999999999</c:v>
                </c:pt>
                <c:pt idx="59">
                  <c:v>1.5999999999999999</c:v>
                </c:pt>
                <c:pt idx="60">
                  <c:v>1.5999999999999999</c:v>
                </c:pt>
                <c:pt idx="61">
                  <c:v>1.5999999999999999</c:v>
                </c:pt>
                <c:pt idx="62">
                  <c:v>1.5999999999999999</c:v>
                </c:pt>
                <c:pt idx="63">
                  <c:v>1.5999999999999999</c:v>
                </c:pt>
                <c:pt idx="64">
                  <c:v>1.5999999999999999</c:v>
                </c:pt>
                <c:pt idx="65">
                  <c:v>1.5999999999999999</c:v>
                </c:pt>
                <c:pt idx="66">
                  <c:v>1.5999999999999999</c:v>
                </c:pt>
                <c:pt idx="67">
                  <c:v>1.5999999999999999</c:v>
                </c:pt>
                <c:pt idx="68">
                  <c:v>1.5999999999999999</c:v>
                </c:pt>
                <c:pt idx="69">
                  <c:v>1.5999999999999999</c:v>
                </c:pt>
                <c:pt idx="70">
                  <c:v>1.5999999999999999</c:v>
                </c:pt>
                <c:pt idx="71">
                  <c:v>1.5999999999999999</c:v>
                </c:pt>
                <c:pt idx="72">
                  <c:v>1.5999999999999999</c:v>
                </c:pt>
                <c:pt idx="73">
                  <c:v>1.5999999999999999</c:v>
                </c:pt>
                <c:pt idx="74">
                  <c:v>1.5999999999999999</c:v>
                </c:pt>
                <c:pt idx="75">
                  <c:v>1.5999999999999999</c:v>
                </c:pt>
                <c:pt idx="76">
                  <c:v>1.5999999999999999</c:v>
                </c:pt>
                <c:pt idx="77">
                  <c:v>1.5999999999999999</c:v>
                </c:pt>
                <c:pt idx="78">
                  <c:v>1.5999999999999999</c:v>
                </c:pt>
                <c:pt idx="79">
                  <c:v>1.5999999999999999</c:v>
                </c:pt>
                <c:pt idx="80">
                  <c:v>1.5999999999999999</c:v>
                </c:pt>
                <c:pt idx="81">
                  <c:v>1.5999999999999999</c:v>
                </c:pt>
                <c:pt idx="82">
                  <c:v>1.5999999999999999</c:v>
                </c:pt>
                <c:pt idx="83">
                  <c:v>1.5999999999999999</c:v>
                </c:pt>
                <c:pt idx="84">
                  <c:v>1.5999999999999999</c:v>
                </c:pt>
                <c:pt idx="85">
                  <c:v>1.5999999999999999</c:v>
                </c:pt>
                <c:pt idx="86">
                  <c:v>1.5999999999999999</c:v>
                </c:pt>
                <c:pt idx="87">
                  <c:v>1.5999999999999999</c:v>
                </c:pt>
                <c:pt idx="88">
                  <c:v>1.5999999999999999</c:v>
                </c:pt>
                <c:pt idx="89">
                  <c:v>1.5999999999999999</c:v>
                </c:pt>
                <c:pt idx="90">
                  <c:v>1.5999999999999999</c:v>
                </c:pt>
                <c:pt idx="91">
                  <c:v>1.5999999999999999</c:v>
                </c:pt>
                <c:pt idx="92">
                  <c:v>1.5999999999999999</c:v>
                </c:pt>
                <c:pt idx="93">
                  <c:v>1.5999999999999999</c:v>
                </c:pt>
                <c:pt idx="94">
                  <c:v>1.5999999999999999</c:v>
                </c:pt>
                <c:pt idx="95">
                  <c:v>1.5999999999999999</c:v>
                </c:pt>
                <c:pt idx="96">
                  <c:v>1.5999999999999999</c:v>
                </c:pt>
                <c:pt idx="97">
                  <c:v>1.5999999999999999</c:v>
                </c:pt>
                <c:pt idx="98">
                  <c:v>1.5999999999999999</c:v>
                </c:pt>
                <c:pt idx="99">
                  <c:v>1.5999999999999999</c:v>
                </c:pt>
                <c:pt idx="100">
                  <c:v>1.5999999999999999</c:v>
                </c:pt>
                <c:pt idx="101">
                  <c:v>1.5999999999999999</c:v>
                </c:pt>
                <c:pt idx="102">
                  <c:v>1.5999999999999999</c:v>
                </c:pt>
                <c:pt idx="103">
                  <c:v>1.5999999999999999</c:v>
                </c:pt>
                <c:pt idx="104">
                  <c:v>1.5999999999999999</c:v>
                </c:pt>
                <c:pt idx="105">
                  <c:v>1.5999999999999999</c:v>
                </c:pt>
                <c:pt idx="106">
                  <c:v>1.5999999999999999</c:v>
                </c:pt>
                <c:pt idx="107">
                  <c:v>1.5999999999999999</c:v>
                </c:pt>
                <c:pt idx="108">
                  <c:v>1.5999999999999999</c:v>
                </c:pt>
                <c:pt idx="109">
                  <c:v>1.5999999999999999</c:v>
                </c:pt>
                <c:pt idx="110">
                  <c:v>1.5999999999999999</c:v>
                </c:pt>
                <c:pt idx="111">
                  <c:v>1.5999999999999999</c:v>
                </c:pt>
                <c:pt idx="112">
                  <c:v>1.5999999999999999</c:v>
                </c:pt>
                <c:pt idx="113">
                  <c:v>1.5999999999999999</c:v>
                </c:pt>
                <c:pt idx="114">
                  <c:v>1.5999999999999999</c:v>
                </c:pt>
                <c:pt idx="115">
                  <c:v>1.5999999999999999</c:v>
                </c:pt>
                <c:pt idx="116">
                  <c:v>1.5999999999999999</c:v>
                </c:pt>
                <c:pt idx="117">
                  <c:v>1.5999999999999999</c:v>
                </c:pt>
                <c:pt idx="118">
                  <c:v>1.5999999999999999</c:v>
                </c:pt>
                <c:pt idx="119">
                  <c:v>1.5999999999999999</c:v>
                </c:pt>
                <c:pt idx="120">
                  <c:v>1.5999999999999999</c:v>
                </c:pt>
                <c:pt idx="121">
                  <c:v>1.5999999999999999</c:v>
                </c:pt>
                <c:pt idx="122">
                  <c:v>1.5999999999999999</c:v>
                </c:pt>
                <c:pt idx="123">
                  <c:v>1.5999999999999999</c:v>
                </c:pt>
                <c:pt idx="124">
                  <c:v>1.5999999999999999</c:v>
                </c:pt>
                <c:pt idx="125">
                  <c:v>1.5999999999999999</c:v>
                </c:pt>
                <c:pt idx="126">
                  <c:v>1.5999999999999999</c:v>
                </c:pt>
                <c:pt idx="127">
                  <c:v>1.5999999999999999</c:v>
                </c:pt>
                <c:pt idx="128">
                  <c:v>1.5999999999999999</c:v>
                </c:pt>
                <c:pt idx="129">
                  <c:v>1.5999999999999999</c:v>
                </c:pt>
                <c:pt idx="130">
                  <c:v>1.5999999999999999</c:v>
                </c:pt>
                <c:pt idx="131">
                  <c:v>1.5999999999999999</c:v>
                </c:pt>
                <c:pt idx="132">
                  <c:v>1.5999999999999999</c:v>
                </c:pt>
                <c:pt idx="133">
                  <c:v>1.5999999999999999</c:v>
                </c:pt>
                <c:pt idx="134">
                  <c:v>1.5999999999999999</c:v>
                </c:pt>
                <c:pt idx="135">
                  <c:v>1.5999999999999999</c:v>
                </c:pt>
                <c:pt idx="136">
                  <c:v>1.5999999999999999</c:v>
                </c:pt>
                <c:pt idx="137">
                  <c:v>1.5999999999999999</c:v>
                </c:pt>
                <c:pt idx="138">
                  <c:v>1.5999999999999999</c:v>
                </c:pt>
                <c:pt idx="139">
                  <c:v>1.5999999999999999</c:v>
                </c:pt>
                <c:pt idx="140">
                  <c:v>1.5999999999999999</c:v>
                </c:pt>
                <c:pt idx="141">
                  <c:v>1.5999999999999999</c:v>
                </c:pt>
                <c:pt idx="142">
                  <c:v>1.5999999999999999</c:v>
                </c:pt>
                <c:pt idx="143">
                  <c:v>1.5999999999999999</c:v>
                </c:pt>
                <c:pt idx="144">
                  <c:v>1.5999999999999999</c:v>
                </c:pt>
                <c:pt idx="145">
                  <c:v>1.5999999999999999</c:v>
                </c:pt>
                <c:pt idx="146">
                  <c:v>1.5999999999999999</c:v>
                </c:pt>
                <c:pt idx="147">
                  <c:v>1.5999999999999999</c:v>
                </c:pt>
                <c:pt idx="148">
                  <c:v>1.5999999999999999</c:v>
                </c:pt>
                <c:pt idx="149">
                  <c:v>1.5999999999999999</c:v>
                </c:pt>
                <c:pt idx="150">
                  <c:v>1.5999999999999999</c:v>
                </c:pt>
                <c:pt idx="151">
                  <c:v>1.5999999999999999</c:v>
                </c:pt>
                <c:pt idx="152">
                  <c:v>1.5999999999999999</c:v>
                </c:pt>
                <c:pt idx="153">
                  <c:v>1.5999999999999999</c:v>
                </c:pt>
                <c:pt idx="154">
                  <c:v>1.5999999999999999</c:v>
                </c:pt>
                <c:pt idx="155">
                  <c:v>1.5999999999999999</c:v>
                </c:pt>
                <c:pt idx="156">
                  <c:v>1.5999999999999999</c:v>
                </c:pt>
                <c:pt idx="157">
                  <c:v>1.5999999999999999</c:v>
                </c:pt>
                <c:pt idx="158">
                  <c:v>1.5999999999999999</c:v>
                </c:pt>
                <c:pt idx="159">
                  <c:v>1.5999999999999999</c:v>
                </c:pt>
                <c:pt idx="160">
                  <c:v>1.5999999999999999</c:v>
                </c:pt>
                <c:pt idx="161">
                  <c:v>1.5999999999999999</c:v>
                </c:pt>
                <c:pt idx="162">
                  <c:v>1.5999999999999999</c:v>
                </c:pt>
                <c:pt idx="163">
                  <c:v>1.5999999999999999</c:v>
                </c:pt>
                <c:pt idx="164">
                  <c:v>1.5999999999999999</c:v>
                </c:pt>
                <c:pt idx="165">
                  <c:v>1.5999999999999999</c:v>
                </c:pt>
                <c:pt idx="166">
                  <c:v>1.5999999999999999</c:v>
                </c:pt>
                <c:pt idx="167">
                  <c:v>1.5999999999999999</c:v>
                </c:pt>
                <c:pt idx="168">
                  <c:v>1.5999999999999999</c:v>
                </c:pt>
                <c:pt idx="169">
                  <c:v>1.5999999999999999</c:v>
                </c:pt>
                <c:pt idx="170">
                  <c:v>1.5999999999999999</c:v>
                </c:pt>
                <c:pt idx="171">
                  <c:v>1.5999999999999999</c:v>
                </c:pt>
                <c:pt idx="172">
                  <c:v>1.5999999999999999</c:v>
                </c:pt>
                <c:pt idx="173">
                  <c:v>1.5999999999999999</c:v>
                </c:pt>
                <c:pt idx="174">
                  <c:v>1.5999999999999999</c:v>
                </c:pt>
                <c:pt idx="175">
                  <c:v>1.5999999999999999</c:v>
                </c:pt>
                <c:pt idx="176">
                  <c:v>1.5999999999999999</c:v>
                </c:pt>
                <c:pt idx="177">
                  <c:v>1.5999999999999999</c:v>
                </c:pt>
                <c:pt idx="178">
                  <c:v>1.5999999999999999</c:v>
                </c:pt>
                <c:pt idx="179">
                  <c:v>1.5999999999999999</c:v>
                </c:pt>
                <c:pt idx="180">
                  <c:v>1.5999999999999999</c:v>
                </c:pt>
                <c:pt idx="181">
                  <c:v>1.5999999999999999</c:v>
                </c:pt>
                <c:pt idx="182">
                  <c:v>1.5999999999999999</c:v>
                </c:pt>
                <c:pt idx="183">
                  <c:v>1.5999999999999999</c:v>
                </c:pt>
                <c:pt idx="184">
                  <c:v>1.5999999999999999</c:v>
                </c:pt>
                <c:pt idx="185">
                  <c:v>1.5999999999999999</c:v>
                </c:pt>
                <c:pt idx="186">
                  <c:v>1.5999999999999999</c:v>
                </c:pt>
                <c:pt idx="187">
                  <c:v>1.5999999999999999</c:v>
                </c:pt>
                <c:pt idx="188">
                  <c:v>1.5999999999999999</c:v>
                </c:pt>
                <c:pt idx="189">
                  <c:v>1.5999999999999999</c:v>
                </c:pt>
                <c:pt idx="190">
                  <c:v>1.5999999999999999</c:v>
                </c:pt>
                <c:pt idx="191">
                  <c:v>1.5999999999999999</c:v>
                </c:pt>
                <c:pt idx="192">
                  <c:v>1.5999999999999999</c:v>
                </c:pt>
                <c:pt idx="193">
                  <c:v>1.5999999999999999</c:v>
                </c:pt>
                <c:pt idx="194">
                  <c:v>1.5999999999999999</c:v>
                </c:pt>
                <c:pt idx="195">
                  <c:v>1.5999999999999999</c:v>
                </c:pt>
                <c:pt idx="196">
                  <c:v>1.5999999999999999</c:v>
                </c:pt>
                <c:pt idx="197">
                  <c:v>1.5999999999999999</c:v>
                </c:pt>
                <c:pt idx="198">
                  <c:v>1.5999999999999999</c:v>
                </c:pt>
                <c:pt idx="199">
                  <c:v>1.5999999999999999</c:v>
                </c:pt>
                <c:pt idx="200">
                  <c:v>1.5999999999999999</c:v>
                </c:pt>
                <c:pt idx="201">
                  <c:v>1.5999999999999999</c:v>
                </c:pt>
                <c:pt idx="202">
                  <c:v>1.5999999999999999</c:v>
                </c:pt>
                <c:pt idx="203">
                  <c:v>1.5999999999999999</c:v>
                </c:pt>
                <c:pt idx="204">
                  <c:v>1.5999999999999999</c:v>
                </c:pt>
                <c:pt idx="205">
                  <c:v>1.5999999999999999</c:v>
                </c:pt>
                <c:pt idx="206">
                  <c:v>1.5999999999999999</c:v>
                </c:pt>
                <c:pt idx="207">
                  <c:v>1.5999999999999999</c:v>
                </c:pt>
                <c:pt idx="208">
                  <c:v>1.5999999999999999</c:v>
                </c:pt>
                <c:pt idx="209">
                  <c:v>1.5999999999999999</c:v>
                </c:pt>
                <c:pt idx="210">
                  <c:v>1.5999999999999999</c:v>
                </c:pt>
                <c:pt idx="211">
                  <c:v>1.5999999999999999</c:v>
                </c:pt>
                <c:pt idx="212">
                  <c:v>1.5999999999999999</c:v>
                </c:pt>
                <c:pt idx="213">
                  <c:v>1.5999999999999999</c:v>
                </c:pt>
                <c:pt idx="214">
                  <c:v>1.5999999999999999</c:v>
                </c:pt>
                <c:pt idx="215">
                  <c:v>1.5999999999999999</c:v>
                </c:pt>
                <c:pt idx="216">
                  <c:v>1.5999999999999999</c:v>
                </c:pt>
                <c:pt idx="217">
                  <c:v>1.5999999999999999</c:v>
                </c:pt>
                <c:pt idx="218">
                  <c:v>1.5999999999999999</c:v>
                </c:pt>
                <c:pt idx="219">
                  <c:v>1.5999999999999999</c:v>
                </c:pt>
                <c:pt idx="220">
                  <c:v>1.5999999999999999</c:v>
                </c:pt>
                <c:pt idx="221">
                  <c:v>1.5999999999999999</c:v>
                </c:pt>
                <c:pt idx="222">
                  <c:v>1.5999999999999999</c:v>
                </c:pt>
                <c:pt idx="223">
                  <c:v>1.5999999999999999</c:v>
                </c:pt>
                <c:pt idx="224">
                  <c:v>1.5999999999999999</c:v>
                </c:pt>
                <c:pt idx="225">
                  <c:v>1.5999999999999999</c:v>
                </c:pt>
                <c:pt idx="226">
                  <c:v>1.5999999999999999</c:v>
                </c:pt>
                <c:pt idx="227">
                  <c:v>1.5999999999999999</c:v>
                </c:pt>
                <c:pt idx="228">
                  <c:v>1.5999999999999999</c:v>
                </c:pt>
                <c:pt idx="229">
                  <c:v>1.5999999999999999</c:v>
                </c:pt>
                <c:pt idx="230">
                  <c:v>1.5999999999999999</c:v>
                </c:pt>
                <c:pt idx="231">
                  <c:v>1.5999999999999999</c:v>
                </c:pt>
                <c:pt idx="232">
                  <c:v>1.5999999999999999</c:v>
                </c:pt>
                <c:pt idx="233">
                  <c:v>1.5999999999999999</c:v>
                </c:pt>
                <c:pt idx="234">
                  <c:v>1.5999999999999999</c:v>
                </c:pt>
                <c:pt idx="235">
                  <c:v>1.5999999999999999</c:v>
                </c:pt>
                <c:pt idx="236">
                  <c:v>1.5999999999999999</c:v>
                </c:pt>
                <c:pt idx="237">
                  <c:v>1.5999999999999999</c:v>
                </c:pt>
                <c:pt idx="238">
                  <c:v>1.5999999999999999</c:v>
                </c:pt>
                <c:pt idx="239">
                  <c:v>1.5999999999999999</c:v>
                </c:pt>
                <c:pt idx="240">
                  <c:v>1.5999999999999999</c:v>
                </c:pt>
                <c:pt idx="241">
                  <c:v>1.5999999999999999</c:v>
                </c:pt>
                <c:pt idx="242">
                  <c:v>1.5999999999999999</c:v>
                </c:pt>
                <c:pt idx="243">
                  <c:v>1.5999999999999999</c:v>
                </c:pt>
                <c:pt idx="244">
                  <c:v>1.5999999999999999</c:v>
                </c:pt>
                <c:pt idx="245">
                  <c:v>1.5999999999999999</c:v>
                </c:pt>
                <c:pt idx="246">
                  <c:v>1.5999999999999999</c:v>
                </c:pt>
                <c:pt idx="247">
                  <c:v>1.5999999999999999</c:v>
                </c:pt>
                <c:pt idx="248">
                  <c:v>1.5999999999999999</c:v>
                </c:pt>
                <c:pt idx="249">
                  <c:v>1.5999999999999999</c:v>
                </c:pt>
                <c:pt idx="250">
                  <c:v>1.5999999999999999</c:v>
                </c:pt>
                <c:pt idx="251">
                  <c:v>1.5999999999999999</c:v>
                </c:pt>
                <c:pt idx="252">
                  <c:v>1.5999999999999999</c:v>
                </c:pt>
                <c:pt idx="253">
                  <c:v>1.5999999999999999</c:v>
                </c:pt>
                <c:pt idx="254">
                  <c:v>1.5999999999999999</c:v>
                </c:pt>
                <c:pt idx="255">
                  <c:v>1.5999999999999999</c:v>
                </c:pt>
                <c:pt idx="256">
                  <c:v>1.5999999999999999</c:v>
                </c:pt>
                <c:pt idx="257">
                  <c:v>1.5999999999999999</c:v>
                </c:pt>
                <c:pt idx="258">
                  <c:v>1.5999999999999999</c:v>
                </c:pt>
                <c:pt idx="259">
                  <c:v>1.5999999999999999</c:v>
                </c:pt>
                <c:pt idx="260">
                  <c:v>1.5999999999999999</c:v>
                </c:pt>
                <c:pt idx="261">
                  <c:v>1.5999999999999999</c:v>
                </c:pt>
                <c:pt idx="262">
                  <c:v>1.5999999999999999</c:v>
                </c:pt>
                <c:pt idx="263">
                  <c:v>1.5999999999999999</c:v>
                </c:pt>
                <c:pt idx="264">
                  <c:v>1.5999999999999999</c:v>
                </c:pt>
                <c:pt idx="265">
                  <c:v>1.5999999999999999</c:v>
                </c:pt>
                <c:pt idx="266">
                  <c:v>1.5999999999999999</c:v>
                </c:pt>
                <c:pt idx="267">
                  <c:v>1.5999999999999999</c:v>
                </c:pt>
                <c:pt idx="268">
                  <c:v>1.5999999999999999</c:v>
                </c:pt>
                <c:pt idx="269">
                  <c:v>1.5999999999999999</c:v>
                </c:pt>
                <c:pt idx="270">
                  <c:v>1.5999999999999999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31D8-49F9-8E94-E35F3E83A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19264"/>
        <c:axId val="55829248"/>
      </c:radarChart>
      <c:radarChart>
        <c:radarStyle val="marker"/>
        <c:varyColors val="0"/>
        <c:ser>
          <c:idx val="0"/>
          <c:order val="0"/>
          <c:tx>
            <c:strRef>
              <c:f>多分类圆角圆环图!$V$8</c:f>
              <c:strCache>
                <c:ptCount val="1"/>
                <c:pt idx="0">
                  <c:v>南京:指标81</c:v>
                </c:pt>
              </c:strCache>
            </c:strRef>
          </c:tx>
          <c:spPr>
            <a:ln w="152400" cap="rnd" cmpd="sng" algn="ctr">
              <a:solidFill>
                <a:srgbClr val="50D4D4"/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多分类圆角圆环图!$V$9:$V$368</c:f>
              <c:numCache>
                <c:formatCode>General</c:formatCode>
                <c:ptCount val="36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D8-49F9-8E94-E35F3E83A371}"/>
            </c:ext>
          </c:extLst>
        </c:ser>
        <c:ser>
          <c:idx val="1"/>
          <c:order val="1"/>
          <c:tx>
            <c:strRef>
              <c:f>多分类圆角圆环图!$W$8</c:f>
              <c:strCache>
                <c:ptCount val="1"/>
                <c:pt idx="0">
                  <c:v>上海:指标80</c:v>
                </c:pt>
              </c:strCache>
            </c:strRef>
          </c:tx>
          <c:spPr>
            <a:ln w="152400" cap="rnd" cmpd="sng" algn="ctr">
              <a:solidFill>
                <a:srgbClr val="FFE07D"/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多分类圆角圆环图!$W$9:$W$368</c:f>
              <c:numCache>
                <c:formatCode>General</c:formatCode>
                <c:ptCount val="360"/>
                <c:pt idx="0">
                  <c:v>8.8000000000000007</c:v>
                </c:pt>
                <c:pt idx="1">
                  <c:v>8.8000000000000007</c:v>
                </c:pt>
                <c:pt idx="2">
                  <c:v>8.8000000000000007</c:v>
                </c:pt>
                <c:pt idx="3">
                  <c:v>8.8000000000000007</c:v>
                </c:pt>
                <c:pt idx="4">
                  <c:v>8.8000000000000007</c:v>
                </c:pt>
                <c:pt idx="5">
                  <c:v>8.8000000000000007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8.8000000000000007</c:v>
                </c:pt>
                <c:pt idx="10">
                  <c:v>8.8000000000000007</c:v>
                </c:pt>
                <c:pt idx="11">
                  <c:v>8.8000000000000007</c:v>
                </c:pt>
                <c:pt idx="12">
                  <c:v>8.8000000000000007</c:v>
                </c:pt>
                <c:pt idx="13">
                  <c:v>8.8000000000000007</c:v>
                </c:pt>
                <c:pt idx="14">
                  <c:v>8.8000000000000007</c:v>
                </c:pt>
                <c:pt idx="15">
                  <c:v>8.8000000000000007</c:v>
                </c:pt>
                <c:pt idx="16">
                  <c:v>8.8000000000000007</c:v>
                </c:pt>
                <c:pt idx="17">
                  <c:v>8.8000000000000007</c:v>
                </c:pt>
                <c:pt idx="18">
                  <c:v>8.8000000000000007</c:v>
                </c:pt>
                <c:pt idx="19">
                  <c:v>8.8000000000000007</c:v>
                </c:pt>
                <c:pt idx="20">
                  <c:v>8.8000000000000007</c:v>
                </c:pt>
                <c:pt idx="21">
                  <c:v>8.8000000000000007</c:v>
                </c:pt>
                <c:pt idx="22">
                  <c:v>8.8000000000000007</c:v>
                </c:pt>
                <c:pt idx="23">
                  <c:v>8.8000000000000007</c:v>
                </c:pt>
                <c:pt idx="24">
                  <c:v>8.8000000000000007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8.8000000000000007</c:v>
                </c:pt>
                <c:pt idx="30">
                  <c:v>8.8000000000000007</c:v>
                </c:pt>
                <c:pt idx="31">
                  <c:v>8.8000000000000007</c:v>
                </c:pt>
                <c:pt idx="32">
                  <c:v>8.8000000000000007</c:v>
                </c:pt>
                <c:pt idx="33">
                  <c:v>8.8000000000000007</c:v>
                </c:pt>
                <c:pt idx="34">
                  <c:v>8.8000000000000007</c:v>
                </c:pt>
                <c:pt idx="35">
                  <c:v>8.8000000000000007</c:v>
                </c:pt>
                <c:pt idx="36">
                  <c:v>8.8000000000000007</c:v>
                </c:pt>
                <c:pt idx="37">
                  <c:v>8.8000000000000007</c:v>
                </c:pt>
                <c:pt idx="38">
                  <c:v>8.8000000000000007</c:v>
                </c:pt>
                <c:pt idx="39">
                  <c:v>8.8000000000000007</c:v>
                </c:pt>
                <c:pt idx="40">
                  <c:v>8.8000000000000007</c:v>
                </c:pt>
                <c:pt idx="41">
                  <c:v>8.8000000000000007</c:v>
                </c:pt>
                <c:pt idx="42">
                  <c:v>8.8000000000000007</c:v>
                </c:pt>
                <c:pt idx="43">
                  <c:v>8.8000000000000007</c:v>
                </c:pt>
                <c:pt idx="44">
                  <c:v>8.8000000000000007</c:v>
                </c:pt>
                <c:pt idx="45">
                  <c:v>8.8000000000000007</c:v>
                </c:pt>
                <c:pt idx="46">
                  <c:v>8.8000000000000007</c:v>
                </c:pt>
                <c:pt idx="47">
                  <c:v>8.8000000000000007</c:v>
                </c:pt>
                <c:pt idx="48">
                  <c:v>8.8000000000000007</c:v>
                </c:pt>
                <c:pt idx="49">
                  <c:v>8.8000000000000007</c:v>
                </c:pt>
                <c:pt idx="50">
                  <c:v>8.8000000000000007</c:v>
                </c:pt>
                <c:pt idx="51">
                  <c:v>8.8000000000000007</c:v>
                </c:pt>
                <c:pt idx="52">
                  <c:v>8.8000000000000007</c:v>
                </c:pt>
                <c:pt idx="53">
                  <c:v>8.8000000000000007</c:v>
                </c:pt>
                <c:pt idx="54">
                  <c:v>8.8000000000000007</c:v>
                </c:pt>
                <c:pt idx="55">
                  <c:v>8.8000000000000007</c:v>
                </c:pt>
                <c:pt idx="56">
                  <c:v>8.8000000000000007</c:v>
                </c:pt>
                <c:pt idx="57">
                  <c:v>8.8000000000000007</c:v>
                </c:pt>
                <c:pt idx="58">
                  <c:v>8.8000000000000007</c:v>
                </c:pt>
                <c:pt idx="59">
                  <c:v>8.8000000000000007</c:v>
                </c:pt>
                <c:pt idx="60">
                  <c:v>8.8000000000000007</c:v>
                </c:pt>
                <c:pt idx="61">
                  <c:v>8.8000000000000007</c:v>
                </c:pt>
                <c:pt idx="62">
                  <c:v>8.8000000000000007</c:v>
                </c:pt>
                <c:pt idx="63">
                  <c:v>8.8000000000000007</c:v>
                </c:pt>
                <c:pt idx="64">
                  <c:v>8.8000000000000007</c:v>
                </c:pt>
                <c:pt idx="65">
                  <c:v>8.8000000000000007</c:v>
                </c:pt>
                <c:pt idx="66">
                  <c:v>8.8000000000000007</c:v>
                </c:pt>
                <c:pt idx="67">
                  <c:v>8.8000000000000007</c:v>
                </c:pt>
                <c:pt idx="68">
                  <c:v>8.8000000000000007</c:v>
                </c:pt>
                <c:pt idx="69">
                  <c:v>8.8000000000000007</c:v>
                </c:pt>
                <c:pt idx="70">
                  <c:v>8.8000000000000007</c:v>
                </c:pt>
                <c:pt idx="71">
                  <c:v>8.8000000000000007</c:v>
                </c:pt>
                <c:pt idx="72">
                  <c:v>8.8000000000000007</c:v>
                </c:pt>
                <c:pt idx="73">
                  <c:v>8.8000000000000007</c:v>
                </c:pt>
                <c:pt idx="74">
                  <c:v>8.8000000000000007</c:v>
                </c:pt>
                <c:pt idx="75">
                  <c:v>8.8000000000000007</c:v>
                </c:pt>
                <c:pt idx="76">
                  <c:v>8.8000000000000007</c:v>
                </c:pt>
                <c:pt idx="77">
                  <c:v>8.8000000000000007</c:v>
                </c:pt>
                <c:pt idx="78">
                  <c:v>8.8000000000000007</c:v>
                </c:pt>
                <c:pt idx="79">
                  <c:v>8.8000000000000007</c:v>
                </c:pt>
                <c:pt idx="80">
                  <c:v>8.8000000000000007</c:v>
                </c:pt>
                <c:pt idx="81">
                  <c:v>8.8000000000000007</c:v>
                </c:pt>
                <c:pt idx="82">
                  <c:v>8.8000000000000007</c:v>
                </c:pt>
                <c:pt idx="83">
                  <c:v>8.8000000000000007</c:v>
                </c:pt>
                <c:pt idx="84">
                  <c:v>8.8000000000000007</c:v>
                </c:pt>
                <c:pt idx="85">
                  <c:v>8.8000000000000007</c:v>
                </c:pt>
                <c:pt idx="86">
                  <c:v>8.8000000000000007</c:v>
                </c:pt>
                <c:pt idx="87">
                  <c:v>8.8000000000000007</c:v>
                </c:pt>
                <c:pt idx="88">
                  <c:v>8.8000000000000007</c:v>
                </c:pt>
                <c:pt idx="89">
                  <c:v>8.8000000000000007</c:v>
                </c:pt>
                <c:pt idx="90">
                  <c:v>8.8000000000000007</c:v>
                </c:pt>
                <c:pt idx="91">
                  <c:v>8.8000000000000007</c:v>
                </c:pt>
                <c:pt idx="92">
                  <c:v>8.8000000000000007</c:v>
                </c:pt>
                <c:pt idx="93">
                  <c:v>8.8000000000000007</c:v>
                </c:pt>
                <c:pt idx="94">
                  <c:v>8.8000000000000007</c:v>
                </c:pt>
                <c:pt idx="95">
                  <c:v>8.8000000000000007</c:v>
                </c:pt>
                <c:pt idx="96">
                  <c:v>8.8000000000000007</c:v>
                </c:pt>
                <c:pt idx="97">
                  <c:v>8.8000000000000007</c:v>
                </c:pt>
                <c:pt idx="98">
                  <c:v>8.8000000000000007</c:v>
                </c:pt>
                <c:pt idx="99">
                  <c:v>8.8000000000000007</c:v>
                </c:pt>
                <c:pt idx="100">
                  <c:v>8.8000000000000007</c:v>
                </c:pt>
                <c:pt idx="101">
                  <c:v>8.8000000000000007</c:v>
                </c:pt>
                <c:pt idx="102">
                  <c:v>8.8000000000000007</c:v>
                </c:pt>
                <c:pt idx="103">
                  <c:v>8.8000000000000007</c:v>
                </c:pt>
                <c:pt idx="104">
                  <c:v>8.8000000000000007</c:v>
                </c:pt>
                <c:pt idx="105">
                  <c:v>8.8000000000000007</c:v>
                </c:pt>
                <c:pt idx="106">
                  <c:v>8.8000000000000007</c:v>
                </c:pt>
                <c:pt idx="107">
                  <c:v>8.8000000000000007</c:v>
                </c:pt>
                <c:pt idx="108">
                  <c:v>8.8000000000000007</c:v>
                </c:pt>
                <c:pt idx="109">
                  <c:v>8.8000000000000007</c:v>
                </c:pt>
                <c:pt idx="110">
                  <c:v>8.8000000000000007</c:v>
                </c:pt>
                <c:pt idx="111">
                  <c:v>8.8000000000000007</c:v>
                </c:pt>
                <c:pt idx="112">
                  <c:v>8.8000000000000007</c:v>
                </c:pt>
                <c:pt idx="113">
                  <c:v>8.8000000000000007</c:v>
                </c:pt>
                <c:pt idx="114">
                  <c:v>8.8000000000000007</c:v>
                </c:pt>
                <c:pt idx="115">
                  <c:v>8.8000000000000007</c:v>
                </c:pt>
                <c:pt idx="116">
                  <c:v>8.8000000000000007</c:v>
                </c:pt>
                <c:pt idx="117">
                  <c:v>8.8000000000000007</c:v>
                </c:pt>
                <c:pt idx="118">
                  <c:v>8.8000000000000007</c:v>
                </c:pt>
                <c:pt idx="119">
                  <c:v>8.8000000000000007</c:v>
                </c:pt>
                <c:pt idx="120">
                  <c:v>8.8000000000000007</c:v>
                </c:pt>
                <c:pt idx="121">
                  <c:v>8.8000000000000007</c:v>
                </c:pt>
                <c:pt idx="122">
                  <c:v>8.8000000000000007</c:v>
                </c:pt>
                <c:pt idx="123">
                  <c:v>8.8000000000000007</c:v>
                </c:pt>
                <c:pt idx="124">
                  <c:v>8.8000000000000007</c:v>
                </c:pt>
                <c:pt idx="125">
                  <c:v>8.8000000000000007</c:v>
                </c:pt>
                <c:pt idx="126">
                  <c:v>8.8000000000000007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8.8000000000000007</c:v>
                </c:pt>
                <c:pt idx="130">
                  <c:v>8.8000000000000007</c:v>
                </c:pt>
                <c:pt idx="131">
                  <c:v>8.8000000000000007</c:v>
                </c:pt>
                <c:pt idx="132">
                  <c:v>8.8000000000000007</c:v>
                </c:pt>
                <c:pt idx="133">
                  <c:v>8.8000000000000007</c:v>
                </c:pt>
                <c:pt idx="134">
                  <c:v>8.8000000000000007</c:v>
                </c:pt>
                <c:pt idx="135">
                  <c:v>8.8000000000000007</c:v>
                </c:pt>
                <c:pt idx="136">
                  <c:v>8.8000000000000007</c:v>
                </c:pt>
                <c:pt idx="137">
                  <c:v>8.8000000000000007</c:v>
                </c:pt>
                <c:pt idx="138">
                  <c:v>8.8000000000000007</c:v>
                </c:pt>
                <c:pt idx="139">
                  <c:v>8.8000000000000007</c:v>
                </c:pt>
                <c:pt idx="140">
                  <c:v>8.8000000000000007</c:v>
                </c:pt>
                <c:pt idx="141">
                  <c:v>8.8000000000000007</c:v>
                </c:pt>
                <c:pt idx="142">
                  <c:v>8.8000000000000007</c:v>
                </c:pt>
                <c:pt idx="143">
                  <c:v>8.8000000000000007</c:v>
                </c:pt>
                <c:pt idx="144">
                  <c:v>8.8000000000000007</c:v>
                </c:pt>
                <c:pt idx="145">
                  <c:v>8.8000000000000007</c:v>
                </c:pt>
                <c:pt idx="146">
                  <c:v>8.8000000000000007</c:v>
                </c:pt>
                <c:pt idx="147">
                  <c:v>8.8000000000000007</c:v>
                </c:pt>
                <c:pt idx="148">
                  <c:v>8.8000000000000007</c:v>
                </c:pt>
                <c:pt idx="149">
                  <c:v>8.8000000000000007</c:v>
                </c:pt>
                <c:pt idx="150">
                  <c:v>8.8000000000000007</c:v>
                </c:pt>
                <c:pt idx="151">
                  <c:v>8.8000000000000007</c:v>
                </c:pt>
                <c:pt idx="152">
                  <c:v>8.8000000000000007</c:v>
                </c:pt>
                <c:pt idx="153">
                  <c:v>8.8000000000000007</c:v>
                </c:pt>
                <c:pt idx="154">
                  <c:v>8.8000000000000007</c:v>
                </c:pt>
                <c:pt idx="155">
                  <c:v>8.8000000000000007</c:v>
                </c:pt>
                <c:pt idx="156">
                  <c:v>8.8000000000000007</c:v>
                </c:pt>
                <c:pt idx="157">
                  <c:v>8.8000000000000007</c:v>
                </c:pt>
                <c:pt idx="158">
                  <c:v>8.8000000000000007</c:v>
                </c:pt>
                <c:pt idx="159">
                  <c:v>8.8000000000000007</c:v>
                </c:pt>
                <c:pt idx="160">
                  <c:v>8.8000000000000007</c:v>
                </c:pt>
                <c:pt idx="161">
                  <c:v>8.8000000000000007</c:v>
                </c:pt>
                <c:pt idx="162">
                  <c:v>8.8000000000000007</c:v>
                </c:pt>
                <c:pt idx="163">
                  <c:v>8.8000000000000007</c:v>
                </c:pt>
                <c:pt idx="164">
                  <c:v>8.8000000000000007</c:v>
                </c:pt>
                <c:pt idx="165">
                  <c:v>8.8000000000000007</c:v>
                </c:pt>
                <c:pt idx="166">
                  <c:v>8.8000000000000007</c:v>
                </c:pt>
                <c:pt idx="167">
                  <c:v>8.8000000000000007</c:v>
                </c:pt>
                <c:pt idx="168">
                  <c:v>8.8000000000000007</c:v>
                </c:pt>
                <c:pt idx="169">
                  <c:v>8.8000000000000007</c:v>
                </c:pt>
                <c:pt idx="170">
                  <c:v>8.8000000000000007</c:v>
                </c:pt>
                <c:pt idx="171">
                  <c:v>8.8000000000000007</c:v>
                </c:pt>
                <c:pt idx="172">
                  <c:v>8.8000000000000007</c:v>
                </c:pt>
                <c:pt idx="173">
                  <c:v>8.8000000000000007</c:v>
                </c:pt>
                <c:pt idx="174">
                  <c:v>8.8000000000000007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8.8000000000000007</c:v>
                </c:pt>
                <c:pt idx="178">
                  <c:v>8.8000000000000007</c:v>
                </c:pt>
                <c:pt idx="179">
                  <c:v>8.8000000000000007</c:v>
                </c:pt>
                <c:pt idx="180">
                  <c:v>8.8000000000000007</c:v>
                </c:pt>
                <c:pt idx="181">
                  <c:v>8.8000000000000007</c:v>
                </c:pt>
                <c:pt idx="182">
                  <c:v>8.8000000000000007</c:v>
                </c:pt>
                <c:pt idx="183">
                  <c:v>8.8000000000000007</c:v>
                </c:pt>
                <c:pt idx="184">
                  <c:v>8.8000000000000007</c:v>
                </c:pt>
                <c:pt idx="185">
                  <c:v>8.8000000000000007</c:v>
                </c:pt>
                <c:pt idx="186">
                  <c:v>8.8000000000000007</c:v>
                </c:pt>
                <c:pt idx="187">
                  <c:v>8.8000000000000007</c:v>
                </c:pt>
                <c:pt idx="188">
                  <c:v>8.8000000000000007</c:v>
                </c:pt>
                <c:pt idx="189">
                  <c:v>8.8000000000000007</c:v>
                </c:pt>
                <c:pt idx="190">
                  <c:v>8.8000000000000007</c:v>
                </c:pt>
                <c:pt idx="191">
                  <c:v>8.8000000000000007</c:v>
                </c:pt>
                <c:pt idx="192">
                  <c:v>8.8000000000000007</c:v>
                </c:pt>
                <c:pt idx="193">
                  <c:v>8.8000000000000007</c:v>
                </c:pt>
                <c:pt idx="194">
                  <c:v>8.8000000000000007</c:v>
                </c:pt>
                <c:pt idx="195">
                  <c:v>8.8000000000000007</c:v>
                </c:pt>
                <c:pt idx="196">
                  <c:v>8.8000000000000007</c:v>
                </c:pt>
                <c:pt idx="197">
                  <c:v>8.8000000000000007</c:v>
                </c:pt>
                <c:pt idx="198">
                  <c:v>8.8000000000000007</c:v>
                </c:pt>
                <c:pt idx="199">
                  <c:v>8.8000000000000007</c:v>
                </c:pt>
                <c:pt idx="200">
                  <c:v>8.8000000000000007</c:v>
                </c:pt>
                <c:pt idx="201">
                  <c:v>8.8000000000000007</c:v>
                </c:pt>
                <c:pt idx="202">
                  <c:v>8.8000000000000007</c:v>
                </c:pt>
                <c:pt idx="203">
                  <c:v>8.8000000000000007</c:v>
                </c:pt>
                <c:pt idx="204">
                  <c:v>8.8000000000000007</c:v>
                </c:pt>
                <c:pt idx="205">
                  <c:v>8.8000000000000007</c:v>
                </c:pt>
                <c:pt idx="206">
                  <c:v>8.8000000000000007</c:v>
                </c:pt>
                <c:pt idx="207">
                  <c:v>8.8000000000000007</c:v>
                </c:pt>
                <c:pt idx="208">
                  <c:v>8.8000000000000007</c:v>
                </c:pt>
                <c:pt idx="209">
                  <c:v>8.8000000000000007</c:v>
                </c:pt>
                <c:pt idx="210">
                  <c:v>8.8000000000000007</c:v>
                </c:pt>
                <c:pt idx="211">
                  <c:v>8.8000000000000007</c:v>
                </c:pt>
                <c:pt idx="212">
                  <c:v>8.8000000000000007</c:v>
                </c:pt>
                <c:pt idx="213">
                  <c:v>8.8000000000000007</c:v>
                </c:pt>
                <c:pt idx="214">
                  <c:v>8.8000000000000007</c:v>
                </c:pt>
                <c:pt idx="215">
                  <c:v>8.8000000000000007</c:v>
                </c:pt>
                <c:pt idx="216">
                  <c:v>8.8000000000000007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31D8-49F9-8E94-E35F3E83A371}"/>
            </c:ext>
          </c:extLst>
        </c:ser>
        <c:ser>
          <c:idx val="2"/>
          <c:order val="2"/>
          <c:tx>
            <c:strRef>
              <c:f>多分类圆角圆环图!$X$8</c:f>
              <c:strCache>
                <c:ptCount val="1"/>
                <c:pt idx="0">
                  <c:v>广州:指标78</c:v>
                </c:pt>
              </c:strCache>
            </c:strRef>
          </c:tx>
          <c:spPr>
            <a:ln w="152400" cap="rnd" cmpd="sng" algn="ctr">
              <a:solidFill>
                <a:srgbClr val="FFE07D"/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多分类圆角圆环图!$X$9:$X$368</c:f>
              <c:numCache>
                <c:formatCode>General</c:formatCode>
                <c:ptCount val="360"/>
                <c:pt idx="0">
                  <c:v>7.6000000000000005</c:v>
                </c:pt>
                <c:pt idx="1">
                  <c:v>7.6000000000000005</c:v>
                </c:pt>
                <c:pt idx="2">
                  <c:v>7.6000000000000005</c:v>
                </c:pt>
                <c:pt idx="3">
                  <c:v>7.6000000000000005</c:v>
                </c:pt>
                <c:pt idx="4">
                  <c:v>7.6000000000000005</c:v>
                </c:pt>
                <c:pt idx="5">
                  <c:v>7.6000000000000005</c:v>
                </c:pt>
                <c:pt idx="6">
                  <c:v>7.6000000000000005</c:v>
                </c:pt>
                <c:pt idx="7">
                  <c:v>7.6000000000000005</c:v>
                </c:pt>
                <c:pt idx="8">
                  <c:v>7.6000000000000005</c:v>
                </c:pt>
                <c:pt idx="9">
                  <c:v>7.6000000000000005</c:v>
                </c:pt>
                <c:pt idx="10">
                  <c:v>7.6000000000000005</c:v>
                </c:pt>
                <c:pt idx="11">
                  <c:v>7.6000000000000005</c:v>
                </c:pt>
                <c:pt idx="12">
                  <c:v>7.6000000000000005</c:v>
                </c:pt>
                <c:pt idx="13">
                  <c:v>7.6000000000000005</c:v>
                </c:pt>
                <c:pt idx="14">
                  <c:v>7.6000000000000005</c:v>
                </c:pt>
                <c:pt idx="15">
                  <c:v>7.6000000000000005</c:v>
                </c:pt>
                <c:pt idx="16">
                  <c:v>7.6000000000000005</c:v>
                </c:pt>
                <c:pt idx="17">
                  <c:v>7.6000000000000005</c:v>
                </c:pt>
                <c:pt idx="18">
                  <c:v>7.6000000000000005</c:v>
                </c:pt>
                <c:pt idx="19">
                  <c:v>7.6000000000000005</c:v>
                </c:pt>
                <c:pt idx="20">
                  <c:v>7.6000000000000005</c:v>
                </c:pt>
                <c:pt idx="21">
                  <c:v>7.6000000000000005</c:v>
                </c:pt>
                <c:pt idx="22">
                  <c:v>7.6000000000000005</c:v>
                </c:pt>
                <c:pt idx="23">
                  <c:v>7.6000000000000005</c:v>
                </c:pt>
                <c:pt idx="24">
                  <c:v>7.6000000000000005</c:v>
                </c:pt>
                <c:pt idx="25">
                  <c:v>7.6000000000000005</c:v>
                </c:pt>
                <c:pt idx="26">
                  <c:v>7.6000000000000005</c:v>
                </c:pt>
                <c:pt idx="27">
                  <c:v>7.6000000000000005</c:v>
                </c:pt>
                <c:pt idx="28">
                  <c:v>7.6000000000000005</c:v>
                </c:pt>
                <c:pt idx="29">
                  <c:v>7.6000000000000005</c:v>
                </c:pt>
                <c:pt idx="30">
                  <c:v>7.6000000000000005</c:v>
                </c:pt>
                <c:pt idx="31">
                  <c:v>7.6000000000000005</c:v>
                </c:pt>
                <c:pt idx="32">
                  <c:v>7.6000000000000005</c:v>
                </c:pt>
                <c:pt idx="33">
                  <c:v>7.6000000000000005</c:v>
                </c:pt>
                <c:pt idx="34">
                  <c:v>7.6000000000000005</c:v>
                </c:pt>
                <c:pt idx="35">
                  <c:v>7.6000000000000005</c:v>
                </c:pt>
                <c:pt idx="36">
                  <c:v>7.6000000000000005</c:v>
                </c:pt>
                <c:pt idx="37">
                  <c:v>7.6000000000000005</c:v>
                </c:pt>
                <c:pt idx="38">
                  <c:v>7.6000000000000005</c:v>
                </c:pt>
                <c:pt idx="39">
                  <c:v>7.6000000000000005</c:v>
                </c:pt>
                <c:pt idx="40">
                  <c:v>7.6000000000000005</c:v>
                </c:pt>
                <c:pt idx="41">
                  <c:v>7.6000000000000005</c:v>
                </c:pt>
                <c:pt idx="42">
                  <c:v>7.6000000000000005</c:v>
                </c:pt>
                <c:pt idx="43">
                  <c:v>7.6000000000000005</c:v>
                </c:pt>
                <c:pt idx="44">
                  <c:v>7.6000000000000005</c:v>
                </c:pt>
                <c:pt idx="45">
                  <c:v>7.6000000000000005</c:v>
                </c:pt>
                <c:pt idx="46">
                  <c:v>7.6000000000000005</c:v>
                </c:pt>
                <c:pt idx="47">
                  <c:v>7.6000000000000005</c:v>
                </c:pt>
                <c:pt idx="48">
                  <c:v>7.6000000000000005</c:v>
                </c:pt>
                <c:pt idx="49">
                  <c:v>7.6000000000000005</c:v>
                </c:pt>
                <c:pt idx="50">
                  <c:v>7.6000000000000005</c:v>
                </c:pt>
                <c:pt idx="51">
                  <c:v>7.6000000000000005</c:v>
                </c:pt>
                <c:pt idx="52">
                  <c:v>7.6000000000000005</c:v>
                </c:pt>
                <c:pt idx="53">
                  <c:v>7.6000000000000005</c:v>
                </c:pt>
                <c:pt idx="54">
                  <c:v>7.6000000000000005</c:v>
                </c:pt>
                <c:pt idx="55">
                  <c:v>7.6000000000000005</c:v>
                </c:pt>
                <c:pt idx="56">
                  <c:v>7.6000000000000005</c:v>
                </c:pt>
                <c:pt idx="57">
                  <c:v>7.6000000000000005</c:v>
                </c:pt>
                <c:pt idx="58">
                  <c:v>7.6000000000000005</c:v>
                </c:pt>
                <c:pt idx="59">
                  <c:v>7.6000000000000005</c:v>
                </c:pt>
                <c:pt idx="60">
                  <c:v>7.6000000000000005</c:v>
                </c:pt>
                <c:pt idx="61">
                  <c:v>7.6000000000000005</c:v>
                </c:pt>
                <c:pt idx="62">
                  <c:v>7.6000000000000005</c:v>
                </c:pt>
                <c:pt idx="63">
                  <c:v>7.6000000000000005</c:v>
                </c:pt>
                <c:pt idx="64">
                  <c:v>7.6000000000000005</c:v>
                </c:pt>
                <c:pt idx="65">
                  <c:v>7.6000000000000005</c:v>
                </c:pt>
                <c:pt idx="66">
                  <c:v>7.6000000000000005</c:v>
                </c:pt>
                <c:pt idx="67">
                  <c:v>7.6000000000000005</c:v>
                </c:pt>
                <c:pt idx="68">
                  <c:v>7.6000000000000005</c:v>
                </c:pt>
                <c:pt idx="69">
                  <c:v>7.6000000000000005</c:v>
                </c:pt>
                <c:pt idx="70">
                  <c:v>7.6000000000000005</c:v>
                </c:pt>
                <c:pt idx="71">
                  <c:v>7.6000000000000005</c:v>
                </c:pt>
                <c:pt idx="72">
                  <c:v>7.6000000000000005</c:v>
                </c:pt>
                <c:pt idx="73">
                  <c:v>7.6000000000000005</c:v>
                </c:pt>
                <c:pt idx="74">
                  <c:v>7.6000000000000005</c:v>
                </c:pt>
                <c:pt idx="75">
                  <c:v>7.6000000000000005</c:v>
                </c:pt>
                <c:pt idx="76">
                  <c:v>7.6000000000000005</c:v>
                </c:pt>
                <c:pt idx="77">
                  <c:v>7.6000000000000005</c:v>
                </c:pt>
                <c:pt idx="78">
                  <c:v>7.6000000000000005</c:v>
                </c:pt>
                <c:pt idx="79">
                  <c:v>7.6000000000000005</c:v>
                </c:pt>
                <c:pt idx="80">
                  <c:v>7.6000000000000005</c:v>
                </c:pt>
                <c:pt idx="81">
                  <c:v>7.6000000000000005</c:v>
                </c:pt>
                <c:pt idx="82">
                  <c:v>7.6000000000000005</c:v>
                </c:pt>
                <c:pt idx="83">
                  <c:v>7.6000000000000005</c:v>
                </c:pt>
                <c:pt idx="84">
                  <c:v>7.6000000000000005</c:v>
                </c:pt>
                <c:pt idx="85">
                  <c:v>7.6000000000000005</c:v>
                </c:pt>
                <c:pt idx="86">
                  <c:v>7.6000000000000005</c:v>
                </c:pt>
                <c:pt idx="87">
                  <c:v>7.6000000000000005</c:v>
                </c:pt>
                <c:pt idx="88">
                  <c:v>7.6000000000000005</c:v>
                </c:pt>
                <c:pt idx="89">
                  <c:v>7.6000000000000005</c:v>
                </c:pt>
                <c:pt idx="90">
                  <c:v>7.6000000000000005</c:v>
                </c:pt>
                <c:pt idx="91">
                  <c:v>7.6000000000000005</c:v>
                </c:pt>
                <c:pt idx="92">
                  <c:v>7.6000000000000005</c:v>
                </c:pt>
                <c:pt idx="93">
                  <c:v>7.6000000000000005</c:v>
                </c:pt>
                <c:pt idx="94">
                  <c:v>7.6000000000000005</c:v>
                </c:pt>
                <c:pt idx="95">
                  <c:v>7.6000000000000005</c:v>
                </c:pt>
                <c:pt idx="96">
                  <c:v>7.6000000000000005</c:v>
                </c:pt>
                <c:pt idx="97">
                  <c:v>7.6000000000000005</c:v>
                </c:pt>
                <c:pt idx="98">
                  <c:v>7.6000000000000005</c:v>
                </c:pt>
                <c:pt idx="99">
                  <c:v>7.6000000000000005</c:v>
                </c:pt>
                <c:pt idx="100">
                  <c:v>7.6000000000000005</c:v>
                </c:pt>
                <c:pt idx="101">
                  <c:v>7.6000000000000005</c:v>
                </c:pt>
                <c:pt idx="102">
                  <c:v>7.6000000000000005</c:v>
                </c:pt>
                <c:pt idx="103">
                  <c:v>7.6000000000000005</c:v>
                </c:pt>
                <c:pt idx="104">
                  <c:v>7.6000000000000005</c:v>
                </c:pt>
                <c:pt idx="105">
                  <c:v>7.6000000000000005</c:v>
                </c:pt>
                <c:pt idx="106">
                  <c:v>7.6000000000000005</c:v>
                </c:pt>
                <c:pt idx="107">
                  <c:v>7.6000000000000005</c:v>
                </c:pt>
                <c:pt idx="108">
                  <c:v>7.6000000000000005</c:v>
                </c:pt>
                <c:pt idx="109">
                  <c:v>7.6000000000000005</c:v>
                </c:pt>
                <c:pt idx="110">
                  <c:v>7.6000000000000005</c:v>
                </c:pt>
                <c:pt idx="111">
                  <c:v>7.6000000000000005</c:v>
                </c:pt>
                <c:pt idx="112">
                  <c:v>7.6000000000000005</c:v>
                </c:pt>
                <c:pt idx="113">
                  <c:v>7.6000000000000005</c:v>
                </c:pt>
                <c:pt idx="114">
                  <c:v>7.6000000000000005</c:v>
                </c:pt>
                <c:pt idx="115">
                  <c:v>7.6000000000000005</c:v>
                </c:pt>
                <c:pt idx="116">
                  <c:v>7.6000000000000005</c:v>
                </c:pt>
                <c:pt idx="117">
                  <c:v>7.6000000000000005</c:v>
                </c:pt>
                <c:pt idx="118">
                  <c:v>7.6000000000000005</c:v>
                </c:pt>
                <c:pt idx="119">
                  <c:v>7.6000000000000005</c:v>
                </c:pt>
                <c:pt idx="120">
                  <c:v>7.6000000000000005</c:v>
                </c:pt>
                <c:pt idx="121">
                  <c:v>7.6000000000000005</c:v>
                </c:pt>
                <c:pt idx="122">
                  <c:v>7.6000000000000005</c:v>
                </c:pt>
                <c:pt idx="123">
                  <c:v>7.6000000000000005</c:v>
                </c:pt>
                <c:pt idx="124">
                  <c:v>7.6000000000000005</c:v>
                </c:pt>
                <c:pt idx="125">
                  <c:v>7.6000000000000005</c:v>
                </c:pt>
                <c:pt idx="126">
                  <c:v>7.6000000000000005</c:v>
                </c:pt>
                <c:pt idx="127">
                  <c:v>7.6000000000000005</c:v>
                </c:pt>
                <c:pt idx="128">
                  <c:v>7.6000000000000005</c:v>
                </c:pt>
                <c:pt idx="129">
                  <c:v>7.6000000000000005</c:v>
                </c:pt>
                <c:pt idx="130">
                  <c:v>7.6000000000000005</c:v>
                </c:pt>
                <c:pt idx="131">
                  <c:v>7.6000000000000005</c:v>
                </c:pt>
                <c:pt idx="132">
                  <c:v>7.6000000000000005</c:v>
                </c:pt>
                <c:pt idx="133">
                  <c:v>7.6000000000000005</c:v>
                </c:pt>
                <c:pt idx="134">
                  <c:v>7.6000000000000005</c:v>
                </c:pt>
                <c:pt idx="135">
                  <c:v>7.6000000000000005</c:v>
                </c:pt>
                <c:pt idx="136">
                  <c:v>7.6000000000000005</c:v>
                </c:pt>
                <c:pt idx="137">
                  <c:v>7.6000000000000005</c:v>
                </c:pt>
                <c:pt idx="138">
                  <c:v>7.6000000000000005</c:v>
                </c:pt>
                <c:pt idx="139">
                  <c:v>7.6000000000000005</c:v>
                </c:pt>
                <c:pt idx="140">
                  <c:v>7.6000000000000005</c:v>
                </c:pt>
                <c:pt idx="141">
                  <c:v>7.6000000000000005</c:v>
                </c:pt>
                <c:pt idx="142">
                  <c:v>7.6000000000000005</c:v>
                </c:pt>
                <c:pt idx="143">
                  <c:v>7.6000000000000005</c:v>
                </c:pt>
                <c:pt idx="144">
                  <c:v>7.6000000000000005</c:v>
                </c:pt>
                <c:pt idx="145">
                  <c:v>7.6000000000000005</c:v>
                </c:pt>
                <c:pt idx="146">
                  <c:v>7.6000000000000005</c:v>
                </c:pt>
                <c:pt idx="147">
                  <c:v>7.6000000000000005</c:v>
                </c:pt>
                <c:pt idx="148">
                  <c:v>7.6000000000000005</c:v>
                </c:pt>
                <c:pt idx="149">
                  <c:v>7.6000000000000005</c:v>
                </c:pt>
                <c:pt idx="150">
                  <c:v>7.6000000000000005</c:v>
                </c:pt>
                <c:pt idx="151">
                  <c:v>7.6000000000000005</c:v>
                </c:pt>
                <c:pt idx="152">
                  <c:v>7.6000000000000005</c:v>
                </c:pt>
                <c:pt idx="153">
                  <c:v>7.6000000000000005</c:v>
                </c:pt>
                <c:pt idx="154">
                  <c:v>7.6000000000000005</c:v>
                </c:pt>
                <c:pt idx="155">
                  <c:v>7.6000000000000005</c:v>
                </c:pt>
                <c:pt idx="156">
                  <c:v>7.6000000000000005</c:v>
                </c:pt>
                <c:pt idx="157">
                  <c:v>7.6000000000000005</c:v>
                </c:pt>
                <c:pt idx="158">
                  <c:v>7.6000000000000005</c:v>
                </c:pt>
                <c:pt idx="159">
                  <c:v>7.6000000000000005</c:v>
                </c:pt>
                <c:pt idx="160">
                  <c:v>7.6000000000000005</c:v>
                </c:pt>
                <c:pt idx="161">
                  <c:v>7.6000000000000005</c:v>
                </c:pt>
                <c:pt idx="162">
                  <c:v>7.6000000000000005</c:v>
                </c:pt>
                <c:pt idx="163">
                  <c:v>7.6000000000000005</c:v>
                </c:pt>
                <c:pt idx="164">
                  <c:v>7.6000000000000005</c:v>
                </c:pt>
                <c:pt idx="165">
                  <c:v>7.6000000000000005</c:v>
                </c:pt>
                <c:pt idx="166">
                  <c:v>7.6000000000000005</c:v>
                </c:pt>
                <c:pt idx="167">
                  <c:v>7.6000000000000005</c:v>
                </c:pt>
                <c:pt idx="168">
                  <c:v>7.6000000000000005</c:v>
                </c:pt>
                <c:pt idx="169">
                  <c:v>7.6000000000000005</c:v>
                </c:pt>
                <c:pt idx="170">
                  <c:v>7.6000000000000005</c:v>
                </c:pt>
                <c:pt idx="171">
                  <c:v>7.6000000000000005</c:v>
                </c:pt>
                <c:pt idx="172">
                  <c:v>7.6000000000000005</c:v>
                </c:pt>
                <c:pt idx="173">
                  <c:v>7.6000000000000005</c:v>
                </c:pt>
                <c:pt idx="174">
                  <c:v>7.6000000000000005</c:v>
                </c:pt>
                <c:pt idx="175">
                  <c:v>7.6000000000000005</c:v>
                </c:pt>
                <c:pt idx="176">
                  <c:v>7.6000000000000005</c:v>
                </c:pt>
                <c:pt idx="177">
                  <c:v>7.6000000000000005</c:v>
                </c:pt>
                <c:pt idx="178">
                  <c:v>7.6000000000000005</c:v>
                </c:pt>
                <c:pt idx="179">
                  <c:v>7.6000000000000005</c:v>
                </c:pt>
                <c:pt idx="180">
                  <c:v>7.6000000000000005</c:v>
                </c:pt>
                <c:pt idx="181">
                  <c:v>7.6000000000000005</c:v>
                </c:pt>
                <c:pt idx="182">
                  <c:v>7.6000000000000005</c:v>
                </c:pt>
                <c:pt idx="183">
                  <c:v>7.6000000000000005</c:v>
                </c:pt>
                <c:pt idx="184">
                  <c:v>7.6000000000000005</c:v>
                </c:pt>
                <c:pt idx="185">
                  <c:v>7.6000000000000005</c:v>
                </c:pt>
                <c:pt idx="186">
                  <c:v>7.6000000000000005</c:v>
                </c:pt>
                <c:pt idx="187">
                  <c:v>7.6000000000000005</c:v>
                </c:pt>
                <c:pt idx="188">
                  <c:v>7.6000000000000005</c:v>
                </c:pt>
                <c:pt idx="189">
                  <c:v>7.6000000000000005</c:v>
                </c:pt>
                <c:pt idx="190">
                  <c:v>7.6000000000000005</c:v>
                </c:pt>
                <c:pt idx="191">
                  <c:v>7.6000000000000005</c:v>
                </c:pt>
                <c:pt idx="192">
                  <c:v>7.6000000000000005</c:v>
                </c:pt>
                <c:pt idx="193">
                  <c:v>7.6000000000000005</c:v>
                </c:pt>
                <c:pt idx="194">
                  <c:v>7.6000000000000005</c:v>
                </c:pt>
                <c:pt idx="195">
                  <c:v>7.6000000000000005</c:v>
                </c:pt>
                <c:pt idx="196">
                  <c:v>7.6000000000000005</c:v>
                </c:pt>
                <c:pt idx="197">
                  <c:v>7.6000000000000005</c:v>
                </c:pt>
                <c:pt idx="198">
                  <c:v>7.6000000000000005</c:v>
                </c:pt>
                <c:pt idx="199">
                  <c:v>7.6000000000000005</c:v>
                </c:pt>
                <c:pt idx="200">
                  <c:v>7.6000000000000005</c:v>
                </c:pt>
                <c:pt idx="201">
                  <c:v>7.6000000000000005</c:v>
                </c:pt>
                <c:pt idx="202">
                  <c:v>7.6000000000000005</c:v>
                </c:pt>
                <c:pt idx="203">
                  <c:v>7.6000000000000005</c:v>
                </c:pt>
                <c:pt idx="204">
                  <c:v>7.6000000000000005</c:v>
                </c:pt>
                <c:pt idx="205">
                  <c:v>7.6000000000000005</c:v>
                </c:pt>
                <c:pt idx="206">
                  <c:v>7.6000000000000005</c:v>
                </c:pt>
                <c:pt idx="207">
                  <c:v>7.6000000000000005</c:v>
                </c:pt>
                <c:pt idx="208">
                  <c:v>7.6000000000000005</c:v>
                </c:pt>
                <c:pt idx="209">
                  <c:v>7.6000000000000005</c:v>
                </c:pt>
                <c:pt idx="210">
                  <c:v>7.6000000000000005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31D8-49F9-8E94-E35F3E83A371}"/>
            </c:ext>
          </c:extLst>
        </c:ser>
        <c:ser>
          <c:idx val="3"/>
          <c:order val="3"/>
          <c:tx>
            <c:strRef>
              <c:f>多分类圆角圆环图!$Y$8</c:f>
              <c:strCache>
                <c:ptCount val="1"/>
                <c:pt idx="0">
                  <c:v>汕头:指标73</c:v>
                </c:pt>
              </c:strCache>
            </c:strRef>
          </c:tx>
          <c:spPr>
            <a:ln w="152400" cap="rnd" cmpd="sng" algn="ctr">
              <a:solidFill>
                <a:srgbClr val="FFE07D"/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多分类圆角圆环图!$Y$9:$Y$368</c:f>
              <c:numCache>
                <c:formatCode>General</c:formatCode>
                <c:ptCount val="360"/>
                <c:pt idx="0">
                  <c:v>6.4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6.4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  <c:pt idx="24">
                  <c:v>6.4</c:v>
                </c:pt>
                <c:pt idx="25">
                  <c:v>6.4</c:v>
                </c:pt>
                <c:pt idx="26">
                  <c:v>6.4</c:v>
                </c:pt>
                <c:pt idx="27">
                  <c:v>6.4</c:v>
                </c:pt>
                <c:pt idx="28">
                  <c:v>6.4</c:v>
                </c:pt>
                <c:pt idx="29">
                  <c:v>6.4</c:v>
                </c:pt>
                <c:pt idx="30">
                  <c:v>6.4</c:v>
                </c:pt>
                <c:pt idx="31">
                  <c:v>6.4</c:v>
                </c:pt>
                <c:pt idx="32">
                  <c:v>6.4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6.4</c:v>
                </c:pt>
                <c:pt idx="37">
                  <c:v>6.4</c:v>
                </c:pt>
                <c:pt idx="38">
                  <c:v>6.4</c:v>
                </c:pt>
                <c:pt idx="39">
                  <c:v>6.4</c:v>
                </c:pt>
                <c:pt idx="40">
                  <c:v>6.4</c:v>
                </c:pt>
                <c:pt idx="41">
                  <c:v>6.4</c:v>
                </c:pt>
                <c:pt idx="42">
                  <c:v>6.4</c:v>
                </c:pt>
                <c:pt idx="43">
                  <c:v>6.4</c:v>
                </c:pt>
                <c:pt idx="44">
                  <c:v>6.4</c:v>
                </c:pt>
                <c:pt idx="45">
                  <c:v>6.4</c:v>
                </c:pt>
                <c:pt idx="46">
                  <c:v>6.4</c:v>
                </c:pt>
                <c:pt idx="47">
                  <c:v>6.4</c:v>
                </c:pt>
                <c:pt idx="48">
                  <c:v>6.4</c:v>
                </c:pt>
                <c:pt idx="49">
                  <c:v>6.4</c:v>
                </c:pt>
                <c:pt idx="50">
                  <c:v>6.4</c:v>
                </c:pt>
                <c:pt idx="51">
                  <c:v>6.4</c:v>
                </c:pt>
                <c:pt idx="52">
                  <c:v>6.4</c:v>
                </c:pt>
                <c:pt idx="53">
                  <c:v>6.4</c:v>
                </c:pt>
                <c:pt idx="54">
                  <c:v>6.4</c:v>
                </c:pt>
                <c:pt idx="55">
                  <c:v>6.4</c:v>
                </c:pt>
                <c:pt idx="56">
                  <c:v>6.4</c:v>
                </c:pt>
                <c:pt idx="57">
                  <c:v>6.4</c:v>
                </c:pt>
                <c:pt idx="58">
                  <c:v>6.4</c:v>
                </c:pt>
                <c:pt idx="59">
                  <c:v>6.4</c:v>
                </c:pt>
                <c:pt idx="60">
                  <c:v>6.4</c:v>
                </c:pt>
                <c:pt idx="61">
                  <c:v>6.4</c:v>
                </c:pt>
                <c:pt idx="62">
                  <c:v>6.4</c:v>
                </c:pt>
                <c:pt idx="63">
                  <c:v>6.4</c:v>
                </c:pt>
                <c:pt idx="64">
                  <c:v>6.4</c:v>
                </c:pt>
                <c:pt idx="65">
                  <c:v>6.4</c:v>
                </c:pt>
                <c:pt idx="66">
                  <c:v>6.4</c:v>
                </c:pt>
                <c:pt idx="67">
                  <c:v>6.4</c:v>
                </c:pt>
                <c:pt idx="68">
                  <c:v>6.4</c:v>
                </c:pt>
                <c:pt idx="69">
                  <c:v>6.4</c:v>
                </c:pt>
                <c:pt idx="70">
                  <c:v>6.4</c:v>
                </c:pt>
                <c:pt idx="71">
                  <c:v>6.4</c:v>
                </c:pt>
                <c:pt idx="72">
                  <c:v>6.4</c:v>
                </c:pt>
                <c:pt idx="73">
                  <c:v>6.4</c:v>
                </c:pt>
                <c:pt idx="74">
                  <c:v>6.4</c:v>
                </c:pt>
                <c:pt idx="75">
                  <c:v>6.4</c:v>
                </c:pt>
                <c:pt idx="76">
                  <c:v>6.4</c:v>
                </c:pt>
                <c:pt idx="77">
                  <c:v>6.4</c:v>
                </c:pt>
                <c:pt idx="78">
                  <c:v>6.4</c:v>
                </c:pt>
                <c:pt idx="79">
                  <c:v>6.4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6.4</c:v>
                </c:pt>
                <c:pt idx="84">
                  <c:v>6.4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6.4</c:v>
                </c:pt>
                <c:pt idx="111">
                  <c:v>6.4</c:v>
                </c:pt>
                <c:pt idx="112">
                  <c:v>6.4</c:v>
                </c:pt>
                <c:pt idx="113">
                  <c:v>6.4</c:v>
                </c:pt>
                <c:pt idx="114">
                  <c:v>6.4</c:v>
                </c:pt>
                <c:pt idx="115">
                  <c:v>6.4</c:v>
                </c:pt>
                <c:pt idx="116">
                  <c:v>6.4</c:v>
                </c:pt>
                <c:pt idx="117">
                  <c:v>6.4</c:v>
                </c:pt>
                <c:pt idx="118">
                  <c:v>6.4</c:v>
                </c:pt>
                <c:pt idx="119">
                  <c:v>6.4</c:v>
                </c:pt>
                <c:pt idx="120">
                  <c:v>6.4</c:v>
                </c:pt>
                <c:pt idx="121">
                  <c:v>6.4</c:v>
                </c:pt>
                <c:pt idx="122">
                  <c:v>6.4</c:v>
                </c:pt>
                <c:pt idx="123">
                  <c:v>6.4</c:v>
                </c:pt>
                <c:pt idx="124">
                  <c:v>6.4</c:v>
                </c:pt>
                <c:pt idx="125">
                  <c:v>6.4</c:v>
                </c:pt>
                <c:pt idx="126">
                  <c:v>6.4</c:v>
                </c:pt>
                <c:pt idx="127">
                  <c:v>6.4</c:v>
                </c:pt>
                <c:pt idx="128">
                  <c:v>6.4</c:v>
                </c:pt>
                <c:pt idx="129">
                  <c:v>6.4</c:v>
                </c:pt>
                <c:pt idx="130">
                  <c:v>6.4</c:v>
                </c:pt>
                <c:pt idx="131">
                  <c:v>6.4</c:v>
                </c:pt>
                <c:pt idx="132">
                  <c:v>6.4</c:v>
                </c:pt>
                <c:pt idx="133">
                  <c:v>6.4</c:v>
                </c:pt>
                <c:pt idx="134">
                  <c:v>6.4</c:v>
                </c:pt>
                <c:pt idx="135">
                  <c:v>6.4</c:v>
                </c:pt>
                <c:pt idx="136">
                  <c:v>6.4</c:v>
                </c:pt>
                <c:pt idx="137">
                  <c:v>6.4</c:v>
                </c:pt>
                <c:pt idx="138">
                  <c:v>6.4</c:v>
                </c:pt>
                <c:pt idx="139">
                  <c:v>6.4</c:v>
                </c:pt>
                <c:pt idx="140">
                  <c:v>6.4</c:v>
                </c:pt>
                <c:pt idx="141">
                  <c:v>6.4</c:v>
                </c:pt>
                <c:pt idx="142">
                  <c:v>6.4</c:v>
                </c:pt>
                <c:pt idx="143">
                  <c:v>6.4</c:v>
                </c:pt>
                <c:pt idx="144">
                  <c:v>6.4</c:v>
                </c:pt>
                <c:pt idx="145">
                  <c:v>6.4</c:v>
                </c:pt>
                <c:pt idx="146">
                  <c:v>6.4</c:v>
                </c:pt>
                <c:pt idx="147">
                  <c:v>6.4</c:v>
                </c:pt>
                <c:pt idx="148">
                  <c:v>6.4</c:v>
                </c:pt>
                <c:pt idx="149">
                  <c:v>6.4</c:v>
                </c:pt>
                <c:pt idx="150">
                  <c:v>6.4</c:v>
                </c:pt>
                <c:pt idx="151">
                  <c:v>6.4</c:v>
                </c:pt>
                <c:pt idx="152">
                  <c:v>6.4</c:v>
                </c:pt>
                <c:pt idx="153">
                  <c:v>6.4</c:v>
                </c:pt>
                <c:pt idx="154">
                  <c:v>6.4</c:v>
                </c:pt>
                <c:pt idx="155">
                  <c:v>6.4</c:v>
                </c:pt>
                <c:pt idx="156">
                  <c:v>6.4</c:v>
                </c:pt>
                <c:pt idx="157">
                  <c:v>6.4</c:v>
                </c:pt>
                <c:pt idx="158">
                  <c:v>6.4</c:v>
                </c:pt>
                <c:pt idx="159">
                  <c:v>6.4</c:v>
                </c:pt>
                <c:pt idx="160">
                  <c:v>6.4</c:v>
                </c:pt>
                <c:pt idx="161">
                  <c:v>6.4</c:v>
                </c:pt>
                <c:pt idx="162">
                  <c:v>6.4</c:v>
                </c:pt>
                <c:pt idx="163">
                  <c:v>6.4</c:v>
                </c:pt>
                <c:pt idx="164">
                  <c:v>6.4</c:v>
                </c:pt>
                <c:pt idx="165">
                  <c:v>6.4</c:v>
                </c:pt>
                <c:pt idx="166">
                  <c:v>6.4</c:v>
                </c:pt>
                <c:pt idx="167">
                  <c:v>6.4</c:v>
                </c:pt>
                <c:pt idx="168">
                  <c:v>6.4</c:v>
                </c:pt>
                <c:pt idx="169">
                  <c:v>6.4</c:v>
                </c:pt>
                <c:pt idx="170">
                  <c:v>6.4</c:v>
                </c:pt>
                <c:pt idx="171">
                  <c:v>6.4</c:v>
                </c:pt>
                <c:pt idx="172">
                  <c:v>6.4</c:v>
                </c:pt>
                <c:pt idx="173">
                  <c:v>6.4</c:v>
                </c:pt>
                <c:pt idx="174">
                  <c:v>6.4</c:v>
                </c:pt>
                <c:pt idx="175">
                  <c:v>6.4</c:v>
                </c:pt>
                <c:pt idx="176">
                  <c:v>6.4</c:v>
                </c:pt>
                <c:pt idx="177">
                  <c:v>6.4</c:v>
                </c:pt>
                <c:pt idx="178">
                  <c:v>6.4</c:v>
                </c:pt>
                <c:pt idx="179">
                  <c:v>6.4</c:v>
                </c:pt>
                <c:pt idx="180">
                  <c:v>6.4</c:v>
                </c:pt>
                <c:pt idx="181">
                  <c:v>6.4</c:v>
                </c:pt>
                <c:pt idx="182">
                  <c:v>6.4</c:v>
                </c:pt>
                <c:pt idx="183">
                  <c:v>6.4</c:v>
                </c:pt>
                <c:pt idx="184">
                  <c:v>6.4</c:v>
                </c:pt>
                <c:pt idx="185">
                  <c:v>6.4</c:v>
                </c:pt>
                <c:pt idx="186">
                  <c:v>6.4</c:v>
                </c:pt>
                <c:pt idx="187">
                  <c:v>6.4</c:v>
                </c:pt>
                <c:pt idx="188">
                  <c:v>6.4</c:v>
                </c:pt>
                <c:pt idx="189">
                  <c:v>6.4</c:v>
                </c:pt>
                <c:pt idx="190">
                  <c:v>6.4</c:v>
                </c:pt>
                <c:pt idx="191">
                  <c:v>6.4</c:v>
                </c:pt>
                <c:pt idx="192">
                  <c:v>6.4</c:v>
                </c:pt>
                <c:pt idx="193">
                  <c:v>6.4</c:v>
                </c:pt>
                <c:pt idx="194">
                  <c:v>6.4</c:v>
                </c:pt>
                <c:pt idx="195">
                  <c:v>6.4</c:v>
                </c:pt>
                <c:pt idx="196">
                  <c:v>6.4</c:v>
                </c:pt>
                <c:pt idx="197">
                  <c:v>6.4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31D8-49F9-8E94-E35F3E83A371}"/>
            </c:ext>
          </c:extLst>
        </c:ser>
        <c:ser>
          <c:idx val="4"/>
          <c:order val="4"/>
          <c:tx>
            <c:strRef>
              <c:f>多分类圆角圆环图!$Z$8</c:f>
              <c:strCache>
                <c:ptCount val="1"/>
                <c:pt idx="0">
                  <c:v>天津:指标61</c:v>
                </c:pt>
              </c:strCache>
            </c:strRef>
          </c:tx>
          <c:spPr>
            <a:ln w="152400" cap="rnd" cmpd="sng" algn="ctr">
              <a:solidFill>
                <a:srgbClr val="FFE07D"/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多分类圆角圆环图!$Z$9:$Z$368</c:f>
              <c:numCache>
                <c:formatCode>General</c:formatCode>
                <c:ptCount val="360"/>
                <c:pt idx="0">
                  <c:v>5.2</c:v>
                </c:pt>
                <c:pt idx="1">
                  <c:v>5.2</c:v>
                </c:pt>
                <c:pt idx="2">
                  <c:v>5.2</c:v>
                </c:pt>
                <c:pt idx="3">
                  <c:v>5.2</c:v>
                </c:pt>
                <c:pt idx="4">
                  <c:v>5.2</c:v>
                </c:pt>
                <c:pt idx="5">
                  <c:v>5.2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5.2</c:v>
                </c:pt>
                <c:pt idx="23">
                  <c:v>5.2</c:v>
                </c:pt>
                <c:pt idx="24">
                  <c:v>5.2</c:v>
                </c:pt>
                <c:pt idx="25">
                  <c:v>5.2</c:v>
                </c:pt>
                <c:pt idx="26">
                  <c:v>5.2</c:v>
                </c:pt>
                <c:pt idx="27">
                  <c:v>5.2</c:v>
                </c:pt>
                <c:pt idx="28">
                  <c:v>5.2</c:v>
                </c:pt>
                <c:pt idx="29">
                  <c:v>5.2</c:v>
                </c:pt>
                <c:pt idx="30">
                  <c:v>5.2</c:v>
                </c:pt>
                <c:pt idx="31">
                  <c:v>5.2</c:v>
                </c:pt>
                <c:pt idx="32">
                  <c:v>5.2</c:v>
                </c:pt>
                <c:pt idx="33">
                  <c:v>5.2</c:v>
                </c:pt>
                <c:pt idx="34">
                  <c:v>5.2</c:v>
                </c:pt>
                <c:pt idx="35">
                  <c:v>5.2</c:v>
                </c:pt>
                <c:pt idx="36">
                  <c:v>5.2</c:v>
                </c:pt>
                <c:pt idx="37">
                  <c:v>5.2</c:v>
                </c:pt>
                <c:pt idx="38">
                  <c:v>5.2</c:v>
                </c:pt>
                <c:pt idx="39">
                  <c:v>5.2</c:v>
                </c:pt>
                <c:pt idx="40">
                  <c:v>5.2</c:v>
                </c:pt>
                <c:pt idx="41">
                  <c:v>5.2</c:v>
                </c:pt>
                <c:pt idx="42">
                  <c:v>5.2</c:v>
                </c:pt>
                <c:pt idx="43">
                  <c:v>5.2</c:v>
                </c:pt>
                <c:pt idx="44">
                  <c:v>5.2</c:v>
                </c:pt>
                <c:pt idx="45">
                  <c:v>5.2</c:v>
                </c:pt>
                <c:pt idx="46">
                  <c:v>5.2</c:v>
                </c:pt>
                <c:pt idx="47">
                  <c:v>5.2</c:v>
                </c:pt>
                <c:pt idx="48">
                  <c:v>5.2</c:v>
                </c:pt>
                <c:pt idx="49">
                  <c:v>5.2</c:v>
                </c:pt>
                <c:pt idx="50">
                  <c:v>5.2</c:v>
                </c:pt>
                <c:pt idx="51">
                  <c:v>5.2</c:v>
                </c:pt>
                <c:pt idx="52">
                  <c:v>5.2</c:v>
                </c:pt>
                <c:pt idx="53">
                  <c:v>5.2</c:v>
                </c:pt>
                <c:pt idx="54">
                  <c:v>5.2</c:v>
                </c:pt>
                <c:pt idx="55">
                  <c:v>5.2</c:v>
                </c:pt>
                <c:pt idx="56">
                  <c:v>5.2</c:v>
                </c:pt>
                <c:pt idx="57">
                  <c:v>5.2</c:v>
                </c:pt>
                <c:pt idx="58">
                  <c:v>5.2</c:v>
                </c:pt>
                <c:pt idx="59">
                  <c:v>5.2</c:v>
                </c:pt>
                <c:pt idx="60">
                  <c:v>5.2</c:v>
                </c:pt>
                <c:pt idx="61">
                  <c:v>5.2</c:v>
                </c:pt>
                <c:pt idx="62">
                  <c:v>5.2</c:v>
                </c:pt>
                <c:pt idx="63">
                  <c:v>5.2</c:v>
                </c:pt>
                <c:pt idx="64">
                  <c:v>5.2</c:v>
                </c:pt>
                <c:pt idx="65">
                  <c:v>5.2</c:v>
                </c:pt>
                <c:pt idx="66">
                  <c:v>5.2</c:v>
                </c:pt>
                <c:pt idx="67">
                  <c:v>5.2</c:v>
                </c:pt>
                <c:pt idx="68">
                  <c:v>5.2</c:v>
                </c:pt>
                <c:pt idx="69">
                  <c:v>5.2</c:v>
                </c:pt>
                <c:pt idx="70">
                  <c:v>5.2</c:v>
                </c:pt>
                <c:pt idx="71">
                  <c:v>5.2</c:v>
                </c:pt>
                <c:pt idx="72">
                  <c:v>5.2</c:v>
                </c:pt>
                <c:pt idx="73">
                  <c:v>5.2</c:v>
                </c:pt>
                <c:pt idx="74">
                  <c:v>5.2</c:v>
                </c:pt>
                <c:pt idx="75">
                  <c:v>5.2</c:v>
                </c:pt>
                <c:pt idx="76">
                  <c:v>5.2</c:v>
                </c:pt>
                <c:pt idx="77">
                  <c:v>5.2</c:v>
                </c:pt>
                <c:pt idx="78">
                  <c:v>5.2</c:v>
                </c:pt>
                <c:pt idx="79">
                  <c:v>5.2</c:v>
                </c:pt>
                <c:pt idx="80">
                  <c:v>5.2</c:v>
                </c:pt>
                <c:pt idx="81">
                  <c:v>5.2</c:v>
                </c:pt>
                <c:pt idx="82">
                  <c:v>5.2</c:v>
                </c:pt>
                <c:pt idx="83">
                  <c:v>5.2</c:v>
                </c:pt>
                <c:pt idx="84">
                  <c:v>5.2</c:v>
                </c:pt>
                <c:pt idx="85">
                  <c:v>5.2</c:v>
                </c:pt>
                <c:pt idx="86">
                  <c:v>5.2</c:v>
                </c:pt>
                <c:pt idx="87">
                  <c:v>5.2</c:v>
                </c:pt>
                <c:pt idx="88">
                  <c:v>5.2</c:v>
                </c:pt>
                <c:pt idx="89">
                  <c:v>5.2</c:v>
                </c:pt>
                <c:pt idx="90">
                  <c:v>5.2</c:v>
                </c:pt>
                <c:pt idx="91">
                  <c:v>5.2</c:v>
                </c:pt>
                <c:pt idx="92">
                  <c:v>5.2</c:v>
                </c:pt>
                <c:pt idx="93">
                  <c:v>5.2</c:v>
                </c:pt>
                <c:pt idx="94">
                  <c:v>5.2</c:v>
                </c:pt>
                <c:pt idx="95">
                  <c:v>5.2</c:v>
                </c:pt>
                <c:pt idx="96">
                  <c:v>5.2</c:v>
                </c:pt>
                <c:pt idx="97">
                  <c:v>5.2</c:v>
                </c:pt>
                <c:pt idx="98">
                  <c:v>5.2</c:v>
                </c:pt>
                <c:pt idx="99">
                  <c:v>5.2</c:v>
                </c:pt>
                <c:pt idx="100">
                  <c:v>5.2</c:v>
                </c:pt>
                <c:pt idx="101">
                  <c:v>5.2</c:v>
                </c:pt>
                <c:pt idx="102">
                  <c:v>5.2</c:v>
                </c:pt>
                <c:pt idx="103">
                  <c:v>5.2</c:v>
                </c:pt>
                <c:pt idx="104">
                  <c:v>5.2</c:v>
                </c:pt>
                <c:pt idx="105">
                  <c:v>5.2</c:v>
                </c:pt>
                <c:pt idx="106">
                  <c:v>5.2</c:v>
                </c:pt>
                <c:pt idx="107">
                  <c:v>5.2</c:v>
                </c:pt>
                <c:pt idx="108">
                  <c:v>5.2</c:v>
                </c:pt>
                <c:pt idx="109">
                  <c:v>5.2</c:v>
                </c:pt>
                <c:pt idx="110">
                  <c:v>5.2</c:v>
                </c:pt>
                <c:pt idx="111">
                  <c:v>5.2</c:v>
                </c:pt>
                <c:pt idx="112">
                  <c:v>5.2</c:v>
                </c:pt>
                <c:pt idx="113">
                  <c:v>5.2</c:v>
                </c:pt>
                <c:pt idx="114">
                  <c:v>5.2</c:v>
                </c:pt>
                <c:pt idx="115">
                  <c:v>5.2</c:v>
                </c:pt>
                <c:pt idx="116">
                  <c:v>5.2</c:v>
                </c:pt>
                <c:pt idx="117">
                  <c:v>5.2</c:v>
                </c:pt>
                <c:pt idx="118">
                  <c:v>5.2</c:v>
                </c:pt>
                <c:pt idx="119">
                  <c:v>5.2</c:v>
                </c:pt>
                <c:pt idx="120">
                  <c:v>5.2</c:v>
                </c:pt>
                <c:pt idx="121">
                  <c:v>5.2</c:v>
                </c:pt>
                <c:pt idx="122">
                  <c:v>5.2</c:v>
                </c:pt>
                <c:pt idx="123">
                  <c:v>5.2</c:v>
                </c:pt>
                <c:pt idx="124">
                  <c:v>5.2</c:v>
                </c:pt>
                <c:pt idx="125">
                  <c:v>5.2</c:v>
                </c:pt>
                <c:pt idx="126">
                  <c:v>5.2</c:v>
                </c:pt>
                <c:pt idx="127">
                  <c:v>5.2</c:v>
                </c:pt>
                <c:pt idx="128">
                  <c:v>5.2</c:v>
                </c:pt>
                <c:pt idx="129">
                  <c:v>5.2</c:v>
                </c:pt>
                <c:pt idx="130">
                  <c:v>5.2</c:v>
                </c:pt>
                <c:pt idx="131">
                  <c:v>5.2</c:v>
                </c:pt>
                <c:pt idx="132">
                  <c:v>5.2</c:v>
                </c:pt>
                <c:pt idx="133">
                  <c:v>5.2</c:v>
                </c:pt>
                <c:pt idx="134">
                  <c:v>5.2</c:v>
                </c:pt>
                <c:pt idx="135">
                  <c:v>5.2</c:v>
                </c:pt>
                <c:pt idx="136">
                  <c:v>5.2</c:v>
                </c:pt>
                <c:pt idx="137">
                  <c:v>5.2</c:v>
                </c:pt>
                <c:pt idx="138">
                  <c:v>5.2</c:v>
                </c:pt>
                <c:pt idx="139">
                  <c:v>5.2</c:v>
                </c:pt>
                <c:pt idx="140">
                  <c:v>5.2</c:v>
                </c:pt>
                <c:pt idx="141">
                  <c:v>5.2</c:v>
                </c:pt>
                <c:pt idx="142">
                  <c:v>5.2</c:v>
                </c:pt>
                <c:pt idx="143">
                  <c:v>5.2</c:v>
                </c:pt>
                <c:pt idx="144">
                  <c:v>5.2</c:v>
                </c:pt>
                <c:pt idx="145">
                  <c:v>5.2</c:v>
                </c:pt>
                <c:pt idx="146">
                  <c:v>5.2</c:v>
                </c:pt>
                <c:pt idx="147">
                  <c:v>5.2</c:v>
                </c:pt>
                <c:pt idx="148">
                  <c:v>5.2</c:v>
                </c:pt>
                <c:pt idx="149">
                  <c:v>5.2</c:v>
                </c:pt>
                <c:pt idx="150">
                  <c:v>5.2</c:v>
                </c:pt>
                <c:pt idx="151">
                  <c:v>5.2</c:v>
                </c:pt>
                <c:pt idx="152">
                  <c:v>5.2</c:v>
                </c:pt>
                <c:pt idx="153">
                  <c:v>5.2</c:v>
                </c:pt>
                <c:pt idx="154">
                  <c:v>5.2</c:v>
                </c:pt>
                <c:pt idx="155">
                  <c:v>5.2</c:v>
                </c:pt>
                <c:pt idx="156">
                  <c:v>5.2</c:v>
                </c:pt>
                <c:pt idx="157">
                  <c:v>5.2</c:v>
                </c:pt>
                <c:pt idx="158">
                  <c:v>5.2</c:v>
                </c:pt>
                <c:pt idx="159">
                  <c:v>5.2</c:v>
                </c:pt>
                <c:pt idx="160">
                  <c:v>5.2</c:v>
                </c:pt>
                <c:pt idx="161">
                  <c:v>5.2</c:v>
                </c:pt>
                <c:pt idx="162">
                  <c:v>5.2</c:v>
                </c:pt>
                <c:pt idx="163">
                  <c:v>5.2</c:v>
                </c:pt>
                <c:pt idx="164">
                  <c:v>5.2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31D8-49F9-8E94-E35F3E83A371}"/>
            </c:ext>
          </c:extLst>
        </c:ser>
        <c:ser>
          <c:idx val="5"/>
          <c:order val="5"/>
          <c:tx>
            <c:strRef>
              <c:f>多分类圆角圆环图!$AA$8</c:f>
              <c:strCache>
                <c:ptCount val="1"/>
                <c:pt idx="0">
                  <c:v>成都:指标50</c:v>
                </c:pt>
              </c:strCache>
            </c:strRef>
          </c:tx>
          <c:spPr>
            <a:ln w="152400" cap="rnd" cmpd="sng" algn="ctr">
              <a:solidFill>
                <a:srgbClr val="FFE07D"/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多分类圆角圆环图!$AA$9:$AA$368</c:f>
              <c:numCache>
                <c:formatCode>General</c:formatCode>
                <c:ptCount val="36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31D8-49F9-8E94-E35F3E83A371}"/>
            </c:ext>
          </c:extLst>
        </c:ser>
        <c:ser>
          <c:idx val="6"/>
          <c:order val="6"/>
          <c:tx>
            <c:strRef>
              <c:f>多分类圆角圆环图!$AB$8</c:f>
              <c:strCache>
                <c:ptCount val="1"/>
                <c:pt idx="0">
                  <c:v>深圳:指标47</c:v>
                </c:pt>
              </c:strCache>
            </c:strRef>
          </c:tx>
          <c:spPr>
            <a:ln w="152400" cap="rnd" cmpd="sng" algn="ctr">
              <a:solidFill>
                <a:srgbClr val="FFE07D"/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多分类圆角圆环图!$AB$9:$AB$368</c:f>
              <c:numCache>
                <c:formatCode>General</c:formatCode>
                <c:ptCount val="360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2.8</c:v>
                </c:pt>
                <c:pt idx="25">
                  <c:v>2.8</c:v>
                </c:pt>
                <c:pt idx="26">
                  <c:v>2.8</c:v>
                </c:pt>
                <c:pt idx="27">
                  <c:v>2.8</c:v>
                </c:pt>
                <c:pt idx="28">
                  <c:v>2.8</c:v>
                </c:pt>
                <c:pt idx="29">
                  <c:v>2.8</c:v>
                </c:pt>
                <c:pt idx="30">
                  <c:v>2.8</c:v>
                </c:pt>
                <c:pt idx="31">
                  <c:v>2.8</c:v>
                </c:pt>
                <c:pt idx="32">
                  <c:v>2.8</c:v>
                </c:pt>
                <c:pt idx="33">
                  <c:v>2.8</c:v>
                </c:pt>
                <c:pt idx="34">
                  <c:v>2.8</c:v>
                </c:pt>
                <c:pt idx="35">
                  <c:v>2.8</c:v>
                </c:pt>
                <c:pt idx="36">
                  <c:v>2.8</c:v>
                </c:pt>
                <c:pt idx="37">
                  <c:v>2.8</c:v>
                </c:pt>
                <c:pt idx="38">
                  <c:v>2.8</c:v>
                </c:pt>
                <c:pt idx="39">
                  <c:v>2.8</c:v>
                </c:pt>
                <c:pt idx="40">
                  <c:v>2.8</c:v>
                </c:pt>
                <c:pt idx="41">
                  <c:v>2.8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2.8</c:v>
                </c:pt>
                <c:pt idx="46">
                  <c:v>2.8</c:v>
                </c:pt>
                <c:pt idx="47">
                  <c:v>2.8</c:v>
                </c:pt>
                <c:pt idx="48">
                  <c:v>2.8</c:v>
                </c:pt>
                <c:pt idx="49">
                  <c:v>2.8</c:v>
                </c:pt>
                <c:pt idx="50">
                  <c:v>2.8</c:v>
                </c:pt>
                <c:pt idx="51">
                  <c:v>2.8</c:v>
                </c:pt>
                <c:pt idx="52">
                  <c:v>2.8</c:v>
                </c:pt>
                <c:pt idx="53">
                  <c:v>2.8</c:v>
                </c:pt>
                <c:pt idx="54">
                  <c:v>2.8</c:v>
                </c:pt>
                <c:pt idx="55">
                  <c:v>2.8</c:v>
                </c:pt>
                <c:pt idx="56">
                  <c:v>2.8</c:v>
                </c:pt>
                <c:pt idx="57">
                  <c:v>2.8</c:v>
                </c:pt>
                <c:pt idx="58">
                  <c:v>2.8</c:v>
                </c:pt>
                <c:pt idx="59">
                  <c:v>2.8</c:v>
                </c:pt>
                <c:pt idx="60">
                  <c:v>2.8</c:v>
                </c:pt>
                <c:pt idx="61">
                  <c:v>2.8</c:v>
                </c:pt>
                <c:pt idx="62">
                  <c:v>2.8</c:v>
                </c:pt>
                <c:pt idx="63">
                  <c:v>2.8</c:v>
                </c:pt>
                <c:pt idx="64">
                  <c:v>2.8</c:v>
                </c:pt>
                <c:pt idx="65">
                  <c:v>2.8</c:v>
                </c:pt>
                <c:pt idx="66">
                  <c:v>2.8</c:v>
                </c:pt>
                <c:pt idx="67">
                  <c:v>2.8</c:v>
                </c:pt>
                <c:pt idx="68">
                  <c:v>2.8</c:v>
                </c:pt>
                <c:pt idx="69">
                  <c:v>2.8</c:v>
                </c:pt>
                <c:pt idx="70">
                  <c:v>2.8</c:v>
                </c:pt>
                <c:pt idx="71">
                  <c:v>2.8</c:v>
                </c:pt>
                <c:pt idx="72">
                  <c:v>2.8</c:v>
                </c:pt>
                <c:pt idx="73">
                  <c:v>2.8</c:v>
                </c:pt>
                <c:pt idx="74">
                  <c:v>2.8</c:v>
                </c:pt>
                <c:pt idx="75">
                  <c:v>2.8</c:v>
                </c:pt>
                <c:pt idx="76">
                  <c:v>2.8</c:v>
                </c:pt>
                <c:pt idx="77">
                  <c:v>2.8</c:v>
                </c:pt>
                <c:pt idx="78">
                  <c:v>2.8</c:v>
                </c:pt>
                <c:pt idx="79">
                  <c:v>2.8</c:v>
                </c:pt>
                <c:pt idx="80">
                  <c:v>2.8</c:v>
                </c:pt>
                <c:pt idx="81">
                  <c:v>2.8</c:v>
                </c:pt>
                <c:pt idx="82">
                  <c:v>2.8</c:v>
                </c:pt>
                <c:pt idx="83">
                  <c:v>2.8</c:v>
                </c:pt>
                <c:pt idx="84">
                  <c:v>2.8</c:v>
                </c:pt>
                <c:pt idx="85">
                  <c:v>2.8</c:v>
                </c:pt>
                <c:pt idx="86">
                  <c:v>2.8</c:v>
                </c:pt>
                <c:pt idx="87">
                  <c:v>2.8</c:v>
                </c:pt>
                <c:pt idx="88">
                  <c:v>2.8</c:v>
                </c:pt>
                <c:pt idx="89">
                  <c:v>2.8</c:v>
                </c:pt>
                <c:pt idx="90">
                  <c:v>2.8</c:v>
                </c:pt>
                <c:pt idx="91">
                  <c:v>2.8</c:v>
                </c:pt>
                <c:pt idx="92">
                  <c:v>2.8</c:v>
                </c:pt>
                <c:pt idx="93">
                  <c:v>2.8</c:v>
                </c:pt>
                <c:pt idx="94">
                  <c:v>2.8</c:v>
                </c:pt>
                <c:pt idx="95">
                  <c:v>2.8</c:v>
                </c:pt>
                <c:pt idx="96">
                  <c:v>2.8</c:v>
                </c:pt>
                <c:pt idx="97">
                  <c:v>2.8</c:v>
                </c:pt>
                <c:pt idx="98">
                  <c:v>2.8</c:v>
                </c:pt>
                <c:pt idx="99">
                  <c:v>2.8</c:v>
                </c:pt>
                <c:pt idx="100">
                  <c:v>2.8</c:v>
                </c:pt>
                <c:pt idx="101">
                  <c:v>2.8</c:v>
                </c:pt>
                <c:pt idx="102">
                  <c:v>2.8</c:v>
                </c:pt>
                <c:pt idx="103">
                  <c:v>2.8</c:v>
                </c:pt>
                <c:pt idx="104">
                  <c:v>2.8</c:v>
                </c:pt>
                <c:pt idx="105">
                  <c:v>2.8</c:v>
                </c:pt>
                <c:pt idx="106">
                  <c:v>2.8</c:v>
                </c:pt>
                <c:pt idx="107">
                  <c:v>2.8</c:v>
                </c:pt>
                <c:pt idx="108">
                  <c:v>2.8</c:v>
                </c:pt>
                <c:pt idx="109">
                  <c:v>2.8</c:v>
                </c:pt>
                <c:pt idx="110">
                  <c:v>2.8</c:v>
                </c:pt>
                <c:pt idx="111">
                  <c:v>2.8</c:v>
                </c:pt>
                <c:pt idx="112">
                  <c:v>2.8</c:v>
                </c:pt>
                <c:pt idx="113">
                  <c:v>2.8</c:v>
                </c:pt>
                <c:pt idx="114">
                  <c:v>2.8</c:v>
                </c:pt>
                <c:pt idx="115">
                  <c:v>2.8</c:v>
                </c:pt>
                <c:pt idx="116">
                  <c:v>2.8</c:v>
                </c:pt>
                <c:pt idx="117">
                  <c:v>2.8</c:v>
                </c:pt>
                <c:pt idx="118">
                  <c:v>2.8</c:v>
                </c:pt>
                <c:pt idx="119">
                  <c:v>2.8</c:v>
                </c:pt>
                <c:pt idx="120">
                  <c:v>2.8</c:v>
                </c:pt>
                <c:pt idx="121">
                  <c:v>2.8</c:v>
                </c:pt>
                <c:pt idx="122">
                  <c:v>2.8</c:v>
                </c:pt>
                <c:pt idx="123">
                  <c:v>2.8</c:v>
                </c:pt>
                <c:pt idx="124">
                  <c:v>2.8</c:v>
                </c:pt>
                <c:pt idx="125">
                  <c:v>2.8</c:v>
                </c:pt>
                <c:pt idx="126">
                  <c:v>2.8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31D8-49F9-8E94-E35F3E83A371}"/>
            </c:ext>
          </c:extLst>
        </c:ser>
        <c:ser>
          <c:idx val="7"/>
          <c:order val="7"/>
          <c:tx>
            <c:strRef>
              <c:f>多分类圆角圆环图!$AC$8</c:f>
              <c:strCache>
                <c:ptCount val="1"/>
                <c:pt idx="0">
                  <c:v>北京:指标16</c:v>
                </c:pt>
              </c:strCache>
            </c:strRef>
          </c:tx>
          <c:spPr>
            <a:ln w="152400" cap="rnd" cmpd="sng" algn="ctr">
              <a:solidFill>
                <a:srgbClr val="FFE07D"/>
              </a:solidFill>
              <a:prstDash val="solid"/>
              <a:round/>
            </a:ln>
          </c:spPr>
          <c:marker>
            <c:symbol val="none"/>
          </c:marker>
          <c:val>
            <c:numRef>
              <c:f>多分类圆角圆环图!$AC$9:$AC$368</c:f>
              <c:numCache>
                <c:formatCode>General</c:formatCode>
                <c:ptCount val="360"/>
                <c:pt idx="0">
                  <c:v>1.5999999999999999</c:v>
                </c:pt>
                <c:pt idx="1">
                  <c:v>1.5999999999999999</c:v>
                </c:pt>
                <c:pt idx="2">
                  <c:v>1.5999999999999999</c:v>
                </c:pt>
                <c:pt idx="3">
                  <c:v>1.5999999999999999</c:v>
                </c:pt>
                <c:pt idx="4">
                  <c:v>1.5999999999999999</c:v>
                </c:pt>
                <c:pt idx="5">
                  <c:v>1.5999999999999999</c:v>
                </c:pt>
                <c:pt idx="6">
                  <c:v>1.5999999999999999</c:v>
                </c:pt>
                <c:pt idx="7">
                  <c:v>1.5999999999999999</c:v>
                </c:pt>
                <c:pt idx="8">
                  <c:v>1.5999999999999999</c:v>
                </c:pt>
                <c:pt idx="9">
                  <c:v>1.5999999999999999</c:v>
                </c:pt>
                <c:pt idx="10">
                  <c:v>1.5999999999999999</c:v>
                </c:pt>
                <c:pt idx="11">
                  <c:v>1.5999999999999999</c:v>
                </c:pt>
                <c:pt idx="12">
                  <c:v>1.5999999999999999</c:v>
                </c:pt>
                <c:pt idx="13">
                  <c:v>1.5999999999999999</c:v>
                </c:pt>
                <c:pt idx="14">
                  <c:v>1.5999999999999999</c:v>
                </c:pt>
                <c:pt idx="15">
                  <c:v>1.5999999999999999</c:v>
                </c:pt>
                <c:pt idx="16">
                  <c:v>1.5999999999999999</c:v>
                </c:pt>
                <c:pt idx="17">
                  <c:v>1.5999999999999999</c:v>
                </c:pt>
                <c:pt idx="18">
                  <c:v>1.5999999999999999</c:v>
                </c:pt>
                <c:pt idx="19">
                  <c:v>1.5999999999999999</c:v>
                </c:pt>
                <c:pt idx="20">
                  <c:v>1.5999999999999999</c:v>
                </c:pt>
                <c:pt idx="21">
                  <c:v>1.5999999999999999</c:v>
                </c:pt>
                <c:pt idx="22">
                  <c:v>1.5999999999999999</c:v>
                </c:pt>
                <c:pt idx="23">
                  <c:v>1.5999999999999999</c:v>
                </c:pt>
                <c:pt idx="24">
                  <c:v>1.5999999999999999</c:v>
                </c:pt>
                <c:pt idx="25">
                  <c:v>1.5999999999999999</c:v>
                </c:pt>
                <c:pt idx="26">
                  <c:v>1.5999999999999999</c:v>
                </c:pt>
                <c:pt idx="27">
                  <c:v>1.5999999999999999</c:v>
                </c:pt>
                <c:pt idx="28">
                  <c:v>1.5999999999999999</c:v>
                </c:pt>
                <c:pt idx="29">
                  <c:v>1.5999999999999999</c:v>
                </c:pt>
                <c:pt idx="30">
                  <c:v>1.5999999999999999</c:v>
                </c:pt>
                <c:pt idx="31">
                  <c:v>1.5999999999999999</c:v>
                </c:pt>
                <c:pt idx="32">
                  <c:v>1.5999999999999999</c:v>
                </c:pt>
                <c:pt idx="33">
                  <c:v>1.5999999999999999</c:v>
                </c:pt>
                <c:pt idx="34">
                  <c:v>1.5999999999999999</c:v>
                </c:pt>
                <c:pt idx="35">
                  <c:v>1.5999999999999999</c:v>
                </c:pt>
                <c:pt idx="36">
                  <c:v>1.5999999999999999</c:v>
                </c:pt>
                <c:pt idx="37">
                  <c:v>1.5999999999999999</c:v>
                </c:pt>
                <c:pt idx="38">
                  <c:v>1.5999999999999999</c:v>
                </c:pt>
                <c:pt idx="39">
                  <c:v>1.5999999999999999</c:v>
                </c:pt>
                <c:pt idx="40">
                  <c:v>1.5999999999999999</c:v>
                </c:pt>
                <c:pt idx="41">
                  <c:v>1.5999999999999999</c:v>
                </c:pt>
                <c:pt idx="42">
                  <c:v>1.5999999999999999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31D8-49F9-8E94-E35F3E83A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30784"/>
        <c:axId val="164368384"/>
      </c:radarChart>
      <c:catAx>
        <c:axId val="55819264"/>
        <c:scaling>
          <c:orientation val="minMax"/>
        </c:scaling>
        <c:delete val="1"/>
        <c:axPos val="b"/>
        <c:majorGridlines/>
        <c:majorTickMark val="out"/>
        <c:minorTickMark val="none"/>
        <c:tickLblPos val="nextTo"/>
        <c:crossAx val="55829248"/>
        <c:crosses val="autoZero"/>
        <c:auto val="1"/>
        <c:lblAlgn val="ctr"/>
        <c:lblOffset val="100"/>
        <c:noMultiLvlLbl val="0"/>
      </c:catAx>
      <c:valAx>
        <c:axId val="55829248"/>
        <c:scaling>
          <c:orientation val="minMax"/>
          <c:max val="11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55819264"/>
        <c:crosses val="autoZero"/>
        <c:crossBetween val="between"/>
      </c:valAx>
      <c:catAx>
        <c:axId val="55830784"/>
        <c:scaling>
          <c:orientation val="minMax"/>
        </c:scaling>
        <c:delete val="1"/>
        <c:axPos val="b"/>
        <c:majorGridlines/>
        <c:majorTickMark val="out"/>
        <c:minorTickMark val="none"/>
        <c:tickLblPos val="nextTo"/>
        <c:crossAx val="164368384"/>
        <c:crosses val="max"/>
        <c:auto val="1"/>
        <c:lblAlgn val="ctr"/>
        <c:lblOffset val="100"/>
        <c:noMultiLvlLbl val="0"/>
      </c:catAx>
      <c:valAx>
        <c:axId val="164368384"/>
        <c:scaling>
          <c:orientation val="minMax"/>
          <c:max val="11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55830784"/>
        <c:crosses val="max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74544</xdr:rowOff>
    </xdr:from>
    <xdr:to>
      <xdr:col>5</xdr:col>
      <xdr:colOff>438978</xdr:colOff>
      <xdr:row>23</xdr:row>
      <xdr:rowOff>140806</xdr:rowOff>
    </xdr:to>
    <xdr:grpSp>
      <xdr:nvGrpSpPr>
        <xdr:cNvPr id="2" name="组合 1"/>
        <xdr:cNvGrpSpPr/>
      </xdr:nvGrpSpPr>
      <xdr:grpSpPr>
        <a:xfrm>
          <a:off x="0" y="493644"/>
          <a:ext cx="3867978" cy="4466812"/>
          <a:chOff x="0" y="0"/>
          <a:chExt cx="3876261" cy="3685761"/>
        </a:xfrm>
      </xdr:grpSpPr>
      <xdr:grpSp>
        <xdr:nvGrpSpPr>
          <xdr:cNvPr id="3" name="组合 2"/>
          <xdr:cNvGrpSpPr/>
        </xdr:nvGrpSpPr>
        <xdr:grpSpPr>
          <a:xfrm>
            <a:off x="0" y="132522"/>
            <a:ext cx="3876261" cy="3553239"/>
            <a:chOff x="2968896" y="65431"/>
            <a:chExt cx="4179840" cy="4629537"/>
          </a:xfrm>
        </xdr:grpSpPr>
        <xdr:grpSp>
          <xdr:nvGrpSpPr>
            <xdr:cNvPr id="6" name="组合 5"/>
            <xdr:cNvGrpSpPr/>
          </xdr:nvGrpSpPr>
          <xdr:grpSpPr>
            <a:xfrm>
              <a:off x="2968896" y="65431"/>
              <a:ext cx="4179840" cy="4629537"/>
              <a:chOff x="3747462" y="943387"/>
              <a:chExt cx="4179840" cy="4629537"/>
            </a:xfrm>
          </xdr:grpSpPr>
          <xdr:graphicFrame macro="">
            <xdr:nvGraphicFramePr>
              <xdr:cNvPr id="8" name="图表 7"/>
              <xdr:cNvGraphicFramePr/>
            </xdr:nvGraphicFramePr>
            <xdr:xfrm>
              <a:off x="3747462" y="943387"/>
              <a:ext cx="4179840" cy="46295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9" name="矩形 8"/>
              <xdr:cNvSpPr/>
            </xdr:nvSpPr>
            <xdr:spPr>
              <a:xfrm>
                <a:off x="5513983" y="1329386"/>
                <a:ext cx="218083" cy="1896646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7" name="图片 6"/>
                <xdr:cNvPicPr>
                  <a:picLocks noChangeAspect="1" noChangeArrowheads="1"/>
                  <a:extLst>
                    <a:ext uri="{84589F7E-364E-4C9E-8A38-B11213B215E9}">
                      <a14:cameraTool cellRange="$J$5:$K$12" spid="_x0000_s1035"/>
                    </a:ext>
                  </a:extLst>
                </xdr:cNvPicPr>
              </xdr:nvPicPr>
              <xdr:blipFill>
                <a:blip xmlns:r="http://schemas.openxmlformats.org/officeDocument/2006/relationships" r:embed="rId2"/>
                <a:srcRect/>
                <a:stretch>
                  <a:fillRect/>
                </a:stretch>
              </xdr:blipFill>
              <xdr:spPr>
                <a:xfrm>
                  <a:off x="4343841" y="587943"/>
                  <a:ext cx="672121" cy="1695852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:r="http://schemas.openxmlformats.org/officeDocument/2006/relationships" xmlns=""/>
        </mc:AlternateContent>
      </xdr:grpSp>
      <xdr:sp macro="" textlink="">
        <xdr:nvSpPr>
          <xdr:cNvPr id="4" name="矩形 3"/>
          <xdr:cNvSpPr/>
        </xdr:nvSpPr>
        <xdr:spPr>
          <a:xfrm>
            <a:off x="267754" y="0"/>
            <a:ext cx="2032095" cy="425822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zh-CN" altLang="en-US" sz="20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幼圆" panose="02010509060101010101" pitchFamily="49" charset="-122"/>
                <a:ea typeface="幼圆" panose="02010509060101010101" pitchFamily="49" charset="-122"/>
              </a:rPr>
              <a:t>各地区销售数据</a:t>
            </a:r>
          </a:p>
        </xdr:txBody>
      </xdr:sp>
      <xdr:sp macro="" textlink="">
        <xdr:nvSpPr>
          <xdr:cNvPr id="5" name="矩形 4"/>
          <xdr:cNvSpPr/>
        </xdr:nvSpPr>
        <xdr:spPr>
          <a:xfrm>
            <a:off x="281799" y="331305"/>
            <a:ext cx="1059777" cy="225703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zh-CN" altLang="en-US" sz="8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幼圆" panose="02010509060101010101" pitchFamily="49" charset="-122"/>
                <a:ea typeface="幼圆" panose="02010509060101010101" pitchFamily="49" charset="-122"/>
              </a:rPr>
              <a:t>数据来源：商品部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B1:AD368"/>
  <sheetViews>
    <sheetView showGridLines="0" tabSelected="1" topLeftCell="A4" zoomScale="115" zoomScaleNormal="115" workbookViewId="0">
      <selection activeCell="M21" sqref="M21"/>
    </sheetView>
  </sheetViews>
  <sheetFormatPr defaultColWidth="9" defaultRowHeight="16.5"/>
  <cols>
    <col min="1" max="1" width="9" style="1" customWidth="1"/>
    <col min="2" max="6" width="9" style="1"/>
    <col min="7" max="7" width="6.125" style="2" customWidth="1"/>
    <col min="8" max="8" width="4.5" style="2" customWidth="1"/>
    <col min="9" max="9" width="6.875" style="2" customWidth="1"/>
    <col min="10" max="10" width="4.375" style="2" customWidth="1"/>
    <col min="11" max="11" width="5.125" style="3" customWidth="1"/>
    <col min="12" max="12" width="1.5" style="4" customWidth="1"/>
    <col min="13" max="13" width="6.375" style="2" customWidth="1"/>
    <col min="14" max="21" width="3.875" style="2" customWidth="1"/>
    <col min="22" max="29" width="7.5" style="2" customWidth="1"/>
    <col min="30" max="30" width="9" style="5"/>
    <col min="31" max="16384" width="9" style="1"/>
  </cols>
  <sheetData>
    <row r="1" spans="2:30">
      <c r="B1" s="6"/>
    </row>
    <row r="2" spans="2:30">
      <c r="B2" s="6"/>
    </row>
    <row r="4" spans="2:30">
      <c r="G4" s="7" t="s">
        <v>0</v>
      </c>
      <c r="H4" s="7" t="s">
        <v>1</v>
      </c>
      <c r="I4" s="7" t="s">
        <v>2</v>
      </c>
      <c r="J4" s="7" t="s">
        <v>3</v>
      </c>
      <c r="K4" s="7"/>
      <c r="M4" s="12" t="s">
        <v>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30">
      <c r="G5" s="8" t="s">
        <v>5</v>
      </c>
      <c r="H5" s="8">
        <v>16</v>
      </c>
      <c r="I5" s="8">
        <f t="shared" ref="I5:I12" si="0">H5+ROW()%%</f>
        <v>16.000499999999999</v>
      </c>
      <c r="J5" s="8" t="str">
        <f t="shared" ref="J5:J12" si="1">INDEX($G$5:$G$12,MATCH(K5,$I$5:$I$12,))</f>
        <v>南京</v>
      </c>
      <c r="K5" s="13">
        <f>LARGE($I$5:$I$12,ROW(G1))</f>
        <v>81.001000000000005</v>
      </c>
      <c r="M5" s="8" t="s">
        <v>6</v>
      </c>
      <c r="N5" s="8">
        <v>10</v>
      </c>
      <c r="O5" s="8">
        <f t="shared" ref="O5:U5" si="2">N5-1.2</f>
        <v>8.8000000000000007</v>
      </c>
      <c r="P5" s="8">
        <f t="shared" si="2"/>
        <v>7.6000000000000005</v>
      </c>
      <c r="Q5" s="8">
        <f t="shared" si="2"/>
        <v>6.4</v>
      </c>
      <c r="R5" s="8">
        <f t="shared" si="2"/>
        <v>5.2</v>
      </c>
      <c r="S5" s="8">
        <f t="shared" si="2"/>
        <v>4</v>
      </c>
      <c r="T5" s="8">
        <f t="shared" si="2"/>
        <v>2.8</v>
      </c>
      <c r="U5" s="8">
        <f t="shared" si="2"/>
        <v>1.5999999999999999</v>
      </c>
      <c r="V5" s="8">
        <v>10</v>
      </c>
      <c r="W5" s="8">
        <f t="shared" ref="W5:AC5" si="3">V5-1.2</f>
        <v>8.8000000000000007</v>
      </c>
      <c r="X5" s="8">
        <f t="shared" si="3"/>
        <v>7.6000000000000005</v>
      </c>
      <c r="Y5" s="8">
        <f t="shared" si="3"/>
        <v>6.4</v>
      </c>
      <c r="Z5" s="8">
        <f t="shared" si="3"/>
        <v>5.2</v>
      </c>
      <c r="AA5" s="8">
        <f t="shared" si="3"/>
        <v>4</v>
      </c>
      <c r="AB5" s="8">
        <f t="shared" si="3"/>
        <v>2.8</v>
      </c>
      <c r="AC5" s="8">
        <f t="shared" si="3"/>
        <v>1.5999999999999999</v>
      </c>
    </row>
    <row r="6" spans="2:30">
      <c r="G6" s="8" t="s">
        <v>7</v>
      </c>
      <c r="H6" s="8">
        <v>80</v>
      </c>
      <c r="I6" s="8">
        <f t="shared" si="0"/>
        <v>80.000600000000006</v>
      </c>
      <c r="J6" s="8" t="str">
        <f t="shared" si="1"/>
        <v>上海</v>
      </c>
      <c r="K6" s="13">
        <f t="shared" ref="K6:K12" si="4">LARGE($I$5:$I$12,ROW(G2))</f>
        <v>80.000600000000006</v>
      </c>
      <c r="M6" s="8" t="s">
        <v>8</v>
      </c>
      <c r="N6" s="8"/>
      <c r="O6" s="8"/>
      <c r="P6" s="8"/>
      <c r="Q6" s="8"/>
      <c r="R6" s="8"/>
      <c r="S6" s="8"/>
      <c r="T6" s="8"/>
      <c r="U6" s="8"/>
      <c r="V6" s="8">
        <v>1</v>
      </c>
      <c r="W6" s="8">
        <v>2</v>
      </c>
      <c r="X6" s="8">
        <v>3</v>
      </c>
      <c r="Y6" s="8">
        <v>4</v>
      </c>
      <c r="Z6" s="8">
        <v>5</v>
      </c>
      <c r="AA6" s="8">
        <v>6</v>
      </c>
      <c r="AB6" s="8">
        <v>7</v>
      </c>
      <c r="AC6" s="8">
        <v>8</v>
      </c>
    </row>
    <row r="7" spans="2:30">
      <c r="G7" s="8" t="s">
        <v>9</v>
      </c>
      <c r="H7" s="8">
        <v>78</v>
      </c>
      <c r="I7" s="8">
        <f t="shared" si="0"/>
        <v>78.000699999999995</v>
      </c>
      <c r="J7" s="8" t="str">
        <f t="shared" si="1"/>
        <v>广州</v>
      </c>
      <c r="K7" s="13">
        <f t="shared" si="4"/>
        <v>78.000699999999995</v>
      </c>
      <c r="M7" s="8" t="s">
        <v>0</v>
      </c>
      <c r="N7" s="8" t="s">
        <v>10</v>
      </c>
      <c r="O7" s="8" t="s">
        <v>7</v>
      </c>
      <c r="P7" s="8" t="s">
        <v>9</v>
      </c>
      <c r="Q7" s="8" t="s">
        <v>11</v>
      </c>
      <c r="R7" s="8" t="s">
        <v>12</v>
      </c>
      <c r="S7" s="8" t="s">
        <v>13</v>
      </c>
      <c r="T7" s="8" t="s">
        <v>14</v>
      </c>
      <c r="U7" s="8" t="s">
        <v>5</v>
      </c>
      <c r="V7" s="8" t="str">
        <f t="shared" ref="V7:AC7" ca="1" si="5">INDEX($G$5:$G$12,MATCH(V8,$I$5:$I$12,))</f>
        <v>南京</v>
      </c>
      <c r="W7" s="8" t="e">
        <f t="shared" ca="1" si="5"/>
        <v>#N/A</v>
      </c>
      <c r="X7" s="8" t="e">
        <f t="shared" ca="1" si="5"/>
        <v>#N/A</v>
      </c>
      <c r="Y7" s="8" t="e">
        <f t="shared" ca="1" si="5"/>
        <v>#N/A</v>
      </c>
      <c r="Z7" s="8" t="e">
        <f t="shared" ca="1" si="5"/>
        <v>#N/A</v>
      </c>
      <c r="AA7" s="8" t="e">
        <f t="shared" ca="1" si="5"/>
        <v>#N/A</v>
      </c>
      <c r="AB7" s="8" t="e">
        <f t="shared" ca="1" si="5"/>
        <v>#N/A</v>
      </c>
      <c r="AC7" s="8" t="e">
        <f t="shared" ca="1" si="5"/>
        <v>#N/A</v>
      </c>
    </row>
    <row r="8" spans="2:30">
      <c r="G8" s="8" t="s">
        <v>14</v>
      </c>
      <c r="H8" s="8">
        <v>47</v>
      </c>
      <c r="I8" s="8">
        <f t="shared" si="0"/>
        <v>47.000799999999998</v>
      </c>
      <c r="J8" s="8" t="str">
        <f t="shared" si="1"/>
        <v>汕头</v>
      </c>
      <c r="K8" s="13">
        <f t="shared" si="4"/>
        <v>73.001199999999997</v>
      </c>
      <c r="M8" s="14" t="s">
        <v>15</v>
      </c>
      <c r="N8" s="15" t="s">
        <v>16</v>
      </c>
      <c r="O8" s="15" t="s">
        <v>17</v>
      </c>
      <c r="P8" s="15" t="s">
        <v>18</v>
      </c>
      <c r="Q8" s="15" t="s">
        <v>19</v>
      </c>
      <c r="R8" s="15" t="s">
        <v>20</v>
      </c>
      <c r="S8" s="15" t="s">
        <v>21</v>
      </c>
      <c r="T8" s="15" t="s">
        <v>22</v>
      </c>
      <c r="U8" s="15" t="s">
        <v>23</v>
      </c>
      <c r="V8" s="15" t="str">
        <f t="array" aca="1" ref="V8:AC8" ca="1">V7:AC7&amp;":"&amp;"指标"&amp;TRANSPOSE(INT(K5:K12))</f>
        <v>南京:指标81</v>
      </c>
      <c r="W8" s="15" t="str">
        <f ca="1"/>
        <v>上海:指标80</v>
      </c>
      <c r="X8" s="15" t="str">
        <f ca="1"/>
        <v>广州:指标78</v>
      </c>
      <c r="Y8" s="15" t="str">
        <f ca="1"/>
        <v>汕头:指标73</v>
      </c>
      <c r="Z8" s="15" t="str">
        <f ca="1"/>
        <v>天津:指标61</v>
      </c>
      <c r="AA8" s="15" t="str">
        <f ca="1"/>
        <v>成都:指标50</v>
      </c>
      <c r="AB8" s="15" t="str">
        <f ca="1"/>
        <v>深圳:指标47</v>
      </c>
      <c r="AC8" s="15" t="str">
        <f ca="1"/>
        <v>北京:指标16</v>
      </c>
      <c r="AD8" s="5" t="s">
        <v>24</v>
      </c>
    </row>
    <row r="9" spans="2:30">
      <c r="G9" s="8" t="s">
        <v>13</v>
      </c>
      <c r="H9" s="8">
        <v>50</v>
      </c>
      <c r="I9" s="8">
        <f t="shared" si="0"/>
        <v>50.000900000000001</v>
      </c>
      <c r="J9" s="8" t="str">
        <f t="shared" si="1"/>
        <v>天津</v>
      </c>
      <c r="K9" s="13">
        <f t="shared" si="4"/>
        <v>61.001100000000001</v>
      </c>
      <c r="M9" s="14">
        <v>1</v>
      </c>
      <c r="N9" s="8">
        <f t="shared" ref="N9:U24" si="6">IF($M9&lt;=100/$G$15*$H$15,N$5,NA())</f>
        <v>10</v>
      </c>
      <c r="O9" s="8">
        <f t="shared" si="6"/>
        <v>8.8000000000000007</v>
      </c>
      <c r="P9" s="8">
        <f t="shared" si="6"/>
        <v>7.6000000000000005</v>
      </c>
      <c r="Q9" s="8">
        <f t="shared" si="6"/>
        <v>6.4</v>
      </c>
      <c r="R9" s="8">
        <f t="shared" si="6"/>
        <v>5.2</v>
      </c>
      <c r="S9" s="8">
        <f t="shared" si="6"/>
        <v>4</v>
      </c>
      <c r="T9" s="8">
        <f t="shared" si="6"/>
        <v>2.8</v>
      </c>
      <c r="U9" s="8">
        <f t="shared" si="6"/>
        <v>1.5999999999999999</v>
      </c>
      <c r="V9" s="8">
        <f t="shared" ref="V9:AC24" si="7">IF($M9&lt;=INDEX($K$5:$K$12,V$6)/$G$15*$H$15,V$5,NA())</f>
        <v>10</v>
      </c>
      <c r="W9" s="8">
        <f t="shared" si="7"/>
        <v>8.8000000000000007</v>
      </c>
      <c r="X9" s="8">
        <f t="shared" si="7"/>
        <v>7.6000000000000005</v>
      </c>
      <c r="Y9" s="8">
        <f t="shared" si="7"/>
        <v>6.4</v>
      </c>
      <c r="Z9" s="8">
        <f t="shared" si="7"/>
        <v>5.2</v>
      </c>
      <c r="AA9" s="8">
        <f>IF($M9&lt;=INDEX($K$5:$K$12,AA$6)/$G$15*$H$15,AA$5,NA())</f>
        <v>4</v>
      </c>
      <c r="AB9" s="8">
        <f t="shared" si="7"/>
        <v>2.8</v>
      </c>
      <c r="AC9" s="8">
        <f t="shared" si="7"/>
        <v>1.5999999999999999</v>
      </c>
    </row>
    <row r="10" spans="2:30">
      <c r="G10" s="8" t="s">
        <v>10</v>
      </c>
      <c r="H10" s="8">
        <v>81</v>
      </c>
      <c r="I10" s="8">
        <f t="shared" si="0"/>
        <v>81.001000000000005</v>
      </c>
      <c r="J10" s="8" t="str">
        <f t="shared" si="1"/>
        <v>成都</v>
      </c>
      <c r="K10" s="13">
        <f t="shared" si="4"/>
        <v>50.000900000000001</v>
      </c>
      <c r="M10" s="14">
        <v>2</v>
      </c>
      <c r="N10" s="8">
        <f t="shared" si="6"/>
        <v>10</v>
      </c>
      <c r="O10" s="8">
        <f t="shared" si="6"/>
        <v>8.8000000000000007</v>
      </c>
      <c r="P10" s="8">
        <f t="shared" si="6"/>
        <v>7.6000000000000005</v>
      </c>
      <c r="Q10" s="8">
        <f t="shared" si="6"/>
        <v>6.4</v>
      </c>
      <c r="R10" s="8">
        <f t="shared" si="6"/>
        <v>5.2</v>
      </c>
      <c r="S10" s="8">
        <f t="shared" si="6"/>
        <v>4</v>
      </c>
      <c r="T10" s="8">
        <f t="shared" si="6"/>
        <v>2.8</v>
      </c>
      <c r="U10" s="8">
        <f t="shared" si="6"/>
        <v>1.5999999999999999</v>
      </c>
      <c r="V10" s="8">
        <f t="shared" si="7"/>
        <v>10</v>
      </c>
      <c r="W10" s="8">
        <f t="shared" si="7"/>
        <v>8.8000000000000007</v>
      </c>
      <c r="X10" s="8">
        <f t="shared" si="7"/>
        <v>7.6000000000000005</v>
      </c>
      <c r="Y10" s="8">
        <f t="shared" si="7"/>
        <v>6.4</v>
      </c>
      <c r="Z10" s="8">
        <f t="shared" si="7"/>
        <v>5.2</v>
      </c>
      <c r="AA10" s="8">
        <f t="shared" si="7"/>
        <v>4</v>
      </c>
      <c r="AB10" s="8">
        <f t="shared" si="7"/>
        <v>2.8</v>
      </c>
      <c r="AC10" s="8">
        <f t="shared" si="7"/>
        <v>1.5999999999999999</v>
      </c>
    </row>
    <row r="11" spans="2:30">
      <c r="G11" s="8" t="s">
        <v>12</v>
      </c>
      <c r="H11" s="8">
        <v>61</v>
      </c>
      <c r="I11" s="8">
        <f t="shared" si="0"/>
        <v>61.001100000000001</v>
      </c>
      <c r="J11" s="8" t="str">
        <f t="shared" si="1"/>
        <v>深圳</v>
      </c>
      <c r="K11" s="13">
        <f t="shared" si="4"/>
        <v>47.000799999999998</v>
      </c>
      <c r="M11" s="14">
        <v>3</v>
      </c>
      <c r="N11" s="8">
        <f t="shared" si="6"/>
        <v>10</v>
      </c>
      <c r="O11" s="8">
        <f t="shared" si="6"/>
        <v>8.8000000000000007</v>
      </c>
      <c r="P11" s="8">
        <f t="shared" si="6"/>
        <v>7.6000000000000005</v>
      </c>
      <c r="Q11" s="8">
        <f t="shared" si="6"/>
        <v>6.4</v>
      </c>
      <c r="R11" s="8">
        <f t="shared" si="6"/>
        <v>5.2</v>
      </c>
      <c r="S11" s="8">
        <f t="shared" si="6"/>
        <v>4</v>
      </c>
      <c r="T11" s="8">
        <f t="shared" si="6"/>
        <v>2.8</v>
      </c>
      <c r="U11" s="8">
        <f t="shared" si="6"/>
        <v>1.5999999999999999</v>
      </c>
      <c r="V11" s="8">
        <f t="shared" si="7"/>
        <v>10</v>
      </c>
      <c r="W11" s="8">
        <f t="shared" si="7"/>
        <v>8.8000000000000007</v>
      </c>
      <c r="X11" s="8">
        <f t="shared" si="7"/>
        <v>7.6000000000000005</v>
      </c>
      <c r="Y11" s="8">
        <f t="shared" si="7"/>
        <v>6.4</v>
      </c>
      <c r="Z11" s="8">
        <f t="shared" si="7"/>
        <v>5.2</v>
      </c>
      <c r="AA11" s="8">
        <f t="shared" si="7"/>
        <v>4</v>
      </c>
      <c r="AB11" s="8">
        <f t="shared" si="7"/>
        <v>2.8</v>
      </c>
      <c r="AC11" s="8">
        <f t="shared" si="7"/>
        <v>1.5999999999999999</v>
      </c>
    </row>
    <row r="12" spans="2:30">
      <c r="G12" s="8" t="s">
        <v>11</v>
      </c>
      <c r="H12" s="8">
        <v>73</v>
      </c>
      <c r="I12" s="8">
        <f t="shared" si="0"/>
        <v>73.001199999999997</v>
      </c>
      <c r="J12" s="8" t="str">
        <f t="shared" si="1"/>
        <v>北京</v>
      </c>
      <c r="K12" s="13">
        <f t="shared" si="4"/>
        <v>16.000499999999999</v>
      </c>
      <c r="M12" s="14">
        <v>4</v>
      </c>
      <c r="N12" s="8">
        <f t="shared" si="6"/>
        <v>10</v>
      </c>
      <c r="O12" s="8">
        <f t="shared" si="6"/>
        <v>8.8000000000000007</v>
      </c>
      <c r="P12" s="8">
        <f t="shared" si="6"/>
        <v>7.6000000000000005</v>
      </c>
      <c r="Q12" s="8">
        <f t="shared" si="6"/>
        <v>6.4</v>
      </c>
      <c r="R12" s="8">
        <f t="shared" si="6"/>
        <v>5.2</v>
      </c>
      <c r="S12" s="8">
        <f t="shared" si="6"/>
        <v>4</v>
      </c>
      <c r="T12" s="8">
        <f t="shared" si="6"/>
        <v>2.8</v>
      </c>
      <c r="U12" s="8">
        <f t="shared" si="6"/>
        <v>1.5999999999999999</v>
      </c>
      <c r="V12" s="8">
        <f t="shared" si="7"/>
        <v>10</v>
      </c>
      <c r="W12" s="8">
        <f t="shared" si="7"/>
        <v>8.8000000000000007</v>
      </c>
      <c r="X12" s="8">
        <f t="shared" si="7"/>
        <v>7.6000000000000005</v>
      </c>
      <c r="Y12" s="8">
        <f t="shared" si="7"/>
        <v>6.4</v>
      </c>
      <c r="Z12" s="8">
        <f t="shared" si="7"/>
        <v>5.2</v>
      </c>
      <c r="AA12" s="8">
        <f t="shared" si="7"/>
        <v>4</v>
      </c>
      <c r="AB12" s="8">
        <f t="shared" si="7"/>
        <v>2.8</v>
      </c>
      <c r="AC12" s="8">
        <f t="shared" si="7"/>
        <v>1.5999999999999999</v>
      </c>
    </row>
    <row r="13" spans="2:30">
      <c r="M13" s="14">
        <v>5</v>
      </c>
      <c r="N13" s="8">
        <f t="shared" si="6"/>
        <v>10</v>
      </c>
      <c r="O13" s="8">
        <f t="shared" si="6"/>
        <v>8.8000000000000007</v>
      </c>
      <c r="P13" s="8">
        <f t="shared" si="6"/>
        <v>7.6000000000000005</v>
      </c>
      <c r="Q13" s="8">
        <f t="shared" si="6"/>
        <v>6.4</v>
      </c>
      <c r="R13" s="8">
        <f t="shared" si="6"/>
        <v>5.2</v>
      </c>
      <c r="S13" s="8">
        <f t="shared" si="6"/>
        <v>4</v>
      </c>
      <c r="T13" s="8">
        <f t="shared" si="6"/>
        <v>2.8</v>
      </c>
      <c r="U13" s="8">
        <f t="shared" si="6"/>
        <v>1.5999999999999999</v>
      </c>
      <c r="V13" s="8">
        <f t="shared" si="7"/>
        <v>10</v>
      </c>
      <c r="W13" s="8">
        <f t="shared" si="7"/>
        <v>8.8000000000000007</v>
      </c>
      <c r="X13" s="8">
        <f t="shared" si="7"/>
        <v>7.6000000000000005</v>
      </c>
      <c r="Y13" s="8">
        <f t="shared" si="7"/>
        <v>6.4</v>
      </c>
      <c r="Z13" s="8">
        <f t="shared" si="7"/>
        <v>5.2</v>
      </c>
      <c r="AA13" s="8">
        <f t="shared" si="7"/>
        <v>4</v>
      </c>
      <c r="AB13" s="8">
        <f t="shared" si="7"/>
        <v>2.8</v>
      </c>
      <c r="AC13" s="8">
        <f t="shared" si="7"/>
        <v>1.5999999999999999</v>
      </c>
    </row>
    <row r="14" spans="2:30">
      <c r="G14" s="9" t="s">
        <v>25</v>
      </c>
      <c r="H14" s="9" t="s">
        <v>25</v>
      </c>
      <c r="M14" s="14">
        <v>6</v>
      </c>
      <c r="N14" s="8">
        <f t="shared" si="6"/>
        <v>10</v>
      </c>
      <c r="O14" s="8">
        <f t="shared" si="6"/>
        <v>8.8000000000000007</v>
      </c>
      <c r="P14" s="8">
        <f t="shared" si="6"/>
        <v>7.6000000000000005</v>
      </c>
      <c r="Q14" s="8">
        <f t="shared" si="6"/>
        <v>6.4</v>
      </c>
      <c r="R14" s="8">
        <f t="shared" si="6"/>
        <v>5.2</v>
      </c>
      <c r="S14" s="8">
        <f t="shared" si="6"/>
        <v>4</v>
      </c>
      <c r="T14" s="8">
        <f t="shared" si="6"/>
        <v>2.8</v>
      </c>
      <c r="U14" s="8">
        <f t="shared" si="6"/>
        <v>1.5999999999999999</v>
      </c>
      <c r="V14" s="8">
        <f t="shared" si="7"/>
        <v>10</v>
      </c>
      <c r="W14" s="8">
        <f t="shared" si="7"/>
        <v>8.8000000000000007</v>
      </c>
      <c r="X14" s="8">
        <f t="shared" si="7"/>
        <v>7.6000000000000005</v>
      </c>
      <c r="Y14" s="8">
        <f t="shared" si="7"/>
        <v>6.4</v>
      </c>
      <c r="Z14" s="8">
        <f t="shared" si="7"/>
        <v>5.2</v>
      </c>
      <c r="AA14" s="8">
        <f t="shared" si="7"/>
        <v>4</v>
      </c>
      <c r="AB14" s="8">
        <f t="shared" si="7"/>
        <v>2.8</v>
      </c>
      <c r="AC14" s="8">
        <f t="shared" si="7"/>
        <v>1.5999999999999999</v>
      </c>
    </row>
    <row r="15" spans="2:30">
      <c r="G15" s="8">
        <f>H15*0.368</f>
        <v>132.47999999999999</v>
      </c>
      <c r="H15" s="8">
        <v>360</v>
      </c>
      <c r="M15" s="14">
        <v>7</v>
      </c>
      <c r="N15" s="8">
        <f t="shared" si="6"/>
        <v>10</v>
      </c>
      <c r="O15" s="8">
        <f t="shared" si="6"/>
        <v>8.8000000000000007</v>
      </c>
      <c r="P15" s="8">
        <f t="shared" si="6"/>
        <v>7.6000000000000005</v>
      </c>
      <c r="Q15" s="8">
        <f t="shared" si="6"/>
        <v>6.4</v>
      </c>
      <c r="R15" s="8">
        <f t="shared" si="6"/>
        <v>5.2</v>
      </c>
      <c r="S15" s="8">
        <f t="shared" si="6"/>
        <v>4</v>
      </c>
      <c r="T15" s="8">
        <f t="shared" si="6"/>
        <v>2.8</v>
      </c>
      <c r="U15" s="8">
        <f t="shared" si="6"/>
        <v>1.5999999999999999</v>
      </c>
      <c r="V15" s="8">
        <f t="shared" si="7"/>
        <v>10</v>
      </c>
      <c r="W15" s="8">
        <f t="shared" si="7"/>
        <v>8.8000000000000007</v>
      </c>
      <c r="X15" s="8">
        <f t="shared" si="7"/>
        <v>7.6000000000000005</v>
      </c>
      <c r="Y15" s="8">
        <f t="shared" si="7"/>
        <v>6.4</v>
      </c>
      <c r="Z15" s="8">
        <f t="shared" si="7"/>
        <v>5.2</v>
      </c>
      <c r="AA15" s="8">
        <f t="shared" si="7"/>
        <v>4</v>
      </c>
      <c r="AB15" s="8">
        <f t="shared" si="7"/>
        <v>2.8</v>
      </c>
      <c r="AC15" s="8">
        <f t="shared" si="7"/>
        <v>1.5999999999999999</v>
      </c>
    </row>
    <row r="16" spans="2:30">
      <c r="M16" s="14">
        <v>8</v>
      </c>
      <c r="N16" s="8">
        <f t="shared" si="6"/>
        <v>10</v>
      </c>
      <c r="O16" s="8">
        <f t="shared" si="6"/>
        <v>8.8000000000000007</v>
      </c>
      <c r="P16" s="8">
        <f t="shared" si="6"/>
        <v>7.6000000000000005</v>
      </c>
      <c r="Q16" s="8">
        <f t="shared" si="6"/>
        <v>6.4</v>
      </c>
      <c r="R16" s="8">
        <f t="shared" si="6"/>
        <v>5.2</v>
      </c>
      <c r="S16" s="8">
        <f t="shared" si="6"/>
        <v>4</v>
      </c>
      <c r="T16" s="8">
        <f t="shared" si="6"/>
        <v>2.8</v>
      </c>
      <c r="U16" s="8">
        <f t="shared" si="6"/>
        <v>1.5999999999999999</v>
      </c>
      <c r="V16" s="8">
        <f t="shared" si="7"/>
        <v>10</v>
      </c>
      <c r="W16" s="8">
        <f t="shared" si="7"/>
        <v>8.8000000000000007</v>
      </c>
      <c r="X16" s="8">
        <f t="shared" si="7"/>
        <v>7.6000000000000005</v>
      </c>
      <c r="Y16" s="8">
        <f t="shared" si="7"/>
        <v>6.4</v>
      </c>
      <c r="Z16" s="8">
        <f t="shared" si="7"/>
        <v>5.2</v>
      </c>
      <c r="AA16" s="8">
        <f t="shared" si="7"/>
        <v>4</v>
      </c>
      <c r="AB16" s="8">
        <f t="shared" si="7"/>
        <v>2.8</v>
      </c>
      <c r="AC16" s="8">
        <f t="shared" si="7"/>
        <v>1.5999999999999999</v>
      </c>
    </row>
    <row r="17" spans="7:29">
      <c r="M17" s="14">
        <v>9</v>
      </c>
      <c r="N17" s="8">
        <f t="shared" si="6"/>
        <v>10</v>
      </c>
      <c r="O17" s="8">
        <f t="shared" si="6"/>
        <v>8.8000000000000007</v>
      </c>
      <c r="P17" s="8">
        <f t="shared" si="6"/>
        <v>7.6000000000000005</v>
      </c>
      <c r="Q17" s="8">
        <f t="shared" si="6"/>
        <v>6.4</v>
      </c>
      <c r="R17" s="8">
        <f t="shared" si="6"/>
        <v>5.2</v>
      </c>
      <c r="S17" s="8">
        <f t="shared" si="6"/>
        <v>4</v>
      </c>
      <c r="T17" s="8">
        <f t="shared" si="6"/>
        <v>2.8</v>
      </c>
      <c r="U17" s="8">
        <f t="shared" si="6"/>
        <v>1.5999999999999999</v>
      </c>
      <c r="V17" s="8">
        <f t="shared" si="7"/>
        <v>10</v>
      </c>
      <c r="W17" s="8">
        <f t="shared" si="7"/>
        <v>8.8000000000000007</v>
      </c>
      <c r="X17" s="8">
        <f t="shared" si="7"/>
        <v>7.6000000000000005</v>
      </c>
      <c r="Y17" s="8">
        <f t="shared" si="7"/>
        <v>6.4</v>
      </c>
      <c r="Z17" s="8">
        <f t="shared" si="7"/>
        <v>5.2</v>
      </c>
      <c r="AA17" s="8">
        <f t="shared" si="7"/>
        <v>4</v>
      </c>
      <c r="AB17" s="8">
        <f t="shared" si="7"/>
        <v>2.8</v>
      </c>
      <c r="AC17" s="8">
        <f t="shared" si="7"/>
        <v>1.5999999999999999</v>
      </c>
    </row>
    <row r="18" spans="7:29">
      <c r="G18" s="10" t="s">
        <v>26</v>
      </c>
      <c r="M18" s="14">
        <v>10</v>
      </c>
      <c r="N18" s="8">
        <f t="shared" si="6"/>
        <v>10</v>
      </c>
      <c r="O18" s="8">
        <f t="shared" si="6"/>
        <v>8.8000000000000007</v>
      </c>
      <c r="P18" s="8">
        <f t="shared" si="6"/>
        <v>7.6000000000000005</v>
      </c>
      <c r="Q18" s="8">
        <f t="shared" si="6"/>
        <v>6.4</v>
      </c>
      <c r="R18" s="8">
        <f t="shared" si="6"/>
        <v>5.2</v>
      </c>
      <c r="S18" s="8">
        <f t="shared" si="6"/>
        <v>4</v>
      </c>
      <c r="T18" s="8">
        <f t="shared" si="6"/>
        <v>2.8</v>
      </c>
      <c r="U18" s="8">
        <f t="shared" si="6"/>
        <v>1.5999999999999999</v>
      </c>
      <c r="V18" s="8">
        <f t="shared" si="7"/>
        <v>10</v>
      </c>
      <c r="W18" s="8">
        <f t="shared" si="7"/>
        <v>8.8000000000000007</v>
      </c>
      <c r="X18" s="8">
        <f t="shared" si="7"/>
        <v>7.6000000000000005</v>
      </c>
      <c r="Y18" s="8">
        <f t="shared" si="7"/>
        <v>6.4</v>
      </c>
      <c r="Z18" s="8">
        <f t="shared" si="7"/>
        <v>5.2</v>
      </c>
      <c r="AA18" s="8">
        <f t="shared" si="7"/>
        <v>4</v>
      </c>
      <c r="AB18" s="8">
        <f t="shared" si="7"/>
        <v>2.8</v>
      </c>
      <c r="AC18" s="8">
        <f t="shared" si="7"/>
        <v>1.5999999999999999</v>
      </c>
    </row>
    <row r="19" spans="7:29">
      <c r="G19" s="10" t="s">
        <v>27</v>
      </c>
      <c r="M19" s="14">
        <v>11</v>
      </c>
      <c r="N19" s="8">
        <f t="shared" si="6"/>
        <v>10</v>
      </c>
      <c r="O19" s="8">
        <f t="shared" si="6"/>
        <v>8.8000000000000007</v>
      </c>
      <c r="P19" s="8">
        <f t="shared" si="6"/>
        <v>7.6000000000000005</v>
      </c>
      <c r="Q19" s="8">
        <f t="shared" si="6"/>
        <v>6.4</v>
      </c>
      <c r="R19" s="8">
        <f t="shared" si="6"/>
        <v>5.2</v>
      </c>
      <c r="S19" s="8">
        <f t="shared" si="6"/>
        <v>4</v>
      </c>
      <c r="T19" s="8">
        <f t="shared" si="6"/>
        <v>2.8</v>
      </c>
      <c r="U19" s="8">
        <f t="shared" si="6"/>
        <v>1.5999999999999999</v>
      </c>
      <c r="V19" s="8">
        <f t="shared" si="7"/>
        <v>10</v>
      </c>
      <c r="W19" s="8">
        <f t="shared" si="7"/>
        <v>8.8000000000000007</v>
      </c>
      <c r="X19" s="8">
        <f t="shared" si="7"/>
        <v>7.6000000000000005</v>
      </c>
      <c r="Y19" s="8">
        <f t="shared" si="7"/>
        <v>6.4</v>
      </c>
      <c r="Z19" s="8">
        <f t="shared" si="7"/>
        <v>5.2</v>
      </c>
      <c r="AA19" s="8">
        <f t="shared" si="7"/>
        <v>4</v>
      </c>
      <c r="AB19" s="8">
        <f t="shared" si="7"/>
        <v>2.8</v>
      </c>
      <c r="AC19" s="8">
        <f t="shared" si="7"/>
        <v>1.5999999999999999</v>
      </c>
    </row>
    <row r="20" spans="7:29">
      <c r="G20" s="16" t="s">
        <v>28</v>
      </c>
      <c r="H20" s="11"/>
      <c r="M20" s="14">
        <v>12</v>
      </c>
      <c r="N20" s="8">
        <f t="shared" si="6"/>
        <v>10</v>
      </c>
      <c r="O20" s="8">
        <f t="shared" si="6"/>
        <v>8.8000000000000007</v>
      </c>
      <c r="P20" s="8">
        <f t="shared" si="6"/>
        <v>7.6000000000000005</v>
      </c>
      <c r="Q20" s="8">
        <f t="shared" si="6"/>
        <v>6.4</v>
      </c>
      <c r="R20" s="8">
        <f t="shared" si="6"/>
        <v>5.2</v>
      </c>
      <c r="S20" s="8">
        <f t="shared" si="6"/>
        <v>4</v>
      </c>
      <c r="T20" s="8">
        <f t="shared" si="6"/>
        <v>2.8</v>
      </c>
      <c r="U20" s="8">
        <f t="shared" si="6"/>
        <v>1.5999999999999999</v>
      </c>
      <c r="V20" s="8">
        <f t="shared" si="7"/>
        <v>10</v>
      </c>
      <c r="W20" s="8">
        <f t="shared" si="7"/>
        <v>8.8000000000000007</v>
      </c>
      <c r="X20" s="8">
        <f t="shared" si="7"/>
        <v>7.6000000000000005</v>
      </c>
      <c r="Y20" s="8">
        <f t="shared" si="7"/>
        <v>6.4</v>
      </c>
      <c r="Z20" s="8">
        <f t="shared" si="7"/>
        <v>5.2</v>
      </c>
      <c r="AA20" s="8">
        <f t="shared" si="7"/>
        <v>4</v>
      </c>
      <c r="AB20" s="8">
        <f t="shared" si="7"/>
        <v>2.8</v>
      </c>
      <c r="AC20" s="8">
        <f t="shared" si="7"/>
        <v>1.5999999999999999</v>
      </c>
    </row>
    <row r="21" spans="7:29">
      <c r="G21" s="16" t="s">
        <v>29</v>
      </c>
      <c r="H21" s="11"/>
      <c r="M21" s="14">
        <v>13</v>
      </c>
      <c r="N21" s="8">
        <f t="shared" si="6"/>
        <v>10</v>
      </c>
      <c r="O21" s="8">
        <f t="shared" si="6"/>
        <v>8.8000000000000007</v>
      </c>
      <c r="P21" s="8">
        <f t="shared" si="6"/>
        <v>7.6000000000000005</v>
      </c>
      <c r="Q21" s="8">
        <f t="shared" si="6"/>
        <v>6.4</v>
      </c>
      <c r="R21" s="8">
        <f t="shared" si="6"/>
        <v>5.2</v>
      </c>
      <c r="S21" s="8">
        <f t="shared" si="6"/>
        <v>4</v>
      </c>
      <c r="T21" s="8">
        <f t="shared" si="6"/>
        <v>2.8</v>
      </c>
      <c r="U21" s="8">
        <f t="shared" si="6"/>
        <v>1.5999999999999999</v>
      </c>
      <c r="V21" s="8">
        <f t="shared" si="7"/>
        <v>10</v>
      </c>
      <c r="W21" s="8">
        <f t="shared" si="7"/>
        <v>8.8000000000000007</v>
      </c>
      <c r="X21" s="8">
        <f t="shared" si="7"/>
        <v>7.6000000000000005</v>
      </c>
      <c r="Y21" s="8">
        <f t="shared" si="7"/>
        <v>6.4</v>
      </c>
      <c r="Z21" s="8">
        <f t="shared" si="7"/>
        <v>5.2</v>
      </c>
      <c r="AA21" s="8">
        <f t="shared" si="7"/>
        <v>4</v>
      </c>
      <c r="AB21" s="8">
        <f t="shared" si="7"/>
        <v>2.8</v>
      </c>
      <c r="AC21" s="8">
        <f t="shared" si="7"/>
        <v>1.5999999999999999</v>
      </c>
    </row>
    <row r="22" spans="7:29">
      <c r="G22" s="11"/>
      <c r="H22" s="11"/>
      <c r="M22" s="14">
        <v>14</v>
      </c>
      <c r="N22" s="8">
        <f t="shared" si="6"/>
        <v>10</v>
      </c>
      <c r="O22" s="8">
        <f t="shared" si="6"/>
        <v>8.8000000000000007</v>
      </c>
      <c r="P22" s="8">
        <f t="shared" si="6"/>
        <v>7.6000000000000005</v>
      </c>
      <c r="Q22" s="8">
        <f t="shared" si="6"/>
        <v>6.4</v>
      </c>
      <c r="R22" s="8">
        <f t="shared" si="6"/>
        <v>5.2</v>
      </c>
      <c r="S22" s="8">
        <f t="shared" si="6"/>
        <v>4</v>
      </c>
      <c r="T22" s="8">
        <f t="shared" si="6"/>
        <v>2.8</v>
      </c>
      <c r="U22" s="8">
        <f t="shared" si="6"/>
        <v>1.5999999999999999</v>
      </c>
      <c r="V22" s="8">
        <f t="shared" si="7"/>
        <v>10</v>
      </c>
      <c r="W22" s="8">
        <f t="shared" si="7"/>
        <v>8.8000000000000007</v>
      </c>
      <c r="X22" s="8">
        <f t="shared" si="7"/>
        <v>7.6000000000000005</v>
      </c>
      <c r="Y22" s="8">
        <f t="shared" si="7"/>
        <v>6.4</v>
      </c>
      <c r="Z22" s="8">
        <f t="shared" si="7"/>
        <v>5.2</v>
      </c>
      <c r="AA22" s="8">
        <f t="shared" si="7"/>
        <v>4</v>
      </c>
      <c r="AB22" s="8">
        <f t="shared" si="7"/>
        <v>2.8</v>
      </c>
      <c r="AC22" s="8">
        <f t="shared" si="7"/>
        <v>1.5999999999999999</v>
      </c>
    </row>
    <row r="23" spans="7:29">
      <c r="G23" s="11"/>
      <c r="H23" s="11"/>
      <c r="M23" s="14">
        <v>15</v>
      </c>
      <c r="N23" s="8">
        <f t="shared" si="6"/>
        <v>10</v>
      </c>
      <c r="O23" s="8">
        <f t="shared" si="6"/>
        <v>8.8000000000000007</v>
      </c>
      <c r="P23" s="8">
        <f t="shared" si="6"/>
        <v>7.6000000000000005</v>
      </c>
      <c r="Q23" s="8">
        <f t="shared" si="6"/>
        <v>6.4</v>
      </c>
      <c r="R23" s="8">
        <f t="shared" si="6"/>
        <v>5.2</v>
      </c>
      <c r="S23" s="8">
        <f t="shared" si="6"/>
        <v>4</v>
      </c>
      <c r="T23" s="8">
        <f t="shared" si="6"/>
        <v>2.8</v>
      </c>
      <c r="U23" s="8">
        <f t="shared" si="6"/>
        <v>1.5999999999999999</v>
      </c>
      <c r="V23" s="8">
        <f t="shared" si="7"/>
        <v>10</v>
      </c>
      <c r="W23" s="8">
        <f t="shared" si="7"/>
        <v>8.8000000000000007</v>
      </c>
      <c r="X23" s="8">
        <f t="shared" si="7"/>
        <v>7.6000000000000005</v>
      </c>
      <c r="Y23" s="8">
        <f t="shared" si="7"/>
        <v>6.4</v>
      </c>
      <c r="Z23" s="8">
        <f t="shared" si="7"/>
        <v>5.2</v>
      </c>
      <c r="AA23" s="8">
        <f t="shared" si="7"/>
        <v>4</v>
      </c>
      <c r="AB23" s="8">
        <f t="shared" si="7"/>
        <v>2.8</v>
      </c>
      <c r="AC23" s="8">
        <f t="shared" si="7"/>
        <v>1.5999999999999999</v>
      </c>
    </row>
    <row r="24" spans="7:29">
      <c r="M24" s="14">
        <v>16</v>
      </c>
      <c r="N24" s="8">
        <f t="shared" si="6"/>
        <v>10</v>
      </c>
      <c r="O24" s="8">
        <f t="shared" si="6"/>
        <v>8.8000000000000007</v>
      </c>
      <c r="P24" s="8">
        <f t="shared" si="6"/>
        <v>7.6000000000000005</v>
      </c>
      <c r="Q24" s="8">
        <f t="shared" si="6"/>
        <v>6.4</v>
      </c>
      <c r="R24" s="8">
        <f t="shared" si="6"/>
        <v>5.2</v>
      </c>
      <c r="S24" s="8">
        <f t="shared" si="6"/>
        <v>4</v>
      </c>
      <c r="T24" s="8">
        <f t="shared" si="6"/>
        <v>2.8</v>
      </c>
      <c r="U24" s="8">
        <f t="shared" si="6"/>
        <v>1.5999999999999999</v>
      </c>
      <c r="V24" s="8">
        <f t="shared" si="7"/>
        <v>10</v>
      </c>
      <c r="W24" s="8">
        <f t="shared" si="7"/>
        <v>8.8000000000000007</v>
      </c>
      <c r="X24" s="8">
        <f t="shared" si="7"/>
        <v>7.6000000000000005</v>
      </c>
      <c r="Y24" s="8">
        <f t="shared" si="7"/>
        <v>6.4</v>
      </c>
      <c r="Z24" s="8">
        <f t="shared" si="7"/>
        <v>5.2</v>
      </c>
      <c r="AA24" s="8">
        <f t="shared" si="7"/>
        <v>4</v>
      </c>
      <c r="AB24" s="8">
        <f t="shared" si="7"/>
        <v>2.8</v>
      </c>
      <c r="AC24" s="8">
        <f t="shared" si="7"/>
        <v>1.5999999999999999</v>
      </c>
    </row>
    <row r="25" spans="7:29">
      <c r="M25" s="14">
        <v>17</v>
      </c>
      <c r="N25" s="8">
        <f t="shared" ref="N25:U40" si="8">IF($M25&lt;=100/$G$15*$H$15,N$5,NA())</f>
        <v>10</v>
      </c>
      <c r="O25" s="8">
        <f t="shared" si="8"/>
        <v>8.8000000000000007</v>
      </c>
      <c r="P25" s="8">
        <f t="shared" si="8"/>
        <v>7.6000000000000005</v>
      </c>
      <c r="Q25" s="8">
        <f t="shared" si="8"/>
        <v>6.4</v>
      </c>
      <c r="R25" s="8">
        <f t="shared" si="8"/>
        <v>5.2</v>
      </c>
      <c r="S25" s="8">
        <f t="shared" si="8"/>
        <v>4</v>
      </c>
      <c r="T25" s="8">
        <f t="shared" si="8"/>
        <v>2.8</v>
      </c>
      <c r="U25" s="8">
        <f t="shared" si="8"/>
        <v>1.5999999999999999</v>
      </c>
      <c r="V25" s="8">
        <f t="shared" ref="V25:AC40" si="9">IF($M25&lt;=INDEX($K$5:$K$12,V$6)/$G$15*$H$15,V$5,NA())</f>
        <v>10</v>
      </c>
      <c r="W25" s="8">
        <f t="shared" si="9"/>
        <v>8.8000000000000007</v>
      </c>
      <c r="X25" s="8">
        <f t="shared" si="9"/>
        <v>7.6000000000000005</v>
      </c>
      <c r="Y25" s="8">
        <f t="shared" si="9"/>
        <v>6.4</v>
      </c>
      <c r="Z25" s="8">
        <f t="shared" si="9"/>
        <v>5.2</v>
      </c>
      <c r="AA25" s="8">
        <f t="shared" si="9"/>
        <v>4</v>
      </c>
      <c r="AB25" s="8">
        <f t="shared" si="9"/>
        <v>2.8</v>
      </c>
      <c r="AC25" s="8">
        <f t="shared" si="9"/>
        <v>1.5999999999999999</v>
      </c>
    </row>
    <row r="26" spans="7:29">
      <c r="M26" s="14">
        <v>18</v>
      </c>
      <c r="N26" s="8">
        <f t="shared" si="8"/>
        <v>10</v>
      </c>
      <c r="O26" s="8">
        <f t="shared" si="8"/>
        <v>8.8000000000000007</v>
      </c>
      <c r="P26" s="8">
        <f t="shared" si="8"/>
        <v>7.6000000000000005</v>
      </c>
      <c r="Q26" s="8">
        <f t="shared" si="8"/>
        <v>6.4</v>
      </c>
      <c r="R26" s="8">
        <f t="shared" si="8"/>
        <v>5.2</v>
      </c>
      <c r="S26" s="8">
        <f t="shared" si="8"/>
        <v>4</v>
      </c>
      <c r="T26" s="8">
        <f t="shared" si="8"/>
        <v>2.8</v>
      </c>
      <c r="U26" s="8">
        <f t="shared" si="8"/>
        <v>1.5999999999999999</v>
      </c>
      <c r="V26" s="8">
        <f t="shared" si="9"/>
        <v>10</v>
      </c>
      <c r="W26" s="8">
        <f t="shared" si="9"/>
        <v>8.8000000000000007</v>
      </c>
      <c r="X26" s="8">
        <f t="shared" si="9"/>
        <v>7.6000000000000005</v>
      </c>
      <c r="Y26" s="8">
        <f t="shared" si="9"/>
        <v>6.4</v>
      </c>
      <c r="Z26" s="8">
        <f t="shared" si="9"/>
        <v>5.2</v>
      </c>
      <c r="AA26" s="8">
        <f t="shared" si="9"/>
        <v>4</v>
      </c>
      <c r="AB26" s="8">
        <f t="shared" si="9"/>
        <v>2.8</v>
      </c>
      <c r="AC26" s="8">
        <f t="shared" si="9"/>
        <v>1.5999999999999999</v>
      </c>
    </row>
    <row r="27" spans="7:29">
      <c r="M27" s="14">
        <v>19</v>
      </c>
      <c r="N27" s="8">
        <f t="shared" si="8"/>
        <v>10</v>
      </c>
      <c r="O27" s="8">
        <f t="shared" si="8"/>
        <v>8.8000000000000007</v>
      </c>
      <c r="P27" s="8">
        <f t="shared" si="8"/>
        <v>7.6000000000000005</v>
      </c>
      <c r="Q27" s="8">
        <f t="shared" si="8"/>
        <v>6.4</v>
      </c>
      <c r="R27" s="8">
        <f t="shared" si="8"/>
        <v>5.2</v>
      </c>
      <c r="S27" s="8">
        <f t="shared" si="8"/>
        <v>4</v>
      </c>
      <c r="T27" s="8">
        <f t="shared" si="8"/>
        <v>2.8</v>
      </c>
      <c r="U27" s="8">
        <f t="shared" si="8"/>
        <v>1.5999999999999999</v>
      </c>
      <c r="V27" s="8">
        <f t="shared" si="9"/>
        <v>10</v>
      </c>
      <c r="W27" s="8">
        <f t="shared" si="9"/>
        <v>8.8000000000000007</v>
      </c>
      <c r="X27" s="8">
        <f t="shared" si="9"/>
        <v>7.6000000000000005</v>
      </c>
      <c r="Y27" s="8">
        <f t="shared" si="9"/>
        <v>6.4</v>
      </c>
      <c r="Z27" s="8">
        <f t="shared" si="9"/>
        <v>5.2</v>
      </c>
      <c r="AA27" s="8">
        <f t="shared" si="9"/>
        <v>4</v>
      </c>
      <c r="AB27" s="8">
        <f t="shared" si="9"/>
        <v>2.8</v>
      </c>
      <c r="AC27" s="8">
        <f t="shared" si="9"/>
        <v>1.5999999999999999</v>
      </c>
    </row>
    <row r="28" spans="7:29">
      <c r="M28" s="14">
        <v>20</v>
      </c>
      <c r="N28" s="8">
        <f t="shared" si="8"/>
        <v>10</v>
      </c>
      <c r="O28" s="8">
        <f t="shared" si="8"/>
        <v>8.8000000000000007</v>
      </c>
      <c r="P28" s="8">
        <f t="shared" si="8"/>
        <v>7.6000000000000005</v>
      </c>
      <c r="Q28" s="8">
        <f t="shared" si="8"/>
        <v>6.4</v>
      </c>
      <c r="R28" s="8">
        <f t="shared" si="8"/>
        <v>5.2</v>
      </c>
      <c r="S28" s="8">
        <f t="shared" si="8"/>
        <v>4</v>
      </c>
      <c r="T28" s="8">
        <f t="shared" si="8"/>
        <v>2.8</v>
      </c>
      <c r="U28" s="8">
        <f t="shared" si="8"/>
        <v>1.5999999999999999</v>
      </c>
      <c r="V28" s="8">
        <f t="shared" si="9"/>
        <v>10</v>
      </c>
      <c r="W28" s="8">
        <f t="shared" si="9"/>
        <v>8.8000000000000007</v>
      </c>
      <c r="X28" s="8">
        <f t="shared" si="9"/>
        <v>7.6000000000000005</v>
      </c>
      <c r="Y28" s="8">
        <f t="shared" si="9"/>
        <v>6.4</v>
      </c>
      <c r="Z28" s="8">
        <f t="shared" si="9"/>
        <v>5.2</v>
      </c>
      <c r="AA28" s="8">
        <f t="shared" si="9"/>
        <v>4</v>
      </c>
      <c r="AB28" s="8">
        <f t="shared" si="9"/>
        <v>2.8</v>
      </c>
      <c r="AC28" s="8">
        <f t="shared" si="9"/>
        <v>1.5999999999999999</v>
      </c>
    </row>
    <row r="29" spans="7:29">
      <c r="M29" s="14">
        <v>21</v>
      </c>
      <c r="N29" s="8">
        <f t="shared" si="8"/>
        <v>10</v>
      </c>
      <c r="O29" s="8">
        <f t="shared" si="8"/>
        <v>8.8000000000000007</v>
      </c>
      <c r="P29" s="8">
        <f t="shared" si="8"/>
        <v>7.6000000000000005</v>
      </c>
      <c r="Q29" s="8">
        <f t="shared" si="8"/>
        <v>6.4</v>
      </c>
      <c r="R29" s="8">
        <f t="shared" si="8"/>
        <v>5.2</v>
      </c>
      <c r="S29" s="8">
        <f t="shared" si="8"/>
        <v>4</v>
      </c>
      <c r="T29" s="8">
        <f t="shared" si="8"/>
        <v>2.8</v>
      </c>
      <c r="U29" s="8">
        <f t="shared" si="8"/>
        <v>1.5999999999999999</v>
      </c>
      <c r="V29" s="8">
        <f t="shared" si="9"/>
        <v>10</v>
      </c>
      <c r="W29" s="8">
        <f t="shared" si="9"/>
        <v>8.8000000000000007</v>
      </c>
      <c r="X29" s="8">
        <f t="shared" si="9"/>
        <v>7.6000000000000005</v>
      </c>
      <c r="Y29" s="8">
        <f t="shared" si="9"/>
        <v>6.4</v>
      </c>
      <c r="Z29" s="8">
        <f t="shared" si="9"/>
        <v>5.2</v>
      </c>
      <c r="AA29" s="8">
        <f t="shared" si="9"/>
        <v>4</v>
      </c>
      <c r="AB29" s="8">
        <f t="shared" si="9"/>
        <v>2.8</v>
      </c>
      <c r="AC29" s="8">
        <f t="shared" si="9"/>
        <v>1.5999999999999999</v>
      </c>
    </row>
    <row r="30" spans="7:29">
      <c r="M30" s="14">
        <v>22</v>
      </c>
      <c r="N30" s="8">
        <f t="shared" si="8"/>
        <v>10</v>
      </c>
      <c r="O30" s="8">
        <f t="shared" si="8"/>
        <v>8.8000000000000007</v>
      </c>
      <c r="P30" s="8">
        <f t="shared" si="8"/>
        <v>7.6000000000000005</v>
      </c>
      <c r="Q30" s="8">
        <f t="shared" si="8"/>
        <v>6.4</v>
      </c>
      <c r="R30" s="8">
        <f t="shared" si="8"/>
        <v>5.2</v>
      </c>
      <c r="S30" s="8">
        <f t="shared" si="8"/>
        <v>4</v>
      </c>
      <c r="T30" s="8">
        <f t="shared" si="8"/>
        <v>2.8</v>
      </c>
      <c r="U30" s="8">
        <f t="shared" si="8"/>
        <v>1.5999999999999999</v>
      </c>
      <c r="V30" s="8">
        <f t="shared" si="9"/>
        <v>10</v>
      </c>
      <c r="W30" s="8">
        <f t="shared" si="9"/>
        <v>8.8000000000000007</v>
      </c>
      <c r="X30" s="8">
        <f t="shared" si="9"/>
        <v>7.6000000000000005</v>
      </c>
      <c r="Y30" s="8">
        <f t="shared" si="9"/>
        <v>6.4</v>
      </c>
      <c r="Z30" s="8">
        <f t="shared" si="9"/>
        <v>5.2</v>
      </c>
      <c r="AA30" s="8">
        <f t="shared" si="9"/>
        <v>4</v>
      </c>
      <c r="AB30" s="8">
        <f t="shared" si="9"/>
        <v>2.8</v>
      </c>
      <c r="AC30" s="8">
        <f t="shared" si="9"/>
        <v>1.5999999999999999</v>
      </c>
    </row>
    <row r="31" spans="7:29">
      <c r="M31" s="14">
        <v>23</v>
      </c>
      <c r="N31" s="8">
        <f t="shared" si="8"/>
        <v>10</v>
      </c>
      <c r="O31" s="8">
        <f t="shared" si="8"/>
        <v>8.8000000000000007</v>
      </c>
      <c r="P31" s="8">
        <f t="shared" si="8"/>
        <v>7.6000000000000005</v>
      </c>
      <c r="Q31" s="8">
        <f t="shared" si="8"/>
        <v>6.4</v>
      </c>
      <c r="R31" s="8">
        <f t="shared" si="8"/>
        <v>5.2</v>
      </c>
      <c r="S31" s="8">
        <f t="shared" si="8"/>
        <v>4</v>
      </c>
      <c r="T31" s="8">
        <f t="shared" si="8"/>
        <v>2.8</v>
      </c>
      <c r="U31" s="8">
        <f t="shared" si="8"/>
        <v>1.5999999999999999</v>
      </c>
      <c r="V31" s="8">
        <f t="shared" si="9"/>
        <v>10</v>
      </c>
      <c r="W31" s="8">
        <f t="shared" si="9"/>
        <v>8.8000000000000007</v>
      </c>
      <c r="X31" s="8">
        <f t="shared" si="9"/>
        <v>7.6000000000000005</v>
      </c>
      <c r="Y31" s="8">
        <f t="shared" si="9"/>
        <v>6.4</v>
      </c>
      <c r="Z31" s="8">
        <f t="shared" si="9"/>
        <v>5.2</v>
      </c>
      <c r="AA31" s="8">
        <f t="shared" si="9"/>
        <v>4</v>
      </c>
      <c r="AB31" s="8">
        <f t="shared" si="9"/>
        <v>2.8</v>
      </c>
      <c r="AC31" s="8">
        <f t="shared" si="9"/>
        <v>1.5999999999999999</v>
      </c>
    </row>
    <row r="32" spans="7:29">
      <c r="M32" s="14">
        <v>24</v>
      </c>
      <c r="N32" s="8">
        <f t="shared" si="8"/>
        <v>10</v>
      </c>
      <c r="O32" s="8">
        <f t="shared" si="8"/>
        <v>8.8000000000000007</v>
      </c>
      <c r="P32" s="8">
        <f t="shared" si="8"/>
        <v>7.6000000000000005</v>
      </c>
      <c r="Q32" s="8">
        <f t="shared" si="8"/>
        <v>6.4</v>
      </c>
      <c r="R32" s="8">
        <f t="shared" si="8"/>
        <v>5.2</v>
      </c>
      <c r="S32" s="8">
        <f t="shared" si="8"/>
        <v>4</v>
      </c>
      <c r="T32" s="8">
        <f t="shared" si="8"/>
        <v>2.8</v>
      </c>
      <c r="U32" s="8">
        <f t="shared" si="8"/>
        <v>1.5999999999999999</v>
      </c>
      <c r="V32" s="8">
        <f t="shared" si="9"/>
        <v>10</v>
      </c>
      <c r="W32" s="8">
        <f t="shared" si="9"/>
        <v>8.8000000000000007</v>
      </c>
      <c r="X32" s="8">
        <f t="shared" si="9"/>
        <v>7.6000000000000005</v>
      </c>
      <c r="Y32" s="8">
        <f t="shared" si="9"/>
        <v>6.4</v>
      </c>
      <c r="Z32" s="8">
        <f t="shared" si="9"/>
        <v>5.2</v>
      </c>
      <c r="AA32" s="8">
        <f t="shared" si="9"/>
        <v>4</v>
      </c>
      <c r="AB32" s="8">
        <f t="shared" si="9"/>
        <v>2.8</v>
      </c>
      <c r="AC32" s="8">
        <f t="shared" si="9"/>
        <v>1.5999999999999999</v>
      </c>
    </row>
    <row r="33" spans="13:29">
      <c r="M33" s="14">
        <v>25</v>
      </c>
      <c r="N33" s="8">
        <f t="shared" si="8"/>
        <v>10</v>
      </c>
      <c r="O33" s="8">
        <f t="shared" si="8"/>
        <v>8.8000000000000007</v>
      </c>
      <c r="P33" s="8">
        <f t="shared" si="8"/>
        <v>7.6000000000000005</v>
      </c>
      <c r="Q33" s="8">
        <f t="shared" si="8"/>
        <v>6.4</v>
      </c>
      <c r="R33" s="8">
        <f t="shared" si="8"/>
        <v>5.2</v>
      </c>
      <c r="S33" s="8">
        <f t="shared" si="8"/>
        <v>4</v>
      </c>
      <c r="T33" s="8">
        <f t="shared" si="8"/>
        <v>2.8</v>
      </c>
      <c r="U33" s="8">
        <f t="shared" si="8"/>
        <v>1.5999999999999999</v>
      </c>
      <c r="V33" s="8">
        <f t="shared" si="9"/>
        <v>10</v>
      </c>
      <c r="W33" s="8">
        <f t="shared" si="9"/>
        <v>8.8000000000000007</v>
      </c>
      <c r="X33" s="8">
        <f t="shared" si="9"/>
        <v>7.6000000000000005</v>
      </c>
      <c r="Y33" s="8">
        <f t="shared" si="9"/>
        <v>6.4</v>
      </c>
      <c r="Z33" s="8">
        <f t="shared" si="9"/>
        <v>5.2</v>
      </c>
      <c r="AA33" s="8">
        <f t="shared" si="9"/>
        <v>4</v>
      </c>
      <c r="AB33" s="8">
        <f t="shared" si="9"/>
        <v>2.8</v>
      </c>
      <c r="AC33" s="8">
        <f t="shared" si="9"/>
        <v>1.5999999999999999</v>
      </c>
    </row>
    <row r="34" spans="13:29">
      <c r="M34" s="14">
        <v>26</v>
      </c>
      <c r="N34" s="8">
        <f t="shared" si="8"/>
        <v>10</v>
      </c>
      <c r="O34" s="8">
        <f t="shared" si="8"/>
        <v>8.8000000000000007</v>
      </c>
      <c r="P34" s="8">
        <f t="shared" si="8"/>
        <v>7.6000000000000005</v>
      </c>
      <c r="Q34" s="8">
        <f t="shared" si="8"/>
        <v>6.4</v>
      </c>
      <c r="R34" s="8">
        <f t="shared" si="8"/>
        <v>5.2</v>
      </c>
      <c r="S34" s="8">
        <f t="shared" si="8"/>
        <v>4</v>
      </c>
      <c r="T34" s="8">
        <f t="shared" si="8"/>
        <v>2.8</v>
      </c>
      <c r="U34" s="8">
        <f t="shared" si="8"/>
        <v>1.5999999999999999</v>
      </c>
      <c r="V34" s="8">
        <f t="shared" si="9"/>
        <v>10</v>
      </c>
      <c r="W34" s="8">
        <f t="shared" si="9"/>
        <v>8.8000000000000007</v>
      </c>
      <c r="X34" s="8">
        <f t="shared" si="9"/>
        <v>7.6000000000000005</v>
      </c>
      <c r="Y34" s="8">
        <f t="shared" si="9"/>
        <v>6.4</v>
      </c>
      <c r="Z34" s="8">
        <f t="shared" si="9"/>
        <v>5.2</v>
      </c>
      <c r="AA34" s="8">
        <f t="shared" si="9"/>
        <v>4</v>
      </c>
      <c r="AB34" s="8">
        <f t="shared" si="9"/>
        <v>2.8</v>
      </c>
      <c r="AC34" s="8">
        <f t="shared" si="9"/>
        <v>1.5999999999999999</v>
      </c>
    </row>
    <row r="35" spans="13:29">
      <c r="M35" s="14">
        <v>27</v>
      </c>
      <c r="N35" s="8">
        <f t="shared" si="8"/>
        <v>10</v>
      </c>
      <c r="O35" s="8">
        <f t="shared" si="8"/>
        <v>8.8000000000000007</v>
      </c>
      <c r="P35" s="8">
        <f t="shared" si="8"/>
        <v>7.6000000000000005</v>
      </c>
      <c r="Q35" s="8">
        <f t="shared" si="8"/>
        <v>6.4</v>
      </c>
      <c r="R35" s="8">
        <f t="shared" si="8"/>
        <v>5.2</v>
      </c>
      <c r="S35" s="8">
        <f t="shared" si="8"/>
        <v>4</v>
      </c>
      <c r="T35" s="8">
        <f t="shared" si="8"/>
        <v>2.8</v>
      </c>
      <c r="U35" s="8">
        <f t="shared" si="8"/>
        <v>1.5999999999999999</v>
      </c>
      <c r="V35" s="8">
        <f t="shared" si="9"/>
        <v>10</v>
      </c>
      <c r="W35" s="8">
        <f t="shared" si="9"/>
        <v>8.8000000000000007</v>
      </c>
      <c r="X35" s="8">
        <f t="shared" si="9"/>
        <v>7.6000000000000005</v>
      </c>
      <c r="Y35" s="8">
        <f t="shared" si="9"/>
        <v>6.4</v>
      </c>
      <c r="Z35" s="8">
        <f t="shared" si="9"/>
        <v>5.2</v>
      </c>
      <c r="AA35" s="8">
        <f t="shared" si="9"/>
        <v>4</v>
      </c>
      <c r="AB35" s="8">
        <f t="shared" si="9"/>
        <v>2.8</v>
      </c>
      <c r="AC35" s="8">
        <f t="shared" si="9"/>
        <v>1.5999999999999999</v>
      </c>
    </row>
    <row r="36" spans="13:29">
      <c r="M36" s="14">
        <v>28</v>
      </c>
      <c r="N36" s="8">
        <f t="shared" si="8"/>
        <v>10</v>
      </c>
      <c r="O36" s="8">
        <f t="shared" si="8"/>
        <v>8.8000000000000007</v>
      </c>
      <c r="P36" s="8">
        <f t="shared" si="8"/>
        <v>7.6000000000000005</v>
      </c>
      <c r="Q36" s="8">
        <f t="shared" si="8"/>
        <v>6.4</v>
      </c>
      <c r="R36" s="8">
        <f t="shared" si="8"/>
        <v>5.2</v>
      </c>
      <c r="S36" s="8">
        <f t="shared" si="8"/>
        <v>4</v>
      </c>
      <c r="T36" s="8">
        <f t="shared" si="8"/>
        <v>2.8</v>
      </c>
      <c r="U36" s="8">
        <f t="shared" si="8"/>
        <v>1.5999999999999999</v>
      </c>
      <c r="V36" s="8">
        <f t="shared" si="9"/>
        <v>10</v>
      </c>
      <c r="W36" s="8">
        <f t="shared" si="9"/>
        <v>8.8000000000000007</v>
      </c>
      <c r="X36" s="8">
        <f t="shared" si="9"/>
        <v>7.6000000000000005</v>
      </c>
      <c r="Y36" s="8">
        <f t="shared" si="9"/>
        <v>6.4</v>
      </c>
      <c r="Z36" s="8">
        <f t="shared" si="9"/>
        <v>5.2</v>
      </c>
      <c r="AA36" s="8">
        <f t="shared" si="9"/>
        <v>4</v>
      </c>
      <c r="AB36" s="8">
        <f t="shared" si="9"/>
        <v>2.8</v>
      </c>
      <c r="AC36" s="8">
        <f t="shared" si="9"/>
        <v>1.5999999999999999</v>
      </c>
    </row>
    <row r="37" spans="13:29">
      <c r="M37" s="14">
        <v>29</v>
      </c>
      <c r="N37" s="8">
        <f t="shared" si="8"/>
        <v>10</v>
      </c>
      <c r="O37" s="8">
        <f t="shared" si="8"/>
        <v>8.8000000000000007</v>
      </c>
      <c r="P37" s="8">
        <f t="shared" si="8"/>
        <v>7.6000000000000005</v>
      </c>
      <c r="Q37" s="8">
        <f t="shared" si="8"/>
        <v>6.4</v>
      </c>
      <c r="R37" s="8">
        <f t="shared" si="8"/>
        <v>5.2</v>
      </c>
      <c r="S37" s="8">
        <f t="shared" si="8"/>
        <v>4</v>
      </c>
      <c r="T37" s="8">
        <f t="shared" si="8"/>
        <v>2.8</v>
      </c>
      <c r="U37" s="8">
        <f t="shared" si="8"/>
        <v>1.5999999999999999</v>
      </c>
      <c r="V37" s="8">
        <f t="shared" si="9"/>
        <v>10</v>
      </c>
      <c r="W37" s="8">
        <f t="shared" si="9"/>
        <v>8.8000000000000007</v>
      </c>
      <c r="X37" s="8">
        <f t="shared" si="9"/>
        <v>7.6000000000000005</v>
      </c>
      <c r="Y37" s="8">
        <f t="shared" si="9"/>
        <v>6.4</v>
      </c>
      <c r="Z37" s="8">
        <f t="shared" si="9"/>
        <v>5.2</v>
      </c>
      <c r="AA37" s="8">
        <f t="shared" si="9"/>
        <v>4</v>
      </c>
      <c r="AB37" s="8">
        <f t="shared" si="9"/>
        <v>2.8</v>
      </c>
      <c r="AC37" s="8">
        <f t="shared" si="9"/>
        <v>1.5999999999999999</v>
      </c>
    </row>
    <row r="38" spans="13:29">
      <c r="M38" s="14">
        <v>30</v>
      </c>
      <c r="N38" s="8">
        <f t="shared" si="8"/>
        <v>10</v>
      </c>
      <c r="O38" s="8">
        <f t="shared" si="8"/>
        <v>8.8000000000000007</v>
      </c>
      <c r="P38" s="8">
        <f t="shared" si="8"/>
        <v>7.6000000000000005</v>
      </c>
      <c r="Q38" s="8">
        <f t="shared" si="8"/>
        <v>6.4</v>
      </c>
      <c r="R38" s="8">
        <f t="shared" si="8"/>
        <v>5.2</v>
      </c>
      <c r="S38" s="8">
        <f t="shared" si="8"/>
        <v>4</v>
      </c>
      <c r="T38" s="8">
        <f t="shared" si="8"/>
        <v>2.8</v>
      </c>
      <c r="U38" s="8">
        <f t="shared" si="8"/>
        <v>1.5999999999999999</v>
      </c>
      <c r="V38" s="8">
        <f t="shared" si="9"/>
        <v>10</v>
      </c>
      <c r="W38" s="8">
        <f t="shared" si="9"/>
        <v>8.8000000000000007</v>
      </c>
      <c r="X38" s="8">
        <f t="shared" si="9"/>
        <v>7.6000000000000005</v>
      </c>
      <c r="Y38" s="8">
        <f t="shared" si="9"/>
        <v>6.4</v>
      </c>
      <c r="Z38" s="8">
        <f t="shared" si="9"/>
        <v>5.2</v>
      </c>
      <c r="AA38" s="8">
        <f t="shared" si="9"/>
        <v>4</v>
      </c>
      <c r="AB38" s="8">
        <f t="shared" si="9"/>
        <v>2.8</v>
      </c>
      <c r="AC38" s="8">
        <f t="shared" si="9"/>
        <v>1.5999999999999999</v>
      </c>
    </row>
    <row r="39" spans="13:29">
      <c r="M39" s="14">
        <v>31</v>
      </c>
      <c r="N39" s="8">
        <f t="shared" si="8"/>
        <v>10</v>
      </c>
      <c r="O39" s="8">
        <f t="shared" si="8"/>
        <v>8.8000000000000007</v>
      </c>
      <c r="P39" s="8">
        <f t="shared" si="8"/>
        <v>7.6000000000000005</v>
      </c>
      <c r="Q39" s="8">
        <f t="shared" si="8"/>
        <v>6.4</v>
      </c>
      <c r="R39" s="8">
        <f t="shared" si="8"/>
        <v>5.2</v>
      </c>
      <c r="S39" s="8">
        <f t="shared" si="8"/>
        <v>4</v>
      </c>
      <c r="T39" s="8">
        <f t="shared" si="8"/>
        <v>2.8</v>
      </c>
      <c r="U39" s="8">
        <f t="shared" si="8"/>
        <v>1.5999999999999999</v>
      </c>
      <c r="V39" s="8">
        <f t="shared" si="9"/>
        <v>10</v>
      </c>
      <c r="W39" s="8">
        <f t="shared" si="9"/>
        <v>8.8000000000000007</v>
      </c>
      <c r="X39" s="8">
        <f t="shared" si="9"/>
        <v>7.6000000000000005</v>
      </c>
      <c r="Y39" s="8">
        <f t="shared" si="9"/>
        <v>6.4</v>
      </c>
      <c r="Z39" s="8">
        <f t="shared" si="9"/>
        <v>5.2</v>
      </c>
      <c r="AA39" s="8">
        <f t="shared" si="9"/>
        <v>4</v>
      </c>
      <c r="AB39" s="8">
        <f t="shared" si="9"/>
        <v>2.8</v>
      </c>
      <c r="AC39" s="8">
        <f t="shared" si="9"/>
        <v>1.5999999999999999</v>
      </c>
    </row>
    <row r="40" spans="13:29">
      <c r="M40" s="14">
        <v>32</v>
      </c>
      <c r="N40" s="8">
        <f t="shared" si="8"/>
        <v>10</v>
      </c>
      <c r="O40" s="8">
        <f t="shared" si="8"/>
        <v>8.8000000000000007</v>
      </c>
      <c r="P40" s="8">
        <f t="shared" si="8"/>
        <v>7.6000000000000005</v>
      </c>
      <c r="Q40" s="8">
        <f t="shared" si="8"/>
        <v>6.4</v>
      </c>
      <c r="R40" s="8">
        <f t="shared" si="8"/>
        <v>5.2</v>
      </c>
      <c r="S40" s="8">
        <f t="shared" si="8"/>
        <v>4</v>
      </c>
      <c r="T40" s="8">
        <f t="shared" si="8"/>
        <v>2.8</v>
      </c>
      <c r="U40" s="8">
        <f t="shared" si="8"/>
        <v>1.5999999999999999</v>
      </c>
      <c r="V40" s="8">
        <f t="shared" si="9"/>
        <v>10</v>
      </c>
      <c r="W40" s="8">
        <f t="shared" si="9"/>
        <v>8.8000000000000007</v>
      </c>
      <c r="X40" s="8">
        <f t="shared" si="9"/>
        <v>7.6000000000000005</v>
      </c>
      <c r="Y40" s="8">
        <f t="shared" si="9"/>
        <v>6.4</v>
      </c>
      <c r="Z40" s="8">
        <f t="shared" si="9"/>
        <v>5.2</v>
      </c>
      <c r="AA40" s="8">
        <f t="shared" si="9"/>
        <v>4</v>
      </c>
      <c r="AB40" s="8">
        <f t="shared" si="9"/>
        <v>2.8</v>
      </c>
      <c r="AC40" s="8">
        <f t="shared" si="9"/>
        <v>1.5999999999999999</v>
      </c>
    </row>
    <row r="41" spans="13:29">
      <c r="M41" s="14">
        <v>33</v>
      </c>
      <c r="N41" s="8">
        <f t="shared" ref="N41:U56" si="10">IF($M41&lt;=100/$G$15*$H$15,N$5,NA())</f>
        <v>10</v>
      </c>
      <c r="O41" s="8">
        <f t="shared" si="10"/>
        <v>8.8000000000000007</v>
      </c>
      <c r="P41" s="8">
        <f t="shared" si="10"/>
        <v>7.6000000000000005</v>
      </c>
      <c r="Q41" s="8">
        <f t="shared" si="10"/>
        <v>6.4</v>
      </c>
      <c r="R41" s="8">
        <f t="shared" si="10"/>
        <v>5.2</v>
      </c>
      <c r="S41" s="8">
        <f t="shared" si="10"/>
        <v>4</v>
      </c>
      <c r="T41" s="8">
        <f t="shared" si="10"/>
        <v>2.8</v>
      </c>
      <c r="U41" s="8">
        <f t="shared" si="10"/>
        <v>1.5999999999999999</v>
      </c>
      <c r="V41" s="8">
        <f t="shared" ref="V41:AC56" si="11">IF($M41&lt;=INDEX($K$5:$K$12,V$6)/$G$15*$H$15,V$5,NA())</f>
        <v>10</v>
      </c>
      <c r="W41" s="8">
        <f t="shared" si="11"/>
        <v>8.8000000000000007</v>
      </c>
      <c r="X41" s="8">
        <f t="shared" si="11"/>
        <v>7.6000000000000005</v>
      </c>
      <c r="Y41" s="8">
        <f t="shared" si="11"/>
        <v>6.4</v>
      </c>
      <c r="Z41" s="8">
        <f t="shared" si="11"/>
        <v>5.2</v>
      </c>
      <c r="AA41" s="8">
        <f t="shared" si="11"/>
        <v>4</v>
      </c>
      <c r="AB41" s="8">
        <f t="shared" si="11"/>
        <v>2.8</v>
      </c>
      <c r="AC41" s="8">
        <f t="shared" si="11"/>
        <v>1.5999999999999999</v>
      </c>
    </row>
    <row r="42" spans="13:29">
      <c r="M42" s="14">
        <v>34</v>
      </c>
      <c r="N42" s="8">
        <f t="shared" si="10"/>
        <v>10</v>
      </c>
      <c r="O42" s="8">
        <f t="shared" si="10"/>
        <v>8.8000000000000007</v>
      </c>
      <c r="P42" s="8">
        <f t="shared" si="10"/>
        <v>7.6000000000000005</v>
      </c>
      <c r="Q42" s="8">
        <f t="shared" si="10"/>
        <v>6.4</v>
      </c>
      <c r="R42" s="8">
        <f t="shared" si="10"/>
        <v>5.2</v>
      </c>
      <c r="S42" s="8">
        <f t="shared" si="10"/>
        <v>4</v>
      </c>
      <c r="T42" s="8">
        <f t="shared" si="10"/>
        <v>2.8</v>
      </c>
      <c r="U42" s="8">
        <f t="shared" si="10"/>
        <v>1.5999999999999999</v>
      </c>
      <c r="V42" s="8">
        <f t="shared" si="11"/>
        <v>10</v>
      </c>
      <c r="W42" s="8">
        <f t="shared" si="11"/>
        <v>8.8000000000000007</v>
      </c>
      <c r="X42" s="8">
        <f t="shared" si="11"/>
        <v>7.6000000000000005</v>
      </c>
      <c r="Y42" s="8">
        <f t="shared" si="11"/>
        <v>6.4</v>
      </c>
      <c r="Z42" s="8">
        <f t="shared" si="11"/>
        <v>5.2</v>
      </c>
      <c r="AA42" s="8">
        <f t="shared" si="11"/>
        <v>4</v>
      </c>
      <c r="AB42" s="8">
        <f t="shared" si="11"/>
        <v>2.8</v>
      </c>
      <c r="AC42" s="8">
        <f t="shared" si="11"/>
        <v>1.5999999999999999</v>
      </c>
    </row>
    <row r="43" spans="13:29">
      <c r="M43" s="14">
        <v>35</v>
      </c>
      <c r="N43" s="8">
        <f t="shared" si="10"/>
        <v>10</v>
      </c>
      <c r="O43" s="8">
        <f t="shared" si="10"/>
        <v>8.8000000000000007</v>
      </c>
      <c r="P43" s="8">
        <f t="shared" si="10"/>
        <v>7.6000000000000005</v>
      </c>
      <c r="Q43" s="8">
        <f t="shared" si="10"/>
        <v>6.4</v>
      </c>
      <c r="R43" s="8">
        <f t="shared" si="10"/>
        <v>5.2</v>
      </c>
      <c r="S43" s="8">
        <f t="shared" si="10"/>
        <v>4</v>
      </c>
      <c r="T43" s="8">
        <f t="shared" si="10"/>
        <v>2.8</v>
      </c>
      <c r="U43" s="8">
        <f t="shared" si="10"/>
        <v>1.5999999999999999</v>
      </c>
      <c r="V43" s="8">
        <f t="shared" si="11"/>
        <v>10</v>
      </c>
      <c r="W43" s="8">
        <f t="shared" si="11"/>
        <v>8.8000000000000007</v>
      </c>
      <c r="X43" s="8">
        <f t="shared" si="11"/>
        <v>7.6000000000000005</v>
      </c>
      <c r="Y43" s="8">
        <f t="shared" si="11"/>
        <v>6.4</v>
      </c>
      <c r="Z43" s="8">
        <f t="shared" si="11"/>
        <v>5.2</v>
      </c>
      <c r="AA43" s="8">
        <f t="shared" si="11"/>
        <v>4</v>
      </c>
      <c r="AB43" s="8">
        <f t="shared" si="11"/>
        <v>2.8</v>
      </c>
      <c r="AC43" s="8">
        <f t="shared" si="11"/>
        <v>1.5999999999999999</v>
      </c>
    </row>
    <row r="44" spans="13:29">
      <c r="M44" s="14">
        <v>36</v>
      </c>
      <c r="N44" s="8">
        <f t="shared" si="10"/>
        <v>10</v>
      </c>
      <c r="O44" s="8">
        <f t="shared" si="10"/>
        <v>8.8000000000000007</v>
      </c>
      <c r="P44" s="8">
        <f t="shared" si="10"/>
        <v>7.6000000000000005</v>
      </c>
      <c r="Q44" s="8">
        <f t="shared" si="10"/>
        <v>6.4</v>
      </c>
      <c r="R44" s="8">
        <f t="shared" si="10"/>
        <v>5.2</v>
      </c>
      <c r="S44" s="8">
        <f t="shared" si="10"/>
        <v>4</v>
      </c>
      <c r="T44" s="8">
        <f t="shared" si="10"/>
        <v>2.8</v>
      </c>
      <c r="U44" s="8">
        <f t="shared" si="10"/>
        <v>1.5999999999999999</v>
      </c>
      <c r="V44" s="8">
        <f t="shared" si="11"/>
        <v>10</v>
      </c>
      <c r="W44" s="8">
        <f t="shared" si="11"/>
        <v>8.8000000000000007</v>
      </c>
      <c r="X44" s="8">
        <f t="shared" si="11"/>
        <v>7.6000000000000005</v>
      </c>
      <c r="Y44" s="8">
        <f t="shared" si="11"/>
        <v>6.4</v>
      </c>
      <c r="Z44" s="8">
        <f t="shared" si="11"/>
        <v>5.2</v>
      </c>
      <c r="AA44" s="8">
        <f t="shared" si="11"/>
        <v>4</v>
      </c>
      <c r="AB44" s="8">
        <f t="shared" si="11"/>
        <v>2.8</v>
      </c>
      <c r="AC44" s="8">
        <f t="shared" si="11"/>
        <v>1.5999999999999999</v>
      </c>
    </row>
    <row r="45" spans="13:29">
      <c r="M45" s="14">
        <v>37</v>
      </c>
      <c r="N45" s="8">
        <f t="shared" si="10"/>
        <v>10</v>
      </c>
      <c r="O45" s="8">
        <f t="shared" si="10"/>
        <v>8.8000000000000007</v>
      </c>
      <c r="P45" s="8">
        <f t="shared" si="10"/>
        <v>7.6000000000000005</v>
      </c>
      <c r="Q45" s="8">
        <f t="shared" si="10"/>
        <v>6.4</v>
      </c>
      <c r="R45" s="8">
        <f t="shared" si="10"/>
        <v>5.2</v>
      </c>
      <c r="S45" s="8">
        <f t="shared" si="10"/>
        <v>4</v>
      </c>
      <c r="T45" s="8">
        <f t="shared" si="10"/>
        <v>2.8</v>
      </c>
      <c r="U45" s="8">
        <f t="shared" si="10"/>
        <v>1.5999999999999999</v>
      </c>
      <c r="V45" s="8">
        <f t="shared" si="11"/>
        <v>10</v>
      </c>
      <c r="W45" s="8">
        <f t="shared" si="11"/>
        <v>8.8000000000000007</v>
      </c>
      <c r="X45" s="8">
        <f t="shared" si="11"/>
        <v>7.6000000000000005</v>
      </c>
      <c r="Y45" s="8">
        <f t="shared" si="11"/>
        <v>6.4</v>
      </c>
      <c r="Z45" s="8">
        <f t="shared" si="11"/>
        <v>5.2</v>
      </c>
      <c r="AA45" s="8">
        <f t="shared" si="11"/>
        <v>4</v>
      </c>
      <c r="AB45" s="8">
        <f t="shared" si="11"/>
        <v>2.8</v>
      </c>
      <c r="AC45" s="8">
        <f t="shared" si="11"/>
        <v>1.5999999999999999</v>
      </c>
    </row>
    <row r="46" spans="13:29">
      <c r="M46" s="14">
        <v>38</v>
      </c>
      <c r="N46" s="8">
        <f t="shared" si="10"/>
        <v>10</v>
      </c>
      <c r="O46" s="8">
        <f t="shared" si="10"/>
        <v>8.8000000000000007</v>
      </c>
      <c r="P46" s="8">
        <f t="shared" si="10"/>
        <v>7.6000000000000005</v>
      </c>
      <c r="Q46" s="8">
        <f t="shared" si="10"/>
        <v>6.4</v>
      </c>
      <c r="R46" s="8">
        <f t="shared" si="10"/>
        <v>5.2</v>
      </c>
      <c r="S46" s="8">
        <f t="shared" si="10"/>
        <v>4</v>
      </c>
      <c r="T46" s="8">
        <f t="shared" si="10"/>
        <v>2.8</v>
      </c>
      <c r="U46" s="8">
        <f t="shared" si="10"/>
        <v>1.5999999999999999</v>
      </c>
      <c r="V46" s="8">
        <f t="shared" si="11"/>
        <v>10</v>
      </c>
      <c r="W46" s="8">
        <f t="shared" si="11"/>
        <v>8.8000000000000007</v>
      </c>
      <c r="X46" s="8">
        <f t="shared" si="11"/>
        <v>7.6000000000000005</v>
      </c>
      <c r="Y46" s="8">
        <f t="shared" si="11"/>
        <v>6.4</v>
      </c>
      <c r="Z46" s="8">
        <f t="shared" si="11"/>
        <v>5.2</v>
      </c>
      <c r="AA46" s="8">
        <f t="shared" si="11"/>
        <v>4</v>
      </c>
      <c r="AB46" s="8">
        <f t="shared" si="11"/>
        <v>2.8</v>
      </c>
      <c r="AC46" s="8">
        <f t="shared" si="11"/>
        <v>1.5999999999999999</v>
      </c>
    </row>
    <row r="47" spans="13:29">
      <c r="M47" s="14">
        <v>39</v>
      </c>
      <c r="N47" s="8">
        <f t="shared" si="10"/>
        <v>10</v>
      </c>
      <c r="O47" s="8">
        <f t="shared" si="10"/>
        <v>8.8000000000000007</v>
      </c>
      <c r="P47" s="8">
        <f t="shared" si="10"/>
        <v>7.6000000000000005</v>
      </c>
      <c r="Q47" s="8">
        <f t="shared" si="10"/>
        <v>6.4</v>
      </c>
      <c r="R47" s="8">
        <f t="shared" si="10"/>
        <v>5.2</v>
      </c>
      <c r="S47" s="8">
        <f t="shared" si="10"/>
        <v>4</v>
      </c>
      <c r="T47" s="8">
        <f t="shared" si="10"/>
        <v>2.8</v>
      </c>
      <c r="U47" s="8">
        <f t="shared" si="10"/>
        <v>1.5999999999999999</v>
      </c>
      <c r="V47" s="8">
        <f t="shared" si="11"/>
        <v>10</v>
      </c>
      <c r="W47" s="8">
        <f t="shared" si="11"/>
        <v>8.8000000000000007</v>
      </c>
      <c r="X47" s="8">
        <f t="shared" si="11"/>
        <v>7.6000000000000005</v>
      </c>
      <c r="Y47" s="8">
        <f t="shared" si="11"/>
        <v>6.4</v>
      </c>
      <c r="Z47" s="8">
        <f t="shared" si="11"/>
        <v>5.2</v>
      </c>
      <c r="AA47" s="8">
        <f t="shared" si="11"/>
        <v>4</v>
      </c>
      <c r="AB47" s="8">
        <f t="shared" si="11"/>
        <v>2.8</v>
      </c>
      <c r="AC47" s="8">
        <f t="shared" si="11"/>
        <v>1.5999999999999999</v>
      </c>
    </row>
    <row r="48" spans="13:29">
      <c r="M48" s="14">
        <v>40</v>
      </c>
      <c r="N48" s="8">
        <f t="shared" si="10"/>
        <v>10</v>
      </c>
      <c r="O48" s="8">
        <f t="shared" si="10"/>
        <v>8.8000000000000007</v>
      </c>
      <c r="P48" s="8">
        <f t="shared" si="10"/>
        <v>7.6000000000000005</v>
      </c>
      <c r="Q48" s="8">
        <f t="shared" si="10"/>
        <v>6.4</v>
      </c>
      <c r="R48" s="8">
        <f t="shared" si="10"/>
        <v>5.2</v>
      </c>
      <c r="S48" s="8">
        <f t="shared" si="10"/>
        <v>4</v>
      </c>
      <c r="T48" s="8">
        <f t="shared" si="10"/>
        <v>2.8</v>
      </c>
      <c r="U48" s="8">
        <f t="shared" si="10"/>
        <v>1.5999999999999999</v>
      </c>
      <c r="V48" s="8">
        <f t="shared" si="11"/>
        <v>10</v>
      </c>
      <c r="W48" s="8">
        <f t="shared" si="11"/>
        <v>8.8000000000000007</v>
      </c>
      <c r="X48" s="8">
        <f t="shared" si="11"/>
        <v>7.6000000000000005</v>
      </c>
      <c r="Y48" s="8">
        <f t="shared" si="11"/>
        <v>6.4</v>
      </c>
      <c r="Z48" s="8">
        <f t="shared" si="11"/>
        <v>5.2</v>
      </c>
      <c r="AA48" s="8">
        <f t="shared" si="11"/>
        <v>4</v>
      </c>
      <c r="AB48" s="8">
        <f t="shared" si="11"/>
        <v>2.8</v>
      </c>
      <c r="AC48" s="8">
        <f t="shared" si="11"/>
        <v>1.5999999999999999</v>
      </c>
    </row>
    <row r="49" spans="13:29">
      <c r="M49" s="14">
        <v>41</v>
      </c>
      <c r="N49" s="8">
        <f t="shared" si="10"/>
        <v>10</v>
      </c>
      <c r="O49" s="8">
        <f t="shared" si="10"/>
        <v>8.8000000000000007</v>
      </c>
      <c r="P49" s="8">
        <f t="shared" si="10"/>
        <v>7.6000000000000005</v>
      </c>
      <c r="Q49" s="8">
        <f t="shared" si="10"/>
        <v>6.4</v>
      </c>
      <c r="R49" s="8">
        <f t="shared" si="10"/>
        <v>5.2</v>
      </c>
      <c r="S49" s="8">
        <f t="shared" si="10"/>
        <v>4</v>
      </c>
      <c r="T49" s="8">
        <f t="shared" si="10"/>
        <v>2.8</v>
      </c>
      <c r="U49" s="8">
        <f t="shared" si="10"/>
        <v>1.5999999999999999</v>
      </c>
      <c r="V49" s="8">
        <f t="shared" si="11"/>
        <v>10</v>
      </c>
      <c r="W49" s="8">
        <f t="shared" si="11"/>
        <v>8.8000000000000007</v>
      </c>
      <c r="X49" s="8">
        <f t="shared" si="11"/>
        <v>7.6000000000000005</v>
      </c>
      <c r="Y49" s="8">
        <f t="shared" si="11"/>
        <v>6.4</v>
      </c>
      <c r="Z49" s="8">
        <f t="shared" si="11"/>
        <v>5.2</v>
      </c>
      <c r="AA49" s="8">
        <f t="shared" si="11"/>
        <v>4</v>
      </c>
      <c r="AB49" s="8">
        <f t="shared" si="11"/>
        <v>2.8</v>
      </c>
      <c r="AC49" s="8">
        <f t="shared" si="11"/>
        <v>1.5999999999999999</v>
      </c>
    </row>
    <row r="50" spans="13:29">
      <c r="M50" s="14">
        <v>42</v>
      </c>
      <c r="N50" s="8">
        <f t="shared" si="10"/>
        <v>10</v>
      </c>
      <c r="O50" s="8">
        <f t="shared" si="10"/>
        <v>8.8000000000000007</v>
      </c>
      <c r="P50" s="8">
        <f t="shared" si="10"/>
        <v>7.6000000000000005</v>
      </c>
      <c r="Q50" s="8">
        <f t="shared" si="10"/>
        <v>6.4</v>
      </c>
      <c r="R50" s="8">
        <f t="shared" si="10"/>
        <v>5.2</v>
      </c>
      <c r="S50" s="8">
        <f t="shared" si="10"/>
        <v>4</v>
      </c>
      <c r="T50" s="8">
        <f t="shared" si="10"/>
        <v>2.8</v>
      </c>
      <c r="U50" s="8">
        <f t="shared" si="10"/>
        <v>1.5999999999999999</v>
      </c>
      <c r="V50" s="8">
        <f t="shared" si="11"/>
        <v>10</v>
      </c>
      <c r="W50" s="8">
        <f t="shared" si="11"/>
        <v>8.8000000000000007</v>
      </c>
      <c r="X50" s="8">
        <f t="shared" si="11"/>
        <v>7.6000000000000005</v>
      </c>
      <c r="Y50" s="8">
        <f t="shared" si="11"/>
        <v>6.4</v>
      </c>
      <c r="Z50" s="8">
        <f t="shared" si="11"/>
        <v>5.2</v>
      </c>
      <c r="AA50" s="8">
        <f t="shared" si="11"/>
        <v>4</v>
      </c>
      <c r="AB50" s="8">
        <f t="shared" si="11"/>
        <v>2.8</v>
      </c>
      <c r="AC50" s="8">
        <f t="shared" si="11"/>
        <v>1.5999999999999999</v>
      </c>
    </row>
    <row r="51" spans="13:29">
      <c r="M51" s="14">
        <v>43</v>
      </c>
      <c r="N51" s="8">
        <f t="shared" si="10"/>
        <v>10</v>
      </c>
      <c r="O51" s="8">
        <f t="shared" si="10"/>
        <v>8.8000000000000007</v>
      </c>
      <c r="P51" s="8">
        <f t="shared" si="10"/>
        <v>7.6000000000000005</v>
      </c>
      <c r="Q51" s="8">
        <f t="shared" si="10"/>
        <v>6.4</v>
      </c>
      <c r="R51" s="8">
        <f t="shared" si="10"/>
        <v>5.2</v>
      </c>
      <c r="S51" s="8">
        <f t="shared" si="10"/>
        <v>4</v>
      </c>
      <c r="T51" s="8">
        <f t="shared" si="10"/>
        <v>2.8</v>
      </c>
      <c r="U51" s="8">
        <f t="shared" si="10"/>
        <v>1.5999999999999999</v>
      </c>
      <c r="V51" s="8">
        <f t="shared" si="11"/>
        <v>10</v>
      </c>
      <c r="W51" s="8">
        <f t="shared" si="11"/>
        <v>8.8000000000000007</v>
      </c>
      <c r="X51" s="8">
        <f t="shared" si="11"/>
        <v>7.6000000000000005</v>
      </c>
      <c r="Y51" s="8">
        <f t="shared" si="11"/>
        <v>6.4</v>
      </c>
      <c r="Z51" s="8">
        <f t="shared" si="11"/>
        <v>5.2</v>
      </c>
      <c r="AA51" s="8">
        <f t="shared" si="11"/>
        <v>4</v>
      </c>
      <c r="AB51" s="8">
        <f t="shared" si="11"/>
        <v>2.8</v>
      </c>
      <c r="AC51" s="8">
        <f t="shared" si="11"/>
        <v>1.5999999999999999</v>
      </c>
    </row>
    <row r="52" spans="13:29">
      <c r="M52" s="14">
        <v>44</v>
      </c>
      <c r="N52" s="8">
        <f t="shared" si="10"/>
        <v>10</v>
      </c>
      <c r="O52" s="8">
        <f t="shared" si="10"/>
        <v>8.8000000000000007</v>
      </c>
      <c r="P52" s="8">
        <f t="shared" si="10"/>
        <v>7.6000000000000005</v>
      </c>
      <c r="Q52" s="8">
        <f t="shared" si="10"/>
        <v>6.4</v>
      </c>
      <c r="R52" s="8">
        <f t="shared" si="10"/>
        <v>5.2</v>
      </c>
      <c r="S52" s="8">
        <f t="shared" si="10"/>
        <v>4</v>
      </c>
      <c r="T52" s="8">
        <f t="shared" si="10"/>
        <v>2.8</v>
      </c>
      <c r="U52" s="8">
        <f t="shared" si="10"/>
        <v>1.5999999999999999</v>
      </c>
      <c r="V52" s="8">
        <f t="shared" si="11"/>
        <v>10</v>
      </c>
      <c r="W52" s="8">
        <f t="shared" si="11"/>
        <v>8.8000000000000007</v>
      </c>
      <c r="X52" s="8">
        <f t="shared" si="11"/>
        <v>7.6000000000000005</v>
      </c>
      <c r="Y52" s="8">
        <f t="shared" si="11"/>
        <v>6.4</v>
      </c>
      <c r="Z52" s="8">
        <f t="shared" si="11"/>
        <v>5.2</v>
      </c>
      <c r="AA52" s="8">
        <f t="shared" si="11"/>
        <v>4</v>
      </c>
      <c r="AB52" s="8">
        <f t="shared" si="11"/>
        <v>2.8</v>
      </c>
      <c r="AC52" s="8" t="e">
        <f t="shared" si="11"/>
        <v>#N/A</v>
      </c>
    </row>
    <row r="53" spans="13:29">
      <c r="M53" s="14">
        <v>45</v>
      </c>
      <c r="N53" s="8">
        <f t="shared" si="10"/>
        <v>10</v>
      </c>
      <c r="O53" s="8">
        <f t="shared" si="10"/>
        <v>8.8000000000000007</v>
      </c>
      <c r="P53" s="8">
        <f t="shared" si="10"/>
        <v>7.6000000000000005</v>
      </c>
      <c r="Q53" s="8">
        <f t="shared" si="10"/>
        <v>6.4</v>
      </c>
      <c r="R53" s="8">
        <f t="shared" si="10"/>
        <v>5.2</v>
      </c>
      <c r="S53" s="8">
        <f t="shared" si="10"/>
        <v>4</v>
      </c>
      <c r="T53" s="8">
        <f t="shared" si="10"/>
        <v>2.8</v>
      </c>
      <c r="U53" s="8">
        <f t="shared" si="10"/>
        <v>1.5999999999999999</v>
      </c>
      <c r="V53" s="8">
        <f t="shared" si="11"/>
        <v>10</v>
      </c>
      <c r="W53" s="8">
        <f t="shared" si="11"/>
        <v>8.8000000000000007</v>
      </c>
      <c r="X53" s="8">
        <f t="shared" si="11"/>
        <v>7.6000000000000005</v>
      </c>
      <c r="Y53" s="8">
        <f t="shared" si="11"/>
        <v>6.4</v>
      </c>
      <c r="Z53" s="8">
        <f t="shared" si="11"/>
        <v>5.2</v>
      </c>
      <c r="AA53" s="8">
        <f t="shared" si="11"/>
        <v>4</v>
      </c>
      <c r="AB53" s="8">
        <f t="shared" si="11"/>
        <v>2.8</v>
      </c>
      <c r="AC53" s="8" t="e">
        <f t="shared" si="11"/>
        <v>#N/A</v>
      </c>
    </row>
    <row r="54" spans="13:29">
      <c r="M54" s="14">
        <v>46</v>
      </c>
      <c r="N54" s="8">
        <f t="shared" si="10"/>
        <v>10</v>
      </c>
      <c r="O54" s="8">
        <f t="shared" si="10"/>
        <v>8.8000000000000007</v>
      </c>
      <c r="P54" s="8">
        <f t="shared" si="10"/>
        <v>7.6000000000000005</v>
      </c>
      <c r="Q54" s="8">
        <f t="shared" si="10"/>
        <v>6.4</v>
      </c>
      <c r="R54" s="8">
        <f t="shared" si="10"/>
        <v>5.2</v>
      </c>
      <c r="S54" s="8">
        <f t="shared" si="10"/>
        <v>4</v>
      </c>
      <c r="T54" s="8">
        <f t="shared" si="10"/>
        <v>2.8</v>
      </c>
      <c r="U54" s="8">
        <f t="shared" si="10"/>
        <v>1.5999999999999999</v>
      </c>
      <c r="V54" s="8">
        <f t="shared" si="11"/>
        <v>10</v>
      </c>
      <c r="W54" s="8">
        <f t="shared" si="11"/>
        <v>8.8000000000000007</v>
      </c>
      <c r="X54" s="8">
        <f t="shared" si="11"/>
        <v>7.6000000000000005</v>
      </c>
      <c r="Y54" s="8">
        <f t="shared" si="11"/>
        <v>6.4</v>
      </c>
      <c r="Z54" s="8">
        <f t="shared" si="11"/>
        <v>5.2</v>
      </c>
      <c r="AA54" s="8">
        <f t="shared" si="11"/>
        <v>4</v>
      </c>
      <c r="AB54" s="8">
        <f t="shared" si="11"/>
        <v>2.8</v>
      </c>
      <c r="AC54" s="8" t="e">
        <f t="shared" si="11"/>
        <v>#N/A</v>
      </c>
    </row>
    <row r="55" spans="13:29">
      <c r="M55" s="14">
        <v>47</v>
      </c>
      <c r="N55" s="8">
        <f t="shared" si="10"/>
        <v>10</v>
      </c>
      <c r="O55" s="8">
        <f t="shared" si="10"/>
        <v>8.8000000000000007</v>
      </c>
      <c r="P55" s="8">
        <f t="shared" si="10"/>
        <v>7.6000000000000005</v>
      </c>
      <c r="Q55" s="8">
        <f t="shared" si="10"/>
        <v>6.4</v>
      </c>
      <c r="R55" s="8">
        <f t="shared" si="10"/>
        <v>5.2</v>
      </c>
      <c r="S55" s="8">
        <f t="shared" si="10"/>
        <v>4</v>
      </c>
      <c r="T55" s="8">
        <f t="shared" si="10"/>
        <v>2.8</v>
      </c>
      <c r="U55" s="8">
        <f t="shared" si="10"/>
        <v>1.5999999999999999</v>
      </c>
      <c r="V55" s="8">
        <f t="shared" si="11"/>
        <v>10</v>
      </c>
      <c r="W55" s="8">
        <f t="shared" si="11"/>
        <v>8.8000000000000007</v>
      </c>
      <c r="X55" s="8">
        <f t="shared" si="11"/>
        <v>7.6000000000000005</v>
      </c>
      <c r="Y55" s="8">
        <f t="shared" si="11"/>
        <v>6.4</v>
      </c>
      <c r="Z55" s="8">
        <f t="shared" si="11"/>
        <v>5.2</v>
      </c>
      <c r="AA55" s="8">
        <f t="shared" si="11"/>
        <v>4</v>
      </c>
      <c r="AB55" s="8">
        <f t="shared" si="11"/>
        <v>2.8</v>
      </c>
      <c r="AC55" s="8" t="e">
        <f t="shared" si="11"/>
        <v>#N/A</v>
      </c>
    </row>
    <row r="56" spans="13:29">
      <c r="M56" s="14">
        <v>48</v>
      </c>
      <c r="N56" s="8">
        <f t="shared" si="10"/>
        <v>10</v>
      </c>
      <c r="O56" s="8">
        <f t="shared" si="10"/>
        <v>8.8000000000000007</v>
      </c>
      <c r="P56" s="8">
        <f t="shared" si="10"/>
        <v>7.6000000000000005</v>
      </c>
      <c r="Q56" s="8">
        <f t="shared" si="10"/>
        <v>6.4</v>
      </c>
      <c r="R56" s="8">
        <f t="shared" si="10"/>
        <v>5.2</v>
      </c>
      <c r="S56" s="8">
        <f t="shared" si="10"/>
        <v>4</v>
      </c>
      <c r="T56" s="8">
        <f t="shared" si="10"/>
        <v>2.8</v>
      </c>
      <c r="U56" s="8">
        <f t="shared" si="10"/>
        <v>1.5999999999999999</v>
      </c>
      <c r="V56" s="8">
        <f t="shared" si="11"/>
        <v>10</v>
      </c>
      <c r="W56" s="8">
        <f t="shared" si="11"/>
        <v>8.8000000000000007</v>
      </c>
      <c r="X56" s="8">
        <f t="shared" si="11"/>
        <v>7.6000000000000005</v>
      </c>
      <c r="Y56" s="8">
        <f t="shared" si="11"/>
        <v>6.4</v>
      </c>
      <c r="Z56" s="8">
        <f t="shared" si="11"/>
        <v>5.2</v>
      </c>
      <c r="AA56" s="8">
        <f t="shared" si="11"/>
        <v>4</v>
      </c>
      <c r="AB56" s="8">
        <f t="shared" si="11"/>
        <v>2.8</v>
      </c>
      <c r="AC56" s="8" t="e">
        <f t="shared" si="11"/>
        <v>#N/A</v>
      </c>
    </row>
    <row r="57" spans="13:29">
      <c r="M57" s="14">
        <v>49</v>
      </c>
      <c r="N57" s="8">
        <f t="shared" ref="N57:U72" si="12">IF($M57&lt;=100/$G$15*$H$15,N$5,NA())</f>
        <v>10</v>
      </c>
      <c r="O57" s="8">
        <f t="shared" si="12"/>
        <v>8.8000000000000007</v>
      </c>
      <c r="P57" s="8">
        <f t="shared" si="12"/>
        <v>7.6000000000000005</v>
      </c>
      <c r="Q57" s="8">
        <f t="shared" si="12"/>
        <v>6.4</v>
      </c>
      <c r="R57" s="8">
        <f t="shared" si="12"/>
        <v>5.2</v>
      </c>
      <c r="S57" s="8">
        <f t="shared" si="12"/>
        <v>4</v>
      </c>
      <c r="T57" s="8">
        <f t="shared" si="12"/>
        <v>2.8</v>
      </c>
      <c r="U57" s="8">
        <f t="shared" si="12"/>
        <v>1.5999999999999999</v>
      </c>
      <c r="V57" s="8">
        <f t="shared" ref="V57:AC72" si="13">IF($M57&lt;=INDEX($K$5:$K$12,V$6)/$G$15*$H$15,V$5,NA())</f>
        <v>10</v>
      </c>
      <c r="W57" s="8">
        <f t="shared" si="13"/>
        <v>8.8000000000000007</v>
      </c>
      <c r="X57" s="8">
        <f t="shared" si="13"/>
        <v>7.6000000000000005</v>
      </c>
      <c r="Y57" s="8">
        <f t="shared" si="13"/>
        <v>6.4</v>
      </c>
      <c r="Z57" s="8">
        <f t="shared" si="13"/>
        <v>5.2</v>
      </c>
      <c r="AA57" s="8">
        <f t="shared" si="13"/>
        <v>4</v>
      </c>
      <c r="AB57" s="8">
        <f t="shared" si="13"/>
        <v>2.8</v>
      </c>
      <c r="AC57" s="8" t="e">
        <f t="shared" si="13"/>
        <v>#N/A</v>
      </c>
    </row>
    <row r="58" spans="13:29">
      <c r="M58" s="14">
        <v>50</v>
      </c>
      <c r="N58" s="8">
        <f t="shared" si="12"/>
        <v>10</v>
      </c>
      <c r="O58" s="8">
        <f t="shared" si="12"/>
        <v>8.8000000000000007</v>
      </c>
      <c r="P58" s="8">
        <f t="shared" si="12"/>
        <v>7.6000000000000005</v>
      </c>
      <c r="Q58" s="8">
        <f t="shared" si="12"/>
        <v>6.4</v>
      </c>
      <c r="R58" s="8">
        <f t="shared" si="12"/>
        <v>5.2</v>
      </c>
      <c r="S58" s="8">
        <f t="shared" si="12"/>
        <v>4</v>
      </c>
      <c r="T58" s="8">
        <f t="shared" si="12"/>
        <v>2.8</v>
      </c>
      <c r="U58" s="8">
        <f t="shared" si="12"/>
        <v>1.5999999999999999</v>
      </c>
      <c r="V58" s="8">
        <f t="shared" si="13"/>
        <v>10</v>
      </c>
      <c r="W58" s="8">
        <f t="shared" si="13"/>
        <v>8.8000000000000007</v>
      </c>
      <c r="X58" s="8">
        <f t="shared" si="13"/>
        <v>7.6000000000000005</v>
      </c>
      <c r="Y58" s="8">
        <f t="shared" si="13"/>
        <v>6.4</v>
      </c>
      <c r="Z58" s="8">
        <f t="shared" si="13"/>
        <v>5.2</v>
      </c>
      <c r="AA58" s="8">
        <f t="shared" si="13"/>
        <v>4</v>
      </c>
      <c r="AB58" s="8">
        <f t="shared" si="13"/>
        <v>2.8</v>
      </c>
      <c r="AC58" s="8" t="e">
        <f t="shared" si="13"/>
        <v>#N/A</v>
      </c>
    </row>
    <row r="59" spans="13:29">
      <c r="M59" s="14">
        <v>51</v>
      </c>
      <c r="N59" s="8">
        <f t="shared" si="12"/>
        <v>10</v>
      </c>
      <c r="O59" s="8">
        <f t="shared" si="12"/>
        <v>8.8000000000000007</v>
      </c>
      <c r="P59" s="8">
        <f t="shared" si="12"/>
        <v>7.6000000000000005</v>
      </c>
      <c r="Q59" s="8">
        <f t="shared" si="12"/>
        <v>6.4</v>
      </c>
      <c r="R59" s="8">
        <f t="shared" si="12"/>
        <v>5.2</v>
      </c>
      <c r="S59" s="8">
        <f t="shared" si="12"/>
        <v>4</v>
      </c>
      <c r="T59" s="8">
        <f t="shared" si="12"/>
        <v>2.8</v>
      </c>
      <c r="U59" s="8">
        <f t="shared" si="12"/>
        <v>1.5999999999999999</v>
      </c>
      <c r="V59" s="8">
        <f t="shared" si="13"/>
        <v>10</v>
      </c>
      <c r="W59" s="8">
        <f t="shared" si="13"/>
        <v>8.8000000000000007</v>
      </c>
      <c r="X59" s="8">
        <f t="shared" si="13"/>
        <v>7.6000000000000005</v>
      </c>
      <c r="Y59" s="8">
        <f t="shared" si="13"/>
        <v>6.4</v>
      </c>
      <c r="Z59" s="8">
        <f t="shared" si="13"/>
        <v>5.2</v>
      </c>
      <c r="AA59" s="8">
        <f t="shared" si="13"/>
        <v>4</v>
      </c>
      <c r="AB59" s="8">
        <f t="shared" si="13"/>
        <v>2.8</v>
      </c>
      <c r="AC59" s="8" t="e">
        <f t="shared" si="13"/>
        <v>#N/A</v>
      </c>
    </row>
    <row r="60" spans="13:29">
      <c r="M60" s="14">
        <v>52</v>
      </c>
      <c r="N60" s="8">
        <f t="shared" si="12"/>
        <v>10</v>
      </c>
      <c r="O60" s="8">
        <f t="shared" si="12"/>
        <v>8.8000000000000007</v>
      </c>
      <c r="P60" s="8">
        <f t="shared" si="12"/>
        <v>7.6000000000000005</v>
      </c>
      <c r="Q60" s="8">
        <f t="shared" si="12"/>
        <v>6.4</v>
      </c>
      <c r="R60" s="8">
        <f t="shared" si="12"/>
        <v>5.2</v>
      </c>
      <c r="S60" s="8">
        <f t="shared" si="12"/>
        <v>4</v>
      </c>
      <c r="T60" s="8">
        <f t="shared" si="12"/>
        <v>2.8</v>
      </c>
      <c r="U60" s="8">
        <f t="shared" si="12"/>
        <v>1.5999999999999999</v>
      </c>
      <c r="V60" s="8">
        <f t="shared" si="13"/>
        <v>10</v>
      </c>
      <c r="W60" s="8">
        <f t="shared" si="13"/>
        <v>8.8000000000000007</v>
      </c>
      <c r="X60" s="8">
        <f t="shared" si="13"/>
        <v>7.6000000000000005</v>
      </c>
      <c r="Y60" s="8">
        <f t="shared" si="13"/>
        <v>6.4</v>
      </c>
      <c r="Z60" s="8">
        <f t="shared" si="13"/>
        <v>5.2</v>
      </c>
      <c r="AA60" s="8">
        <f t="shared" si="13"/>
        <v>4</v>
      </c>
      <c r="AB60" s="8">
        <f t="shared" si="13"/>
        <v>2.8</v>
      </c>
      <c r="AC60" s="8" t="e">
        <f t="shared" si="13"/>
        <v>#N/A</v>
      </c>
    </row>
    <row r="61" spans="13:29">
      <c r="M61" s="14">
        <v>53</v>
      </c>
      <c r="N61" s="8">
        <f t="shared" si="12"/>
        <v>10</v>
      </c>
      <c r="O61" s="8">
        <f t="shared" si="12"/>
        <v>8.8000000000000007</v>
      </c>
      <c r="P61" s="8">
        <f t="shared" si="12"/>
        <v>7.6000000000000005</v>
      </c>
      <c r="Q61" s="8">
        <f t="shared" si="12"/>
        <v>6.4</v>
      </c>
      <c r="R61" s="8">
        <f t="shared" si="12"/>
        <v>5.2</v>
      </c>
      <c r="S61" s="8">
        <f t="shared" si="12"/>
        <v>4</v>
      </c>
      <c r="T61" s="8">
        <f t="shared" si="12"/>
        <v>2.8</v>
      </c>
      <c r="U61" s="8">
        <f t="shared" si="12"/>
        <v>1.5999999999999999</v>
      </c>
      <c r="V61" s="8">
        <f t="shared" si="13"/>
        <v>10</v>
      </c>
      <c r="W61" s="8">
        <f t="shared" si="13"/>
        <v>8.8000000000000007</v>
      </c>
      <c r="X61" s="8">
        <f t="shared" si="13"/>
        <v>7.6000000000000005</v>
      </c>
      <c r="Y61" s="8">
        <f t="shared" si="13"/>
        <v>6.4</v>
      </c>
      <c r="Z61" s="8">
        <f t="shared" si="13"/>
        <v>5.2</v>
      </c>
      <c r="AA61" s="8">
        <f t="shared" si="13"/>
        <v>4</v>
      </c>
      <c r="AB61" s="8">
        <f t="shared" si="13"/>
        <v>2.8</v>
      </c>
      <c r="AC61" s="8" t="e">
        <f t="shared" si="13"/>
        <v>#N/A</v>
      </c>
    </row>
    <row r="62" spans="13:29">
      <c r="M62" s="14">
        <v>54</v>
      </c>
      <c r="N62" s="8">
        <f t="shared" si="12"/>
        <v>10</v>
      </c>
      <c r="O62" s="8">
        <f t="shared" si="12"/>
        <v>8.8000000000000007</v>
      </c>
      <c r="P62" s="8">
        <f t="shared" si="12"/>
        <v>7.6000000000000005</v>
      </c>
      <c r="Q62" s="8">
        <f t="shared" si="12"/>
        <v>6.4</v>
      </c>
      <c r="R62" s="8">
        <f t="shared" si="12"/>
        <v>5.2</v>
      </c>
      <c r="S62" s="8">
        <f t="shared" si="12"/>
        <v>4</v>
      </c>
      <c r="T62" s="8">
        <f t="shared" si="12"/>
        <v>2.8</v>
      </c>
      <c r="U62" s="8">
        <f t="shared" si="12"/>
        <v>1.5999999999999999</v>
      </c>
      <c r="V62" s="8">
        <f t="shared" si="13"/>
        <v>10</v>
      </c>
      <c r="W62" s="8">
        <f t="shared" si="13"/>
        <v>8.8000000000000007</v>
      </c>
      <c r="X62" s="8">
        <f t="shared" si="13"/>
        <v>7.6000000000000005</v>
      </c>
      <c r="Y62" s="8">
        <f t="shared" si="13"/>
        <v>6.4</v>
      </c>
      <c r="Z62" s="8">
        <f t="shared" si="13"/>
        <v>5.2</v>
      </c>
      <c r="AA62" s="8">
        <f t="shared" si="13"/>
        <v>4</v>
      </c>
      <c r="AB62" s="8">
        <f t="shared" si="13"/>
        <v>2.8</v>
      </c>
      <c r="AC62" s="8" t="e">
        <f t="shared" si="13"/>
        <v>#N/A</v>
      </c>
    </row>
    <row r="63" spans="13:29">
      <c r="M63" s="14">
        <v>55</v>
      </c>
      <c r="N63" s="8">
        <f t="shared" si="12"/>
        <v>10</v>
      </c>
      <c r="O63" s="8">
        <f t="shared" si="12"/>
        <v>8.8000000000000007</v>
      </c>
      <c r="P63" s="8">
        <f t="shared" si="12"/>
        <v>7.6000000000000005</v>
      </c>
      <c r="Q63" s="8">
        <f t="shared" si="12"/>
        <v>6.4</v>
      </c>
      <c r="R63" s="8">
        <f t="shared" si="12"/>
        <v>5.2</v>
      </c>
      <c r="S63" s="8">
        <f t="shared" si="12"/>
        <v>4</v>
      </c>
      <c r="T63" s="8">
        <f t="shared" si="12"/>
        <v>2.8</v>
      </c>
      <c r="U63" s="8">
        <f t="shared" si="12"/>
        <v>1.5999999999999999</v>
      </c>
      <c r="V63" s="8">
        <f t="shared" si="13"/>
        <v>10</v>
      </c>
      <c r="W63" s="8">
        <f t="shared" si="13"/>
        <v>8.8000000000000007</v>
      </c>
      <c r="X63" s="8">
        <f t="shared" si="13"/>
        <v>7.6000000000000005</v>
      </c>
      <c r="Y63" s="8">
        <f t="shared" si="13"/>
        <v>6.4</v>
      </c>
      <c r="Z63" s="8">
        <f t="shared" si="13"/>
        <v>5.2</v>
      </c>
      <c r="AA63" s="8">
        <f t="shared" si="13"/>
        <v>4</v>
      </c>
      <c r="AB63" s="8">
        <f t="shared" si="13"/>
        <v>2.8</v>
      </c>
      <c r="AC63" s="8" t="e">
        <f t="shared" si="13"/>
        <v>#N/A</v>
      </c>
    </row>
    <row r="64" spans="13:29">
      <c r="M64" s="14">
        <v>56</v>
      </c>
      <c r="N64" s="8">
        <f t="shared" si="12"/>
        <v>10</v>
      </c>
      <c r="O64" s="8">
        <f t="shared" si="12"/>
        <v>8.8000000000000007</v>
      </c>
      <c r="P64" s="8">
        <f t="shared" si="12"/>
        <v>7.6000000000000005</v>
      </c>
      <c r="Q64" s="8">
        <f t="shared" si="12"/>
        <v>6.4</v>
      </c>
      <c r="R64" s="8">
        <f t="shared" si="12"/>
        <v>5.2</v>
      </c>
      <c r="S64" s="8">
        <f t="shared" si="12"/>
        <v>4</v>
      </c>
      <c r="T64" s="8">
        <f t="shared" si="12"/>
        <v>2.8</v>
      </c>
      <c r="U64" s="8">
        <f t="shared" si="12"/>
        <v>1.5999999999999999</v>
      </c>
      <c r="V64" s="8">
        <f t="shared" si="13"/>
        <v>10</v>
      </c>
      <c r="W64" s="8">
        <f t="shared" si="13"/>
        <v>8.8000000000000007</v>
      </c>
      <c r="X64" s="8">
        <f t="shared" si="13"/>
        <v>7.6000000000000005</v>
      </c>
      <c r="Y64" s="8">
        <f t="shared" si="13"/>
        <v>6.4</v>
      </c>
      <c r="Z64" s="8">
        <f t="shared" si="13"/>
        <v>5.2</v>
      </c>
      <c r="AA64" s="8">
        <f t="shared" si="13"/>
        <v>4</v>
      </c>
      <c r="AB64" s="8">
        <f t="shared" si="13"/>
        <v>2.8</v>
      </c>
      <c r="AC64" s="8" t="e">
        <f t="shared" si="13"/>
        <v>#N/A</v>
      </c>
    </row>
    <row r="65" spans="13:29">
      <c r="M65" s="14">
        <v>57</v>
      </c>
      <c r="N65" s="8">
        <f t="shared" si="12"/>
        <v>10</v>
      </c>
      <c r="O65" s="8">
        <f t="shared" si="12"/>
        <v>8.8000000000000007</v>
      </c>
      <c r="P65" s="8">
        <f t="shared" si="12"/>
        <v>7.6000000000000005</v>
      </c>
      <c r="Q65" s="8">
        <f t="shared" si="12"/>
        <v>6.4</v>
      </c>
      <c r="R65" s="8">
        <f t="shared" si="12"/>
        <v>5.2</v>
      </c>
      <c r="S65" s="8">
        <f t="shared" si="12"/>
        <v>4</v>
      </c>
      <c r="T65" s="8">
        <f t="shared" si="12"/>
        <v>2.8</v>
      </c>
      <c r="U65" s="8">
        <f t="shared" si="12"/>
        <v>1.5999999999999999</v>
      </c>
      <c r="V65" s="8">
        <f t="shared" si="13"/>
        <v>10</v>
      </c>
      <c r="W65" s="8">
        <f t="shared" si="13"/>
        <v>8.8000000000000007</v>
      </c>
      <c r="X65" s="8">
        <f t="shared" si="13"/>
        <v>7.6000000000000005</v>
      </c>
      <c r="Y65" s="8">
        <f t="shared" si="13"/>
        <v>6.4</v>
      </c>
      <c r="Z65" s="8">
        <f t="shared" si="13"/>
        <v>5.2</v>
      </c>
      <c r="AA65" s="8">
        <f t="shared" si="13"/>
        <v>4</v>
      </c>
      <c r="AB65" s="8">
        <f t="shared" si="13"/>
        <v>2.8</v>
      </c>
      <c r="AC65" s="8" t="e">
        <f t="shared" si="13"/>
        <v>#N/A</v>
      </c>
    </row>
    <row r="66" spans="13:29">
      <c r="M66" s="14">
        <v>58</v>
      </c>
      <c r="N66" s="8">
        <f t="shared" si="12"/>
        <v>10</v>
      </c>
      <c r="O66" s="8">
        <f t="shared" si="12"/>
        <v>8.8000000000000007</v>
      </c>
      <c r="P66" s="8">
        <f t="shared" si="12"/>
        <v>7.6000000000000005</v>
      </c>
      <c r="Q66" s="8">
        <f t="shared" si="12"/>
        <v>6.4</v>
      </c>
      <c r="R66" s="8">
        <f t="shared" si="12"/>
        <v>5.2</v>
      </c>
      <c r="S66" s="8">
        <f t="shared" si="12"/>
        <v>4</v>
      </c>
      <c r="T66" s="8">
        <f t="shared" si="12"/>
        <v>2.8</v>
      </c>
      <c r="U66" s="8">
        <f t="shared" si="12"/>
        <v>1.5999999999999999</v>
      </c>
      <c r="V66" s="8">
        <f t="shared" si="13"/>
        <v>10</v>
      </c>
      <c r="W66" s="8">
        <f t="shared" si="13"/>
        <v>8.8000000000000007</v>
      </c>
      <c r="X66" s="8">
        <f t="shared" si="13"/>
        <v>7.6000000000000005</v>
      </c>
      <c r="Y66" s="8">
        <f t="shared" si="13"/>
        <v>6.4</v>
      </c>
      <c r="Z66" s="8">
        <f t="shared" si="13"/>
        <v>5.2</v>
      </c>
      <c r="AA66" s="8">
        <f t="shared" si="13"/>
        <v>4</v>
      </c>
      <c r="AB66" s="8">
        <f t="shared" si="13"/>
        <v>2.8</v>
      </c>
      <c r="AC66" s="8" t="e">
        <f t="shared" si="13"/>
        <v>#N/A</v>
      </c>
    </row>
    <row r="67" spans="13:29">
      <c r="M67" s="14">
        <v>59</v>
      </c>
      <c r="N67" s="8">
        <f t="shared" si="12"/>
        <v>10</v>
      </c>
      <c r="O67" s="8">
        <f t="shared" si="12"/>
        <v>8.8000000000000007</v>
      </c>
      <c r="P67" s="8">
        <f t="shared" si="12"/>
        <v>7.6000000000000005</v>
      </c>
      <c r="Q67" s="8">
        <f t="shared" si="12"/>
        <v>6.4</v>
      </c>
      <c r="R67" s="8">
        <f t="shared" si="12"/>
        <v>5.2</v>
      </c>
      <c r="S67" s="8">
        <f t="shared" si="12"/>
        <v>4</v>
      </c>
      <c r="T67" s="8">
        <f t="shared" si="12"/>
        <v>2.8</v>
      </c>
      <c r="U67" s="8">
        <f t="shared" si="12"/>
        <v>1.5999999999999999</v>
      </c>
      <c r="V67" s="8">
        <f t="shared" si="13"/>
        <v>10</v>
      </c>
      <c r="W67" s="8">
        <f t="shared" si="13"/>
        <v>8.8000000000000007</v>
      </c>
      <c r="X67" s="8">
        <f t="shared" si="13"/>
        <v>7.6000000000000005</v>
      </c>
      <c r="Y67" s="8">
        <f t="shared" si="13"/>
        <v>6.4</v>
      </c>
      <c r="Z67" s="8">
        <f t="shared" si="13"/>
        <v>5.2</v>
      </c>
      <c r="AA67" s="8">
        <f t="shared" si="13"/>
        <v>4</v>
      </c>
      <c r="AB67" s="8">
        <f t="shared" si="13"/>
        <v>2.8</v>
      </c>
      <c r="AC67" s="8" t="e">
        <f t="shared" si="13"/>
        <v>#N/A</v>
      </c>
    </row>
    <row r="68" spans="13:29">
      <c r="M68" s="14">
        <v>60</v>
      </c>
      <c r="N68" s="8">
        <f t="shared" si="12"/>
        <v>10</v>
      </c>
      <c r="O68" s="8">
        <f t="shared" si="12"/>
        <v>8.8000000000000007</v>
      </c>
      <c r="P68" s="8">
        <f t="shared" si="12"/>
        <v>7.6000000000000005</v>
      </c>
      <c r="Q68" s="8">
        <f t="shared" si="12"/>
        <v>6.4</v>
      </c>
      <c r="R68" s="8">
        <f t="shared" si="12"/>
        <v>5.2</v>
      </c>
      <c r="S68" s="8">
        <f t="shared" si="12"/>
        <v>4</v>
      </c>
      <c r="T68" s="8">
        <f t="shared" si="12"/>
        <v>2.8</v>
      </c>
      <c r="U68" s="8">
        <f t="shared" si="12"/>
        <v>1.5999999999999999</v>
      </c>
      <c r="V68" s="8">
        <f t="shared" si="13"/>
        <v>10</v>
      </c>
      <c r="W68" s="8">
        <f t="shared" si="13"/>
        <v>8.8000000000000007</v>
      </c>
      <c r="X68" s="8">
        <f t="shared" si="13"/>
        <v>7.6000000000000005</v>
      </c>
      <c r="Y68" s="8">
        <f t="shared" si="13"/>
        <v>6.4</v>
      </c>
      <c r="Z68" s="8">
        <f t="shared" si="13"/>
        <v>5.2</v>
      </c>
      <c r="AA68" s="8">
        <f t="shared" si="13"/>
        <v>4</v>
      </c>
      <c r="AB68" s="8">
        <f t="shared" si="13"/>
        <v>2.8</v>
      </c>
      <c r="AC68" s="8" t="e">
        <f t="shared" si="13"/>
        <v>#N/A</v>
      </c>
    </row>
    <row r="69" spans="13:29">
      <c r="M69" s="14">
        <v>61</v>
      </c>
      <c r="N69" s="8">
        <f t="shared" si="12"/>
        <v>10</v>
      </c>
      <c r="O69" s="8">
        <f t="shared" si="12"/>
        <v>8.8000000000000007</v>
      </c>
      <c r="P69" s="8">
        <f t="shared" si="12"/>
        <v>7.6000000000000005</v>
      </c>
      <c r="Q69" s="8">
        <f t="shared" si="12"/>
        <v>6.4</v>
      </c>
      <c r="R69" s="8">
        <f t="shared" si="12"/>
        <v>5.2</v>
      </c>
      <c r="S69" s="8">
        <f t="shared" si="12"/>
        <v>4</v>
      </c>
      <c r="T69" s="8">
        <f t="shared" si="12"/>
        <v>2.8</v>
      </c>
      <c r="U69" s="8">
        <f t="shared" si="12"/>
        <v>1.5999999999999999</v>
      </c>
      <c r="V69" s="8">
        <f t="shared" si="13"/>
        <v>10</v>
      </c>
      <c r="W69" s="8">
        <f t="shared" si="13"/>
        <v>8.8000000000000007</v>
      </c>
      <c r="X69" s="8">
        <f t="shared" si="13"/>
        <v>7.6000000000000005</v>
      </c>
      <c r="Y69" s="8">
        <f t="shared" si="13"/>
        <v>6.4</v>
      </c>
      <c r="Z69" s="8">
        <f t="shared" si="13"/>
        <v>5.2</v>
      </c>
      <c r="AA69" s="8">
        <f t="shared" si="13"/>
        <v>4</v>
      </c>
      <c r="AB69" s="8">
        <f t="shared" si="13"/>
        <v>2.8</v>
      </c>
      <c r="AC69" s="8" t="e">
        <f t="shared" si="13"/>
        <v>#N/A</v>
      </c>
    </row>
    <row r="70" spans="13:29">
      <c r="M70" s="14">
        <v>62</v>
      </c>
      <c r="N70" s="8">
        <f t="shared" si="12"/>
        <v>10</v>
      </c>
      <c r="O70" s="8">
        <f t="shared" si="12"/>
        <v>8.8000000000000007</v>
      </c>
      <c r="P70" s="8">
        <f t="shared" si="12"/>
        <v>7.6000000000000005</v>
      </c>
      <c r="Q70" s="8">
        <f t="shared" si="12"/>
        <v>6.4</v>
      </c>
      <c r="R70" s="8">
        <f t="shared" si="12"/>
        <v>5.2</v>
      </c>
      <c r="S70" s="8">
        <f t="shared" si="12"/>
        <v>4</v>
      </c>
      <c r="T70" s="8">
        <f t="shared" si="12"/>
        <v>2.8</v>
      </c>
      <c r="U70" s="8">
        <f t="shared" si="12"/>
        <v>1.5999999999999999</v>
      </c>
      <c r="V70" s="8">
        <f t="shared" si="13"/>
        <v>10</v>
      </c>
      <c r="W70" s="8">
        <f t="shared" si="13"/>
        <v>8.8000000000000007</v>
      </c>
      <c r="X70" s="8">
        <f t="shared" si="13"/>
        <v>7.6000000000000005</v>
      </c>
      <c r="Y70" s="8">
        <f t="shared" si="13"/>
        <v>6.4</v>
      </c>
      <c r="Z70" s="8">
        <f t="shared" si="13"/>
        <v>5.2</v>
      </c>
      <c r="AA70" s="8">
        <f t="shared" si="13"/>
        <v>4</v>
      </c>
      <c r="AB70" s="8">
        <f t="shared" si="13"/>
        <v>2.8</v>
      </c>
      <c r="AC70" s="8" t="e">
        <f t="shared" si="13"/>
        <v>#N/A</v>
      </c>
    </row>
    <row r="71" spans="13:29">
      <c r="M71" s="14">
        <v>63</v>
      </c>
      <c r="N71" s="8">
        <f t="shared" si="12"/>
        <v>10</v>
      </c>
      <c r="O71" s="8">
        <f t="shared" si="12"/>
        <v>8.8000000000000007</v>
      </c>
      <c r="P71" s="8">
        <f t="shared" si="12"/>
        <v>7.6000000000000005</v>
      </c>
      <c r="Q71" s="8">
        <f t="shared" si="12"/>
        <v>6.4</v>
      </c>
      <c r="R71" s="8">
        <f t="shared" si="12"/>
        <v>5.2</v>
      </c>
      <c r="S71" s="8">
        <f t="shared" si="12"/>
        <v>4</v>
      </c>
      <c r="T71" s="8">
        <f t="shared" si="12"/>
        <v>2.8</v>
      </c>
      <c r="U71" s="8">
        <f t="shared" si="12"/>
        <v>1.5999999999999999</v>
      </c>
      <c r="V71" s="8">
        <f t="shared" si="13"/>
        <v>10</v>
      </c>
      <c r="W71" s="8">
        <f t="shared" si="13"/>
        <v>8.8000000000000007</v>
      </c>
      <c r="X71" s="8">
        <f t="shared" si="13"/>
        <v>7.6000000000000005</v>
      </c>
      <c r="Y71" s="8">
        <f t="shared" si="13"/>
        <v>6.4</v>
      </c>
      <c r="Z71" s="8">
        <f t="shared" si="13"/>
        <v>5.2</v>
      </c>
      <c r="AA71" s="8">
        <f t="shared" si="13"/>
        <v>4</v>
      </c>
      <c r="AB71" s="8">
        <f t="shared" si="13"/>
        <v>2.8</v>
      </c>
      <c r="AC71" s="8" t="e">
        <f t="shared" si="13"/>
        <v>#N/A</v>
      </c>
    </row>
    <row r="72" spans="13:29">
      <c r="M72" s="14">
        <v>64</v>
      </c>
      <c r="N72" s="8">
        <f t="shared" si="12"/>
        <v>10</v>
      </c>
      <c r="O72" s="8">
        <f t="shared" si="12"/>
        <v>8.8000000000000007</v>
      </c>
      <c r="P72" s="8">
        <f t="shared" si="12"/>
        <v>7.6000000000000005</v>
      </c>
      <c r="Q72" s="8">
        <f t="shared" si="12"/>
        <v>6.4</v>
      </c>
      <c r="R72" s="8">
        <f t="shared" si="12"/>
        <v>5.2</v>
      </c>
      <c r="S72" s="8">
        <f t="shared" si="12"/>
        <v>4</v>
      </c>
      <c r="T72" s="8">
        <f t="shared" si="12"/>
        <v>2.8</v>
      </c>
      <c r="U72" s="8">
        <f t="shared" si="12"/>
        <v>1.5999999999999999</v>
      </c>
      <c r="V72" s="8">
        <f t="shared" si="13"/>
        <v>10</v>
      </c>
      <c r="W72" s="8">
        <f t="shared" si="13"/>
        <v>8.8000000000000007</v>
      </c>
      <c r="X72" s="8">
        <f t="shared" si="13"/>
        <v>7.6000000000000005</v>
      </c>
      <c r="Y72" s="8">
        <f t="shared" si="13"/>
        <v>6.4</v>
      </c>
      <c r="Z72" s="8">
        <f t="shared" si="13"/>
        <v>5.2</v>
      </c>
      <c r="AA72" s="8">
        <f t="shared" si="13"/>
        <v>4</v>
      </c>
      <c r="AB72" s="8">
        <f t="shared" si="13"/>
        <v>2.8</v>
      </c>
      <c r="AC72" s="8" t="e">
        <f t="shared" si="13"/>
        <v>#N/A</v>
      </c>
    </row>
    <row r="73" spans="13:29">
      <c r="M73" s="14">
        <v>65</v>
      </c>
      <c r="N73" s="8">
        <f t="shared" ref="N73:U88" si="14">IF($M73&lt;=100/$G$15*$H$15,N$5,NA())</f>
        <v>10</v>
      </c>
      <c r="O73" s="8">
        <f t="shared" si="14"/>
        <v>8.8000000000000007</v>
      </c>
      <c r="P73" s="8">
        <f t="shared" si="14"/>
        <v>7.6000000000000005</v>
      </c>
      <c r="Q73" s="8">
        <f t="shared" si="14"/>
        <v>6.4</v>
      </c>
      <c r="R73" s="8">
        <f t="shared" si="14"/>
        <v>5.2</v>
      </c>
      <c r="S73" s="8">
        <f t="shared" si="14"/>
        <v>4</v>
      </c>
      <c r="T73" s="8">
        <f t="shared" si="14"/>
        <v>2.8</v>
      </c>
      <c r="U73" s="8">
        <f t="shared" si="14"/>
        <v>1.5999999999999999</v>
      </c>
      <c r="V73" s="8">
        <f t="shared" ref="V73:AC88" si="15">IF($M73&lt;=INDEX($K$5:$K$12,V$6)/$G$15*$H$15,V$5,NA())</f>
        <v>10</v>
      </c>
      <c r="W73" s="8">
        <f t="shared" si="15"/>
        <v>8.8000000000000007</v>
      </c>
      <c r="X73" s="8">
        <f t="shared" si="15"/>
        <v>7.6000000000000005</v>
      </c>
      <c r="Y73" s="8">
        <f t="shared" si="15"/>
        <v>6.4</v>
      </c>
      <c r="Z73" s="8">
        <f t="shared" si="15"/>
        <v>5.2</v>
      </c>
      <c r="AA73" s="8">
        <f t="shared" si="15"/>
        <v>4</v>
      </c>
      <c r="AB73" s="8">
        <f t="shared" si="15"/>
        <v>2.8</v>
      </c>
      <c r="AC73" s="8" t="e">
        <f t="shared" si="15"/>
        <v>#N/A</v>
      </c>
    </row>
    <row r="74" spans="13:29">
      <c r="M74" s="14">
        <v>66</v>
      </c>
      <c r="N74" s="8">
        <f t="shared" si="14"/>
        <v>10</v>
      </c>
      <c r="O74" s="8">
        <f t="shared" si="14"/>
        <v>8.8000000000000007</v>
      </c>
      <c r="P74" s="8">
        <f t="shared" si="14"/>
        <v>7.6000000000000005</v>
      </c>
      <c r="Q74" s="8">
        <f t="shared" si="14"/>
        <v>6.4</v>
      </c>
      <c r="R74" s="8">
        <f t="shared" si="14"/>
        <v>5.2</v>
      </c>
      <c r="S74" s="8">
        <f t="shared" si="14"/>
        <v>4</v>
      </c>
      <c r="T74" s="8">
        <f t="shared" si="14"/>
        <v>2.8</v>
      </c>
      <c r="U74" s="8">
        <f t="shared" si="14"/>
        <v>1.5999999999999999</v>
      </c>
      <c r="V74" s="8">
        <f t="shared" si="15"/>
        <v>10</v>
      </c>
      <c r="W74" s="8">
        <f t="shared" si="15"/>
        <v>8.8000000000000007</v>
      </c>
      <c r="X74" s="8">
        <f t="shared" si="15"/>
        <v>7.6000000000000005</v>
      </c>
      <c r="Y74" s="8">
        <f t="shared" si="15"/>
        <v>6.4</v>
      </c>
      <c r="Z74" s="8">
        <f t="shared" si="15"/>
        <v>5.2</v>
      </c>
      <c r="AA74" s="8">
        <f t="shared" si="15"/>
        <v>4</v>
      </c>
      <c r="AB74" s="8">
        <f t="shared" si="15"/>
        <v>2.8</v>
      </c>
      <c r="AC74" s="8" t="e">
        <f t="shared" si="15"/>
        <v>#N/A</v>
      </c>
    </row>
    <row r="75" spans="13:29">
      <c r="M75" s="14">
        <v>67</v>
      </c>
      <c r="N75" s="8">
        <f t="shared" si="14"/>
        <v>10</v>
      </c>
      <c r="O75" s="8">
        <f t="shared" si="14"/>
        <v>8.8000000000000007</v>
      </c>
      <c r="P75" s="8">
        <f t="shared" si="14"/>
        <v>7.6000000000000005</v>
      </c>
      <c r="Q75" s="8">
        <f t="shared" si="14"/>
        <v>6.4</v>
      </c>
      <c r="R75" s="8">
        <f t="shared" si="14"/>
        <v>5.2</v>
      </c>
      <c r="S75" s="8">
        <f t="shared" si="14"/>
        <v>4</v>
      </c>
      <c r="T75" s="8">
        <f t="shared" si="14"/>
        <v>2.8</v>
      </c>
      <c r="U75" s="8">
        <f t="shared" si="14"/>
        <v>1.5999999999999999</v>
      </c>
      <c r="V75" s="8">
        <f t="shared" si="15"/>
        <v>10</v>
      </c>
      <c r="W75" s="8">
        <f t="shared" si="15"/>
        <v>8.8000000000000007</v>
      </c>
      <c r="X75" s="8">
        <f t="shared" si="15"/>
        <v>7.6000000000000005</v>
      </c>
      <c r="Y75" s="8">
        <f t="shared" si="15"/>
        <v>6.4</v>
      </c>
      <c r="Z75" s="8">
        <f t="shared" si="15"/>
        <v>5.2</v>
      </c>
      <c r="AA75" s="8">
        <f t="shared" si="15"/>
        <v>4</v>
      </c>
      <c r="AB75" s="8">
        <f t="shared" si="15"/>
        <v>2.8</v>
      </c>
      <c r="AC75" s="8" t="e">
        <f t="shared" si="15"/>
        <v>#N/A</v>
      </c>
    </row>
    <row r="76" spans="13:29">
      <c r="M76" s="14">
        <v>68</v>
      </c>
      <c r="N76" s="8">
        <f t="shared" si="14"/>
        <v>10</v>
      </c>
      <c r="O76" s="8">
        <f t="shared" si="14"/>
        <v>8.8000000000000007</v>
      </c>
      <c r="P76" s="8">
        <f t="shared" si="14"/>
        <v>7.6000000000000005</v>
      </c>
      <c r="Q76" s="8">
        <f t="shared" si="14"/>
        <v>6.4</v>
      </c>
      <c r="R76" s="8">
        <f t="shared" si="14"/>
        <v>5.2</v>
      </c>
      <c r="S76" s="8">
        <f t="shared" si="14"/>
        <v>4</v>
      </c>
      <c r="T76" s="8">
        <f t="shared" si="14"/>
        <v>2.8</v>
      </c>
      <c r="U76" s="8">
        <f t="shared" si="14"/>
        <v>1.5999999999999999</v>
      </c>
      <c r="V76" s="8">
        <f t="shared" si="15"/>
        <v>10</v>
      </c>
      <c r="W76" s="8">
        <f t="shared" si="15"/>
        <v>8.8000000000000007</v>
      </c>
      <c r="X76" s="8">
        <f t="shared" si="15"/>
        <v>7.6000000000000005</v>
      </c>
      <c r="Y76" s="8">
        <f t="shared" si="15"/>
        <v>6.4</v>
      </c>
      <c r="Z76" s="8">
        <f t="shared" si="15"/>
        <v>5.2</v>
      </c>
      <c r="AA76" s="8">
        <f t="shared" si="15"/>
        <v>4</v>
      </c>
      <c r="AB76" s="8">
        <f t="shared" si="15"/>
        <v>2.8</v>
      </c>
      <c r="AC76" s="8" t="e">
        <f t="shared" si="15"/>
        <v>#N/A</v>
      </c>
    </row>
    <row r="77" spans="13:29">
      <c r="M77" s="14">
        <v>69</v>
      </c>
      <c r="N77" s="8">
        <f t="shared" si="14"/>
        <v>10</v>
      </c>
      <c r="O77" s="8">
        <f t="shared" si="14"/>
        <v>8.8000000000000007</v>
      </c>
      <c r="P77" s="8">
        <f t="shared" si="14"/>
        <v>7.6000000000000005</v>
      </c>
      <c r="Q77" s="8">
        <f t="shared" si="14"/>
        <v>6.4</v>
      </c>
      <c r="R77" s="8">
        <f t="shared" si="14"/>
        <v>5.2</v>
      </c>
      <c r="S77" s="8">
        <f t="shared" si="14"/>
        <v>4</v>
      </c>
      <c r="T77" s="8">
        <f t="shared" si="14"/>
        <v>2.8</v>
      </c>
      <c r="U77" s="8">
        <f t="shared" si="14"/>
        <v>1.5999999999999999</v>
      </c>
      <c r="V77" s="8">
        <f t="shared" si="15"/>
        <v>10</v>
      </c>
      <c r="W77" s="8">
        <f t="shared" si="15"/>
        <v>8.8000000000000007</v>
      </c>
      <c r="X77" s="8">
        <f t="shared" si="15"/>
        <v>7.6000000000000005</v>
      </c>
      <c r="Y77" s="8">
        <f t="shared" si="15"/>
        <v>6.4</v>
      </c>
      <c r="Z77" s="8">
        <f t="shared" si="15"/>
        <v>5.2</v>
      </c>
      <c r="AA77" s="8">
        <f t="shared" si="15"/>
        <v>4</v>
      </c>
      <c r="AB77" s="8">
        <f t="shared" si="15"/>
        <v>2.8</v>
      </c>
      <c r="AC77" s="8" t="e">
        <f t="shared" si="15"/>
        <v>#N/A</v>
      </c>
    </row>
    <row r="78" spans="13:29">
      <c r="M78" s="14">
        <v>70</v>
      </c>
      <c r="N78" s="8">
        <f t="shared" si="14"/>
        <v>10</v>
      </c>
      <c r="O78" s="8">
        <f t="shared" si="14"/>
        <v>8.8000000000000007</v>
      </c>
      <c r="P78" s="8">
        <f t="shared" si="14"/>
        <v>7.6000000000000005</v>
      </c>
      <c r="Q78" s="8">
        <f t="shared" si="14"/>
        <v>6.4</v>
      </c>
      <c r="R78" s="8">
        <f t="shared" si="14"/>
        <v>5.2</v>
      </c>
      <c r="S78" s="8">
        <f t="shared" si="14"/>
        <v>4</v>
      </c>
      <c r="T78" s="8">
        <f t="shared" si="14"/>
        <v>2.8</v>
      </c>
      <c r="U78" s="8">
        <f t="shared" si="14"/>
        <v>1.5999999999999999</v>
      </c>
      <c r="V78" s="8">
        <f t="shared" si="15"/>
        <v>10</v>
      </c>
      <c r="W78" s="8">
        <f t="shared" si="15"/>
        <v>8.8000000000000007</v>
      </c>
      <c r="X78" s="8">
        <f t="shared" si="15"/>
        <v>7.6000000000000005</v>
      </c>
      <c r="Y78" s="8">
        <f t="shared" si="15"/>
        <v>6.4</v>
      </c>
      <c r="Z78" s="8">
        <f t="shared" si="15"/>
        <v>5.2</v>
      </c>
      <c r="AA78" s="8">
        <f t="shared" si="15"/>
        <v>4</v>
      </c>
      <c r="AB78" s="8">
        <f t="shared" si="15"/>
        <v>2.8</v>
      </c>
      <c r="AC78" s="8" t="e">
        <f t="shared" si="15"/>
        <v>#N/A</v>
      </c>
    </row>
    <row r="79" spans="13:29">
      <c r="M79" s="14">
        <v>71</v>
      </c>
      <c r="N79" s="8">
        <f t="shared" si="14"/>
        <v>10</v>
      </c>
      <c r="O79" s="8">
        <f t="shared" si="14"/>
        <v>8.8000000000000007</v>
      </c>
      <c r="P79" s="8">
        <f t="shared" si="14"/>
        <v>7.6000000000000005</v>
      </c>
      <c r="Q79" s="8">
        <f t="shared" si="14"/>
        <v>6.4</v>
      </c>
      <c r="R79" s="8">
        <f t="shared" si="14"/>
        <v>5.2</v>
      </c>
      <c r="S79" s="8">
        <f t="shared" si="14"/>
        <v>4</v>
      </c>
      <c r="T79" s="8">
        <f t="shared" si="14"/>
        <v>2.8</v>
      </c>
      <c r="U79" s="8">
        <f t="shared" si="14"/>
        <v>1.5999999999999999</v>
      </c>
      <c r="V79" s="8">
        <f t="shared" si="15"/>
        <v>10</v>
      </c>
      <c r="W79" s="8">
        <f t="shared" si="15"/>
        <v>8.8000000000000007</v>
      </c>
      <c r="X79" s="8">
        <f t="shared" si="15"/>
        <v>7.6000000000000005</v>
      </c>
      <c r="Y79" s="8">
        <f t="shared" si="15"/>
        <v>6.4</v>
      </c>
      <c r="Z79" s="8">
        <f t="shared" si="15"/>
        <v>5.2</v>
      </c>
      <c r="AA79" s="8">
        <f t="shared" si="15"/>
        <v>4</v>
      </c>
      <c r="AB79" s="8">
        <f t="shared" si="15"/>
        <v>2.8</v>
      </c>
      <c r="AC79" s="8" t="e">
        <f t="shared" si="15"/>
        <v>#N/A</v>
      </c>
    </row>
    <row r="80" spans="13:29">
      <c r="M80" s="14">
        <v>72</v>
      </c>
      <c r="N80" s="8">
        <f t="shared" si="14"/>
        <v>10</v>
      </c>
      <c r="O80" s="8">
        <f t="shared" si="14"/>
        <v>8.8000000000000007</v>
      </c>
      <c r="P80" s="8">
        <f t="shared" si="14"/>
        <v>7.6000000000000005</v>
      </c>
      <c r="Q80" s="8">
        <f t="shared" si="14"/>
        <v>6.4</v>
      </c>
      <c r="R80" s="8">
        <f t="shared" si="14"/>
        <v>5.2</v>
      </c>
      <c r="S80" s="8">
        <f t="shared" si="14"/>
        <v>4</v>
      </c>
      <c r="T80" s="8">
        <f t="shared" si="14"/>
        <v>2.8</v>
      </c>
      <c r="U80" s="8">
        <f t="shared" si="14"/>
        <v>1.5999999999999999</v>
      </c>
      <c r="V80" s="8">
        <f t="shared" si="15"/>
        <v>10</v>
      </c>
      <c r="W80" s="8">
        <f t="shared" si="15"/>
        <v>8.8000000000000007</v>
      </c>
      <c r="X80" s="8">
        <f t="shared" si="15"/>
        <v>7.6000000000000005</v>
      </c>
      <c r="Y80" s="8">
        <f t="shared" si="15"/>
        <v>6.4</v>
      </c>
      <c r="Z80" s="8">
        <f t="shared" si="15"/>
        <v>5.2</v>
      </c>
      <c r="AA80" s="8">
        <f t="shared" si="15"/>
        <v>4</v>
      </c>
      <c r="AB80" s="8">
        <f t="shared" si="15"/>
        <v>2.8</v>
      </c>
      <c r="AC80" s="8" t="e">
        <f t="shared" si="15"/>
        <v>#N/A</v>
      </c>
    </row>
    <row r="81" spans="13:29">
      <c r="M81" s="14">
        <v>73</v>
      </c>
      <c r="N81" s="8">
        <f t="shared" si="14"/>
        <v>10</v>
      </c>
      <c r="O81" s="8">
        <f t="shared" si="14"/>
        <v>8.8000000000000007</v>
      </c>
      <c r="P81" s="8">
        <f t="shared" si="14"/>
        <v>7.6000000000000005</v>
      </c>
      <c r="Q81" s="8">
        <f t="shared" si="14"/>
        <v>6.4</v>
      </c>
      <c r="R81" s="8">
        <f t="shared" si="14"/>
        <v>5.2</v>
      </c>
      <c r="S81" s="8">
        <f t="shared" si="14"/>
        <v>4</v>
      </c>
      <c r="T81" s="8">
        <f t="shared" si="14"/>
        <v>2.8</v>
      </c>
      <c r="U81" s="8">
        <f t="shared" si="14"/>
        <v>1.5999999999999999</v>
      </c>
      <c r="V81" s="8">
        <f t="shared" si="15"/>
        <v>10</v>
      </c>
      <c r="W81" s="8">
        <f t="shared" si="15"/>
        <v>8.8000000000000007</v>
      </c>
      <c r="X81" s="8">
        <f t="shared" si="15"/>
        <v>7.6000000000000005</v>
      </c>
      <c r="Y81" s="8">
        <f t="shared" si="15"/>
        <v>6.4</v>
      </c>
      <c r="Z81" s="8">
        <f t="shared" si="15"/>
        <v>5.2</v>
      </c>
      <c r="AA81" s="8">
        <f t="shared" si="15"/>
        <v>4</v>
      </c>
      <c r="AB81" s="8">
        <f t="shared" si="15"/>
        <v>2.8</v>
      </c>
      <c r="AC81" s="8" t="e">
        <f t="shared" si="15"/>
        <v>#N/A</v>
      </c>
    </row>
    <row r="82" spans="13:29">
      <c r="M82" s="14">
        <v>74</v>
      </c>
      <c r="N82" s="8">
        <f t="shared" si="14"/>
        <v>10</v>
      </c>
      <c r="O82" s="8">
        <f t="shared" si="14"/>
        <v>8.8000000000000007</v>
      </c>
      <c r="P82" s="8">
        <f t="shared" si="14"/>
        <v>7.6000000000000005</v>
      </c>
      <c r="Q82" s="8">
        <f t="shared" si="14"/>
        <v>6.4</v>
      </c>
      <c r="R82" s="8">
        <f t="shared" si="14"/>
        <v>5.2</v>
      </c>
      <c r="S82" s="8">
        <f t="shared" si="14"/>
        <v>4</v>
      </c>
      <c r="T82" s="8">
        <f t="shared" si="14"/>
        <v>2.8</v>
      </c>
      <c r="U82" s="8">
        <f t="shared" si="14"/>
        <v>1.5999999999999999</v>
      </c>
      <c r="V82" s="8">
        <f t="shared" si="15"/>
        <v>10</v>
      </c>
      <c r="W82" s="8">
        <f t="shared" si="15"/>
        <v>8.8000000000000007</v>
      </c>
      <c r="X82" s="8">
        <f t="shared" si="15"/>
        <v>7.6000000000000005</v>
      </c>
      <c r="Y82" s="8">
        <f t="shared" si="15"/>
        <v>6.4</v>
      </c>
      <c r="Z82" s="8">
        <f t="shared" si="15"/>
        <v>5.2</v>
      </c>
      <c r="AA82" s="8">
        <f t="shared" si="15"/>
        <v>4</v>
      </c>
      <c r="AB82" s="8">
        <f t="shared" si="15"/>
        <v>2.8</v>
      </c>
      <c r="AC82" s="8" t="e">
        <f t="shared" si="15"/>
        <v>#N/A</v>
      </c>
    </row>
    <row r="83" spans="13:29">
      <c r="M83" s="14">
        <v>75</v>
      </c>
      <c r="N83" s="8">
        <f t="shared" si="14"/>
        <v>10</v>
      </c>
      <c r="O83" s="8">
        <f t="shared" si="14"/>
        <v>8.8000000000000007</v>
      </c>
      <c r="P83" s="8">
        <f t="shared" si="14"/>
        <v>7.6000000000000005</v>
      </c>
      <c r="Q83" s="8">
        <f t="shared" si="14"/>
        <v>6.4</v>
      </c>
      <c r="R83" s="8">
        <f t="shared" si="14"/>
        <v>5.2</v>
      </c>
      <c r="S83" s="8">
        <f t="shared" si="14"/>
        <v>4</v>
      </c>
      <c r="T83" s="8">
        <f t="shared" si="14"/>
        <v>2.8</v>
      </c>
      <c r="U83" s="8">
        <f t="shared" si="14"/>
        <v>1.5999999999999999</v>
      </c>
      <c r="V83" s="8">
        <f t="shared" si="15"/>
        <v>10</v>
      </c>
      <c r="W83" s="8">
        <f t="shared" si="15"/>
        <v>8.8000000000000007</v>
      </c>
      <c r="X83" s="8">
        <f t="shared" si="15"/>
        <v>7.6000000000000005</v>
      </c>
      <c r="Y83" s="8">
        <f t="shared" si="15"/>
        <v>6.4</v>
      </c>
      <c r="Z83" s="8">
        <f t="shared" si="15"/>
        <v>5.2</v>
      </c>
      <c r="AA83" s="8">
        <f t="shared" si="15"/>
        <v>4</v>
      </c>
      <c r="AB83" s="8">
        <f t="shared" si="15"/>
        <v>2.8</v>
      </c>
      <c r="AC83" s="8" t="e">
        <f t="shared" si="15"/>
        <v>#N/A</v>
      </c>
    </row>
    <row r="84" spans="13:29">
      <c r="M84" s="14">
        <v>76</v>
      </c>
      <c r="N84" s="8">
        <f t="shared" si="14"/>
        <v>10</v>
      </c>
      <c r="O84" s="8">
        <f t="shared" si="14"/>
        <v>8.8000000000000007</v>
      </c>
      <c r="P84" s="8">
        <f t="shared" si="14"/>
        <v>7.6000000000000005</v>
      </c>
      <c r="Q84" s="8">
        <f t="shared" si="14"/>
        <v>6.4</v>
      </c>
      <c r="R84" s="8">
        <f t="shared" si="14"/>
        <v>5.2</v>
      </c>
      <c r="S84" s="8">
        <f t="shared" si="14"/>
        <v>4</v>
      </c>
      <c r="T84" s="8">
        <f t="shared" si="14"/>
        <v>2.8</v>
      </c>
      <c r="U84" s="8">
        <f t="shared" si="14"/>
        <v>1.5999999999999999</v>
      </c>
      <c r="V84" s="8">
        <f t="shared" si="15"/>
        <v>10</v>
      </c>
      <c r="W84" s="8">
        <f t="shared" si="15"/>
        <v>8.8000000000000007</v>
      </c>
      <c r="X84" s="8">
        <f t="shared" si="15"/>
        <v>7.6000000000000005</v>
      </c>
      <c r="Y84" s="8">
        <f t="shared" si="15"/>
        <v>6.4</v>
      </c>
      <c r="Z84" s="8">
        <f t="shared" si="15"/>
        <v>5.2</v>
      </c>
      <c r="AA84" s="8">
        <f t="shared" si="15"/>
        <v>4</v>
      </c>
      <c r="AB84" s="8">
        <f t="shared" si="15"/>
        <v>2.8</v>
      </c>
      <c r="AC84" s="8" t="e">
        <f t="shared" si="15"/>
        <v>#N/A</v>
      </c>
    </row>
    <row r="85" spans="13:29">
      <c r="M85" s="14">
        <v>77</v>
      </c>
      <c r="N85" s="8">
        <f t="shared" si="14"/>
        <v>10</v>
      </c>
      <c r="O85" s="8">
        <f t="shared" si="14"/>
        <v>8.8000000000000007</v>
      </c>
      <c r="P85" s="8">
        <f t="shared" si="14"/>
        <v>7.6000000000000005</v>
      </c>
      <c r="Q85" s="8">
        <f t="shared" si="14"/>
        <v>6.4</v>
      </c>
      <c r="R85" s="8">
        <f t="shared" si="14"/>
        <v>5.2</v>
      </c>
      <c r="S85" s="8">
        <f t="shared" si="14"/>
        <v>4</v>
      </c>
      <c r="T85" s="8">
        <f t="shared" si="14"/>
        <v>2.8</v>
      </c>
      <c r="U85" s="8">
        <f t="shared" si="14"/>
        <v>1.5999999999999999</v>
      </c>
      <c r="V85" s="8">
        <f t="shared" si="15"/>
        <v>10</v>
      </c>
      <c r="W85" s="8">
        <f t="shared" si="15"/>
        <v>8.8000000000000007</v>
      </c>
      <c r="X85" s="8">
        <f t="shared" si="15"/>
        <v>7.6000000000000005</v>
      </c>
      <c r="Y85" s="8">
        <f t="shared" si="15"/>
        <v>6.4</v>
      </c>
      <c r="Z85" s="8">
        <f t="shared" si="15"/>
        <v>5.2</v>
      </c>
      <c r="AA85" s="8">
        <f t="shared" si="15"/>
        <v>4</v>
      </c>
      <c r="AB85" s="8">
        <f t="shared" si="15"/>
        <v>2.8</v>
      </c>
      <c r="AC85" s="8" t="e">
        <f t="shared" si="15"/>
        <v>#N/A</v>
      </c>
    </row>
    <row r="86" spans="13:29">
      <c r="M86" s="14">
        <v>78</v>
      </c>
      <c r="N86" s="8">
        <f t="shared" si="14"/>
        <v>10</v>
      </c>
      <c r="O86" s="8">
        <f t="shared" si="14"/>
        <v>8.8000000000000007</v>
      </c>
      <c r="P86" s="8">
        <f t="shared" si="14"/>
        <v>7.6000000000000005</v>
      </c>
      <c r="Q86" s="8">
        <f t="shared" si="14"/>
        <v>6.4</v>
      </c>
      <c r="R86" s="8">
        <f t="shared" si="14"/>
        <v>5.2</v>
      </c>
      <c r="S86" s="8">
        <f t="shared" si="14"/>
        <v>4</v>
      </c>
      <c r="T86" s="8">
        <f t="shared" si="14"/>
        <v>2.8</v>
      </c>
      <c r="U86" s="8">
        <f t="shared" si="14"/>
        <v>1.5999999999999999</v>
      </c>
      <c r="V86" s="8">
        <f t="shared" si="15"/>
        <v>10</v>
      </c>
      <c r="W86" s="8">
        <f t="shared" si="15"/>
        <v>8.8000000000000007</v>
      </c>
      <c r="X86" s="8">
        <f t="shared" si="15"/>
        <v>7.6000000000000005</v>
      </c>
      <c r="Y86" s="8">
        <f t="shared" si="15"/>
        <v>6.4</v>
      </c>
      <c r="Z86" s="8">
        <f t="shared" si="15"/>
        <v>5.2</v>
      </c>
      <c r="AA86" s="8">
        <f t="shared" si="15"/>
        <v>4</v>
      </c>
      <c r="AB86" s="8">
        <f t="shared" si="15"/>
        <v>2.8</v>
      </c>
      <c r="AC86" s="8" t="e">
        <f t="shared" si="15"/>
        <v>#N/A</v>
      </c>
    </row>
    <row r="87" spans="13:29">
      <c r="M87" s="14">
        <v>79</v>
      </c>
      <c r="N87" s="8">
        <f t="shared" si="14"/>
        <v>10</v>
      </c>
      <c r="O87" s="8">
        <f t="shared" si="14"/>
        <v>8.8000000000000007</v>
      </c>
      <c r="P87" s="8">
        <f t="shared" si="14"/>
        <v>7.6000000000000005</v>
      </c>
      <c r="Q87" s="8">
        <f t="shared" si="14"/>
        <v>6.4</v>
      </c>
      <c r="R87" s="8">
        <f t="shared" si="14"/>
        <v>5.2</v>
      </c>
      <c r="S87" s="8">
        <f t="shared" si="14"/>
        <v>4</v>
      </c>
      <c r="T87" s="8">
        <f t="shared" si="14"/>
        <v>2.8</v>
      </c>
      <c r="U87" s="8">
        <f t="shared" si="14"/>
        <v>1.5999999999999999</v>
      </c>
      <c r="V87" s="8">
        <f t="shared" si="15"/>
        <v>10</v>
      </c>
      <c r="W87" s="8">
        <f t="shared" si="15"/>
        <v>8.8000000000000007</v>
      </c>
      <c r="X87" s="8">
        <f t="shared" si="15"/>
        <v>7.6000000000000005</v>
      </c>
      <c r="Y87" s="8">
        <f t="shared" si="15"/>
        <v>6.4</v>
      </c>
      <c r="Z87" s="8">
        <f t="shared" si="15"/>
        <v>5.2</v>
      </c>
      <c r="AA87" s="8">
        <f t="shared" si="15"/>
        <v>4</v>
      </c>
      <c r="AB87" s="8">
        <f t="shared" si="15"/>
        <v>2.8</v>
      </c>
      <c r="AC87" s="8" t="e">
        <f t="shared" si="15"/>
        <v>#N/A</v>
      </c>
    </row>
    <row r="88" spans="13:29">
      <c r="M88" s="14">
        <v>80</v>
      </c>
      <c r="N88" s="8">
        <f t="shared" si="14"/>
        <v>10</v>
      </c>
      <c r="O88" s="8">
        <f t="shared" si="14"/>
        <v>8.8000000000000007</v>
      </c>
      <c r="P88" s="8">
        <f t="shared" si="14"/>
        <v>7.6000000000000005</v>
      </c>
      <c r="Q88" s="8">
        <f t="shared" si="14"/>
        <v>6.4</v>
      </c>
      <c r="R88" s="8">
        <f t="shared" si="14"/>
        <v>5.2</v>
      </c>
      <c r="S88" s="8">
        <f t="shared" si="14"/>
        <v>4</v>
      </c>
      <c r="T88" s="8">
        <f t="shared" si="14"/>
        <v>2.8</v>
      </c>
      <c r="U88" s="8">
        <f t="shared" si="14"/>
        <v>1.5999999999999999</v>
      </c>
      <c r="V88" s="8">
        <f t="shared" si="15"/>
        <v>10</v>
      </c>
      <c r="W88" s="8">
        <f t="shared" si="15"/>
        <v>8.8000000000000007</v>
      </c>
      <c r="X88" s="8">
        <f t="shared" si="15"/>
        <v>7.6000000000000005</v>
      </c>
      <c r="Y88" s="8">
        <f t="shared" si="15"/>
        <v>6.4</v>
      </c>
      <c r="Z88" s="8">
        <f t="shared" si="15"/>
        <v>5.2</v>
      </c>
      <c r="AA88" s="8">
        <f t="shared" si="15"/>
        <v>4</v>
      </c>
      <c r="AB88" s="8">
        <f t="shared" si="15"/>
        <v>2.8</v>
      </c>
      <c r="AC88" s="8" t="e">
        <f t="shared" si="15"/>
        <v>#N/A</v>
      </c>
    </row>
    <row r="89" spans="13:29">
      <c r="M89" s="14">
        <v>81</v>
      </c>
      <c r="N89" s="8">
        <f t="shared" ref="N89:U104" si="16">IF($M89&lt;=100/$G$15*$H$15,N$5,NA())</f>
        <v>10</v>
      </c>
      <c r="O89" s="8">
        <f t="shared" si="16"/>
        <v>8.8000000000000007</v>
      </c>
      <c r="P89" s="8">
        <f t="shared" si="16"/>
        <v>7.6000000000000005</v>
      </c>
      <c r="Q89" s="8">
        <f t="shared" si="16"/>
        <v>6.4</v>
      </c>
      <c r="R89" s="8">
        <f t="shared" si="16"/>
        <v>5.2</v>
      </c>
      <c r="S89" s="8">
        <f t="shared" si="16"/>
        <v>4</v>
      </c>
      <c r="T89" s="8">
        <f t="shared" si="16"/>
        <v>2.8</v>
      </c>
      <c r="U89" s="8">
        <f t="shared" si="16"/>
        <v>1.5999999999999999</v>
      </c>
      <c r="V89" s="8">
        <f t="shared" ref="V89:AC104" si="17">IF($M89&lt;=INDEX($K$5:$K$12,V$6)/$G$15*$H$15,V$5,NA())</f>
        <v>10</v>
      </c>
      <c r="W89" s="8">
        <f t="shared" si="17"/>
        <v>8.8000000000000007</v>
      </c>
      <c r="X89" s="8">
        <f t="shared" si="17"/>
        <v>7.6000000000000005</v>
      </c>
      <c r="Y89" s="8">
        <f t="shared" si="17"/>
        <v>6.4</v>
      </c>
      <c r="Z89" s="8">
        <f t="shared" si="17"/>
        <v>5.2</v>
      </c>
      <c r="AA89" s="8">
        <f t="shared" si="17"/>
        <v>4</v>
      </c>
      <c r="AB89" s="8">
        <f t="shared" si="17"/>
        <v>2.8</v>
      </c>
      <c r="AC89" s="8" t="e">
        <f t="shared" si="17"/>
        <v>#N/A</v>
      </c>
    </row>
    <row r="90" spans="13:29">
      <c r="M90" s="14">
        <v>82</v>
      </c>
      <c r="N90" s="8">
        <f t="shared" si="16"/>
        <v>10</v>
      </c>
      <c r="O90" s="8">
        <f t="shared" si="16"/>
        <v>8.8000000000000007</v>
      </c>
      <c r="P90" s="8">
        <f t="shared" si="16"/>
        <v>7.6000000000000005</v>
      </c>
      <c r="Q90" s="8">
        <f t="shared" si="16"/>
        <v>6.4</v>
      </c>
      <c r="R90" s="8">
        <f t="shared" si="16"/>
        <v>5.2</v>
      </c>
      <c r="S90" s="8">
        <f t="shared" si="16"/>
        <v>4</v>
      </c>
      <c r="T90" s="8">
        <f t="shared" si="16"/>
        <v>2.8</v>
      </c>
      <c r="U90" s="8">
        <f t="shared" si="16"/>
        <v>1.5999999999999999</v>
      </c>
      <c r="V90" s="8">
        <f t="shared" si="17"/>
        <v>10</v>
      </c>
      <c r="W90" s="8">
        <f t="shared" si="17"/>
        <v>8.8000000000000007</v>
      </c>
      <c r="X90" s="8">
        <f t="shared" si="17"/>
        <v>7.6000000000000005</v>
      </c>
      <c r="Y90" s="8">
        <f t="shared" si="17"/>
        <v>6.4</v>
      </c>
      <c r="Z90" s="8">
        <f t="shared" si="17"/>
        <v>5.2</v>
      </c>
      <c r="AA90" s="8">
        <f t="shared" si="17"/>
        <v>4</v>
      </c>
      <c r="AB90" s="8">
        <f t="shared" si="17"/>
        <v>2.8</v>
      </c>
      <c r="AC90" s="8" t="e">
        <f t="shared" si="17"/>
        <v>#N/A</v>
      </c>
    </row>
    <row r="91" spans="13:29">
      <c r="M91" s="14">
        <v>83</v>
      </c>
      <c r="N91" s="8">
        <f t="shared" si="16"/>
        <v>10</v>
      </c>
      <c r="O91" s="8">
        <f t="shared" si="16"/>
        <v>8.8000000000000007</v>
      </c>
      <c r="P91" s="8">
        <f t="shared" si="16"/>
        <v>7.6000000000000005</v>
      </c>
      <c r="Q91" s="8">
        <f t="shared" si="16"/>
        <v>6.4</v>
      </c>
      <c r="R91" s="8">
        <f t="shared" si="16"/>
        <v>5.2</v>
      </c>
      <c r="S91" s="8">
        <f t="shared" si="16"/>
        <v>4</v>
      </c>
      <c r="T91" s="8">
        <f t="shared" si="16"/>
        <v>2.8</v>
      </c>
      <c r="U91" s="8">
        <f t="shared" si="16"/>
        <v>1.5999999999999999</v>
      </c>
      <c r="V91" s="8">
        <f t="shared" si="17"/>
        <v>10</v>
      </c>
      <c r="W91" s="8">
        <f t="shared" si="17"/>
        <v>8.8000000000000007</v>
      </c>
      <c r="X91" s="8">
        <f t="shared" si="17"/>
        <v>7.6000000000000005</v>
      </c>
      <c r="Y91" s="8">
        <f t="shared" si="17"/>
        <v>6.4</v>
      </c>
      <c r="Z91" s="8">
        <f t="shared" si="17"/>
        <v>5.2</v>
      </c>
      <c r="AA91" s="8">
        <f t="shared" si="17"/>
        <v>4</v>
      </c>
      <c r="AB91" s="8">
        <f t="shared" si="17"/>
        <v>2.8</v>
      </c>
      <c r="AC91" s="8" t="e">
        <f t="shared" si="17"/>
        <v>#N/A</v>
      </c>
    </row>
    <row r="92" spans="13:29">
      <c r="M92" s="14">
        <v>84</v>
      </c>
      <c r="N92" s="8">
        <f t="shared" si="16"/>
        <v>10</v>
      </c>
      <c r="O92" s="8">
        <f t="shared" si="16"/>
        <v>8.8000000000000007</v>
      </c>
      <c r="P92" s="8">
        <f t="shared" si="16"/>
        <v>7.6000000000000005</v>
      </c>
      <c r="Q92" s="8">
        <f t="shared" si="16"/>
        <v>6.4</v>
      </c>
      <c r="R92" s="8">
        <f t="shared" si="16"/>
        <v>5.2</v>
      </c>
      <c r="S92" s="8">
        <f t="shared" si="16"/>
        <v>4</v>
      </c>
      <c r="T92" s="8">
        <f t="shared" si="16"/>
        <v>2.8</v>
      </c>
      <c r="U92" s="8">
        <f t="shared" si="16"/>
        <v>1.5999999999999999</v>
      </c>
      <c r="V92" s="8">
        <f t="shared" si="17"/>
        <v>10</v>
      </c>
      <c r="W92" s="8">
        <f t="shared" si="17"/>
        <v>8.8000000000000007</v>
      </c>
      <c r="X92" s="8">
        <f t="shared" si="17"/>
        <v>7.6000000000000005</v>
      </c>
      <c r="Y92" s="8">
        <f t="shared" si="17"/>
        <v>6.4</v>
      </c>
      <c r="Z92" s="8">
        <f t="shared" si="17"/>
        <v>5.2</v>
      </c>
      <c r="AA92" s="8">
        <f t="shared" si="17"/>
        <v>4</v>
      </c>
      <c r="AB92" s="8">
        <f t="shared" si="17"/>
        <v>2.8</v>
      </c>
      <c r="AC92" s="8" t="e">
        <f t="shared" si="17"/>
        <v>#N/A</v>
      </c>
    </row>
    <row r="93" spans="13:29">
      <c r="M93" s="14">
        <v>85</v>
      </c>
      <c r="N93" s="8">
        <f t="shared" si="16"/>
        <v>10</v>
      </c>
      <c r="O93" s="8">
        <f t="shared" si="16"/>
        <v>8.8000000000000007</v>
      </c>
      <c r="P93" s="8">
        <f t="shared" si="16"/>
        <v>7.6000000000000005</v>
      </c>
      <c r="Q93" s="8">
        <f t="shared" si="16"/>
        <v>6.4</v>
      </c>
      <c r="R93" s="8">
        <f t="shared" si="16"/>
        <v>5.2</v>
      </c>
      <c r="S93" s="8">
        <f t="shared" si="16"/>
        <v>4</v>
      </c>
      <c r="T93" s="8">
        <f t="shared" si="16"/>
        <v>2.8</v>
      </c>
      <c r="U93" s="8">
        <f t="shared" si="16"/>
        <v>1.5999999999999999</v>
      </c>
      <c r="V93" s="8">
        <f t="shared" si="17"/>
        <v>10</v>
      </c>
      <c r="W93" s="8">
        <f t="shared" si="17"/>
        <v>8.8000000000000007</v>
      </c>
      <c r="X93" s="8">
        <f t="shared" si="17"/>
        <v>7.6000000000000005</v>
      </c>
      <c r="Y93" s="8">
        <f t="shared" si="17"/>
        <v>6.4</v>
      </c>
      <c r="Z93" s="8">
        <f t="shared" si="17"/>
        <v>5.2</v>
      </c>
      <c r="AA93" s="8">
        <f t="shared" si="17"/>
        <v>4</v>
      </c>
      <c r="AB93" s="8">
        <f t="shared" si="17"/>
        <v>2.8</v>
      </c>
      <c r="AC93" s="8" t="e">
        <f t="shared" si="17"/>
        <v>#N/A</v>
      </c>
    </row>
    <row r="94" spans="13:29">
      <c r="M94" s="14">
        <v>86</v>
      </c>
      <c r="N94" s="8">
        <f t="shared" si="16"/>
        <v>10</v>
      </c>
      <c r="O94" s="8">
        <f t="shared" si="16"/>
        <v>8.8000000000000007</v>
      </c>
      <c r="P94" s="8">
        <f t="shared" si="16"/>
        <v>7.6000000000000005</v>
      </c>
      <c r="Q94" s="8">
        <f t="shared" si="16"/>
        <v>6.4</v>
      </c>
      <c r="R94" s="8">
        <f t="shared" si="16"/>
        <v>5.2</v>
      </c>
      <c r="S94" s="8">
        <f t="shared" si="16"/>
        <v>4</v>
      </c>
      <c r="T94" s="8">
        <f t="shared" si="16"/>
        <v>2.8</v>
      </c>
      <c r="U94" s="8">
        <f t="shared" si="16"/>
        <v>1.5999999999999999</v>
      </c>
      <c r="V94" s="8">
        <f t="shared" si="17"/>
        <v>10</v>
      </c>
      <c r="W94" s="8">
        <f t="shared" si="17"/>
        <v>8.8000000000000007</v>
      </c>
      <c r="X94" s="8">
        <f t="shared" si="17"/>
        <v>7.6000000000000005</v>
      </c>
      <c r="Y94" s="8">
        <f t="shared" si="17"/>
        <v>6.4</v>
      </c>
      <c r="Z94" s="8">
        <f t="shared" si="17"/>
        <v>5.2</v>
      </c>
      <c r="AA94" s="8">
        <f t="shared" si="17"/>
        <v>4</v>
      </c>
      <c r="AB94" s="8">
        <f t="shared" si="17"/>
        <v>2.8</v>
      </c>
      <c r="AC94" s="8" t="e">
        <f t="shared" si="17"/>
        <v>#N/A</v>
      </c>
    </row>
    <row r="95" spans="13:29">
      <c r="M95" s="14">
        <v>87</v>
      </c>
      <c r="N95" s="8">
        <f t="shared" si="16"/>
        <v>10</v>
      </c>
      <c r="O95" s="8">
        <f t="shared" si="16"/>
        <v>8.8000000000000007</v>
      </c>
      <c r="P95" s="8">
        <f t="shared" si="16"/>
        <v>7.6000000000000005</v>
      </c>
      <c r="Q95" s="8">
        <f t="shared" si="16"/>
        <v>6.4</v>
      </c>
      <c r="R95" s="8">
        <f t="shared" si="16"/>
        <v>5.2</v>
      </c>
      <c r="S95" s="8">
        <f t="shared" si="16"/>
        <v>4</v>
      </c>
      <c r="T95" s="8">
        <f t="shared" si="16"/>
        <v>2.8</v>
      </c>
      <c r="U95" s="8">
        <f t="shared" si="16"/>
        <v>1.5999999999999999</v>
      </c>
      <c r="V95" s="8">
        <f t="shared" si="17"/>
        <v>10</v>
      </c>
      <c r="W95" s="8">
        <f t="shared" si="17"/>
        <v>8.8000000000000007</v>
      </c>
      <c r="X95" s="8">
        <f t="shared" si="17"/>
        <v>7.6000000000000005</v>
      </c>
      <c r="Y95" s="8">
        <f t="shared" si="17"/>
        <v>6.4</v>
      </c>
      <c r="Z95" s="8">
        <f t="shared" si="17"/>
        <v>5.2</v>
      </c>
      <c r="AA95" s="8">
        <f t="shared" si="17"/>
        <v>4</v>
      </c>
      <c r="AB95" s="8">
        <f t="shared" si="17"/>
        <v>2.8</v>
      </c>
      <c r="AC95" s="8" t="e">
        <f t="shared" si="17"/>
        <v>#N/A</v>
      </c>
    </row>
    <row r="96" spans="13:29">
      <c r="M96" s="14">
        <v>88</v>
      </c>
      <c r="N96" s="8">
        <f t="shared" si="16"/>
        <v>10</v>
      </c>
      <c r="O96" s="8">
        <f t="shared" si="16"/>
        <v>8.8000000000000007</v>
      </c>
      <c r="P96" s="8">
        <f t="shared" si="16"/>
        <v>7.6000000000000005</v>
      </c>
      <c r="Q96" s="8">
        <f t="shared" si="16"/>
        <v>6.4</v>
      </c>
      <c r="R96" s="8">
        <f t="shared" si="16"/>
        <v>5.2</v>
      </c>
      <c r="S96" s="8">
        <f t="shared" si="16"/>
        <v>4</v>
      </c>
      <c r="T96" s="8">
        <f t="shared" si="16"/>
        <v>2.8</v>
      </c>
      <c r="U96" s="8">
        <f t="shared" si="16"/>
        <v>1.5999999999999999</v>
      </c>
      <c r="V96" s="8">
        <f t="shared" si="17"/>
        <v>10</v>
      </c>
      <c r="W96" s="8">
        <f t="shared" si="17"/>
        <v>8.8000000000000007</v>
      </c>
      <c r="X96" s="8">
        <f t="shared" si="17"/>
        <v>7.6000000000000005</v>
      </c>
      <c r="Y96" s="8">
        <f t="shared" si="17"/>
        <v>6.4</v>
      </c>
      <c r="Z96" s="8">
        <f t="shared" si="17"/>
        <v>5.2</v>
      </c>
      <c r="AA96" s="8">
        <f t="shared" si="17"/>
        <v>4</v>
      </c>
      <c r="AB96" s="8">
        <f t="shared" si="17"/>
        <v>2.8</v>
      </c>
      <c r="AC96" s="8" t="e">
        <f t="shared" si="17"/>
        <v>#N/A</v>
      </c>
    </row>
    <row r="97" spans="13:29">
      <c r="M97" s="14">
        <v>89</v>
      </c>
      <c r="N97" s="8">
        <f t="shared" si="16"/>
        <v>10</v>
      </c>
      <c r="O97" s="8">
        <f t="shared" si="16"/>
        <v>8.8000000000000007</v>
      </c>
      <c r="P97" s="8">
        <f t="shared" si="16"/>
        <v>7.6000000000000005</v>
      </c>
      <c r="Q97" s="8">
        <f t="shared" si="16"/>
        <v>6.4</v>
      </c>
      <c r="R97" s="8">
        <f t="shared" si="16"/>
        <v>5.2</v>
      </c>
      <c r="S97" s="8">
        <f t="shared" si="16"/>
        <v>4</v>
      </c>
      <c r="T97" s="8">
        <f t="shared" si="16"/>
        <v>2.8</v>
      </c>
      <c r="U97" s="8">
        <f t="shared" si="16"/>
        <v>1.5999999999999999</v>
      </c>
      <c r="V97" s="8">
        <f t="shared" si="17"/>
        <v>10</v>
      </c>
      <c r="W97" s="8">
        <f t="shared" si="17"/>
        <v>8.8000000000000007</v>
      </c>
      <c r="X97" s="8">
        <f t="shared" si="17"/>
        <v>7.6000000000000005</v>
      </c>
      <c r="Y97" s="8">
        <f t="shared" si="17"/>
        <v>6.4</v>
      </c>
      <c r="Z97" s="8">
        <f t="shared" si="17"/>
        <v>5.2</v>
      </c>
      <c r="AA97" s="8">
        <f t="shared" si="17"/>
        <v>4</v>
      </c>
      <c r="AB97" s="8">
        <f t="shared" si="17"/>
        <v>2.8</v>
      </c>
      <c r="AC97" s="8" t="e">
        <f t="shared" si="17"/>
        <v>#N/A</v>
      </c>
    </row>
    <row r="98" spans="13:29">
      <c r="M98" s="14">
        <v>90</v>
      </c>
      <c r="N98" s="8">
        <f t="shared" si="16"/>
        <v>10</v>
      </c>
      <c r="O98" s="8">
        <f t="shared" si="16"/>
        <v>8.8000000000000007</v>
      </c>
      <c r="P98" s="8">
        <f t="shared" si="16"/>
        <v>7.6000000000000005</v>
      </c>
      <c r="Q98" s="8">
        <f t="shared" si="16"/>
        <v>6.4</v>
      </c>
      <c r="R98" s="8">
        <f t="shared" si="16"/>
        <v>5.2</v>
      </c>
      <c r="S98" s="8">
        <f t="shared" si="16"/>
        <v>4</v>
      </c>
      <c r="T98" s="8">
        <f t="shared" si="16"/>
        <v>2.8</v>
      </c>
      <c r="U98" s="8">
        <f t="shared" si="16"/>
        <v>1.5999999999999999</v>
      </c>
      <c r="V98" s="8">
        <f t="shared" si="17"/>
        <v>10</v>
      </c>
      <c r="W98" s="8">
        <f t="shared" si="17"/>
        <v>8.8000000000000007</v>
      </c>
      <c r="X98" s="8">
        <f t="shared" si="17"/>
        <v>7.6000000000000005</v>
      </c>
      <c r="Y98" s="8">
        <f t="shared" si="17"/>
        <v>6.4</v>
      </c>
      <c r="Z98" s="8">
        <f t="shared" si="17"/>
        <v>5.2</v>
      </c>
      <c r="AA98" s="8">
        <f t="shared" si="17"/>
        <v>4</v>
      </c>
      <c r="AB98" s="8">
        <f t="shared" si="17"/>
        <v>2.8</v>
      </c>
      <c r="AC98" s="8" t="e">
        <f t="shared" si="17"/>
        <v>#N/A</v>
      </c>
    </row>
    <row r="99" spans="13:29">
      <c r="M99" s="14">
        <v>91</v>
      </c>
      <c r="N99" s="8">
        <f t="shared" si="16"/>
        <v>10</v>
      </c>
      <c r="O99" s="8">
        <f t="shared" si="16"/>
        <v>8.8000000000000007</v>
      </c>
      <c r="P99" s="8">
        <f t="shared" si="16"/>
        <v>7.6000000000000005</v>
      </c>
      <c r="Q99" s="8">
        <f t="shared" si="16"/>
        <v>6.4</v>
      </c>
      <c r="R99" s="8">
        <f t="shared" si="16"/>
        <v>5.2</v>
      </c>
      <c r="S99" s="8">
        <f t="shared" si="16"/>
        <v>4</v>
      </c>
      <c r="T99" s="8">
        <f t="shared" si="16"/>
        <v>2.8</v>
      </c>
      <c r="U99" s="8">
        <f t="shared" si="16"/>
        <v>1.5999999999999999</v>
      </c>
      <c r="V99" s="8">
        <f t="shared" si="17"/>
        <v>10</v>
      </c>
      <c r="W99" s="8">
        <f t="shared" si="17"/>
        <v>8.8000000000000007</v>
      </c>
      <c r="X99" s="8">
        <f t="shared" si="17"/>
        <v>7.6000000000000005</v>
      </c>
      <c r="Y99" s="8">
        <f t="shared" si="17"/>
        <v>6.4</v>
      </c>
      <c r="Z99" s="8">
        <f t="shared" si="17"/>
        <v>5.2</v>
      </c>
      <c r="AA99" s="8">
        <f t="shared" si="17"/>
        <v>4</v>
      </c>
      <c r="AB99" s="8">
        <f t="shared" si="17"/>
        <v>2.8</v>
      </c>
      <c r="AC99" s="8" t="e">
        <f t="shared" si="17"/>
        <v>#N/A</v>
      </c>
    </row>
    <row r="100" spans="13:29">
      <c r="M100" s="14">
        <v>92</v>
      </c>
      <c r="N100" s="8">
        <f t="shared" si="16"/>
        <v>10</v>
      </c>
      <c r="O100" s="8">
        <f t="shared" si="16"/>
        <v>8.8000000000000007</v>
      </c>
      <c r="P100" s="8">
        <f t="shared" si="16"/>
        <v>7.6000000000000005</v>
      </c>
      <c r="Q100" s="8">
        <f t="shared" si="16"/>
        <v>6.4</v>
      </c>
      <c r="R100" s="8">
        <f t="shared" si="16"/>
        <v>5.2</v>
      </c>
      <c r="S100" s="8">
        <f t="shared" si="16"/>
        <v>4</v>
      </c>
      <c r="T100" s="8">
        <f t="shared" si="16"/>
        <v>2.8</v>
      </c>
      <c r="U100" s="8">
        <f t="shared" si="16"/>
        <v>1.5999999999999999</v>
      </c>
      <c r="V100" s="8">
        <f t="shared" si="17"/>
        <v>10</v>
      </c>
      <c r="W100" s="8">
        <f t="shared" si="17"/>
        <v>8.8000000000000007</v>
      </c>
      <c r="X100" s="8">
        <f t="shared" si="17"/>
        <v>7.6000000000000005</v>
      </c>
      <c r="Y100" s="8">
        <f t="shared" si="17"/>
        <v>6.4</v>
      </c>
      <c r="Z100" s="8">
        <f t="shared" si="17"/>
        <v>5.2</v>
      </c>
      <c r="AA100" s="8">
        <f t="shared" si="17"/>
        <v>4</v>
      </c>
      <c r="AB100" s="8">
        <f t="shared" si="17"/>
        <v>2.8</v>
      </c>
      <c r="AC100" s="8" t="e">
        <f t="shared" si="17"/>
        <v>#N/A</v>
      </c>
    </row>
    <row r="101" spans="13:29">
      <c r="M101" s="14">
        <v>93</v>
      </c>
      <c r="N101" s="8">
        <f t="shared" si="16"/>
        <v>10</v>
      </c>
      <c r="O101" s="8">
        <f t="shared" si="16"/>
        <v>8.8000000000000007</v>
      </c>
      <c r="P101" s="8">
        <f t="shared" si="16"/>
        <v>7.6000000000000005</v>
      </c>
      <c r="Q101" s="8">
        <f t="shared" si="16"/>
        <v>6.4</v>
      </c>
      <c r="R101" s="8">
        <f t="shared" si="16"/>
        <v>5.2</v>
      </c>
      <c r="S101" s="8">
        <f t="shared" si="16"/>
        <v>4</v>
      </c>
      <c r="T101" s="8">
        <f t="shared" si="16"/>
        <v>2.8</v>
      </c>
      <c r="U101" s="8">
        <f t="shared" si="16"/>
        <v>1.5999999999999999</v>
      </c>
      <c r="V101" s="8">
        <f t="shared" si="17"/>
        <v>10</v>
      </c>
      <c r="W101" s="8">
        <f t="shared" si="17"/>
        <v>8.8000000000000007</v>
      </c>
      <c r="X101" s="8">
        <f t="shared" si="17"/>
        <v>7.6000000000000005</v>
      </c>
      <c r="Y101" s="8">
        <f t="shared" si="17"/>
        <v>6.4</v>
      </c>
      <c r="Z101" s="8">
        <f t="shared" si="17"/>
        <v>5.2</v>
      </c>
      <c r="AA101" s="8">
        <f t="shared" si="17"/>
        <v>4</v>
      </c>
      <c r="AB101" s="8">
        <f t="shared" si="17"/>
        <v>2.8</v>
      </c>
      <c r="AC101" s="8" t="e">
        <f t="shared" si="17"/>
        <v>#N/A</v>
      </c>
    </row>
    <row r="102" spans="13:29">
      <c r="M102" s="14">
        <v>94</v>
      </c>
      <c r="N102" s="8">
        <f t="shared" si="16"/>
        <v>10</v>
      </c>
      <c r="O102" s="8">
        <f t="shared" si="16"/>
        <v>8.8000000000000007</v>
      </c>
      <c r="P102" s="8">
        <f t="shared" si="16"/>
        <v>7.6000000000000005</v>
      </c>
      <c r="Q102" s="8">
        <f t="shared" si="16"/>
        <v>6.4</v>
      </c>
      <c r="R102" s="8">
        <f t="shared" si="16"/>
        <v>5.2</v>
      </c>
      <c r="S102" s="8">
        <f t="shared" si="16"/>
        <v>4</v>
      </c>
      <c r="T102" s="8">
        <f t="shared" si="16"/>
        <v>2.8</v>
      </c>
      <c r="U102" s="8">
        <f t="shared" si="16"/>
        <v>1.5999999999999999</v>
      </c>
      <c r="V102" s="8">
        <f t="shared" si="17"/>
        <v>10</v>
      </c>
      <c r="W102" s="8">
        <f t="shared" si="17"/>
        <v>8.8000000000000007</v>
      </c>
      <c r="X102" s="8">
        <f t="shared" si="17"/>
        <v>7.6000000000000005</v>
      </c>
      <c r="Y102" s="8">
        <f t="shared" si="17"/>
        <v>6.4</v>
      </c>
      <c r="Z102" s="8">
        <f t="shared" si="17"/>
        <v>5.2</v>
      </c>
      <c r="AA102" s="8">
        <f t="shared" si="17"/>
        <v>4</v>
      </c>
      <c r="AB102" s="8">
        <f t="shared" si="17"/>
        <v>2.8</v>
      </c>
      <c r="AC102" s="8" t="e">
        <f t="shared" si="17"/>
        <v>#N/A</v>
      </c>
    </row>
    <row r="103" spans="13:29">
      <c r="M103" s="14">
        <v>95</v>
      </c>
      <c r="N103" s="8">
        <f t="shared" si="16"/>
        <v>10</v>
      </c>
      <c r="O103" s="8">
        <f t="shared" si="16"/>
        <v>8.8000000000000007</v>
      </c>
      <c r="P103" s="8">
        <f t="shared" si="16"/>
        <v>7.6000000000000005</v>
      </c>
      <c r="Q103" s="8">
        <f t="shared" si="16"/>
        <v>6.4</v>
      </c>
      <c r="R103" s="8">
        <f t="shared" si="16"/>
        <v>5.2</v>
      </c>
      <c r="S103" s="8">
        <f t="shared" si="16"/>
        <v>4</v>
      </c>
      <c r="T103" s="8">
        <f t="shared" si="16"/>
        <v>2.8</v>
      </c>
      <c r="U103" s="8">
        <f t="shared" si="16"/>
        <v>1.5999999999999999</v>
      </c>
      <c r="V103" s="8">
        <f t="shared" si="17"/>
        <v>10</v>
      </c>
      <c r="W103" s="8">
        <f t="shared" si="17"/>
        <v>8.8000000000000007</v>
      </c>
      <c r="X103" s="8">
        <f t="shared" si="17"/>
        <v>7.6000000000000005</v>
      </c>
      <c r="Y103" s="8">
        <f t="shared" si="17"/>
        <v>6.4</v>
      </c>
      <c r="Z103" s="8">
        <f t="shared" si="17"/>
        <v>5.2</v>
      </c>
      <c r="AA103" s="8">
        <f t="shared" si="17"/>
        <v>4</v>
      </c>
      <c r="AB103" s="8">
        <f t="shared" si="17"/>
        <v>2.8</v>
      </c>
      <c r="AC103" s="8" t="e">
        <f t="shared" si="17"/>
        <v>#N/A</v>
      </c>
    </row>
    <row r="104" spans="13:29">
      <c r="M104" s="14">
        <v>96</v>
      </c>
      <c r="N104" s="8">
        <f t="shared" si="16"/>
        <v>10</v>
      </c>
      <c r="O104" s="8">
        <f t="shared" si="16"/>
        <v>8.8000000000000007</v>
      </c>
      <c r="P104" s="8">
        <f t="shared" si="16"/>
        <v>7.6000000000000005</v>
      </c>
      <c r="Q104" s="8">
        <f t="shared" si="16"/>
        <v>6.4</v>
      </c>
      <c r="R104" s="8">
        <f t="shared" si="16"/>
        <v>5.2</v>
      </c>
      <c r="S104" s="8">
        <f t="shared" si="16"/>
        <v>4</v>
      </c>
      <c r="T104" s="8">
        <f t="shared" si="16"/>
        <v>2.8</v>
      </c>
      <c r="U104" s="8">
        <f t="shared" si="16"/>
        <v>1.5999999999999999</v>
      </c>
      <c r="V104" s="8">
        <f t="shared" si="17"/>
        <v>10</v>
      </c>
      <c r="W104" s="8">
        <f t="shared" si="17"/>
        <v>8.8000000000000007</v>
      </c>
      <c r="X104" s="8">
        <f t="shared" si="17"/>
        <v>7.6000000000000005</v>
      </c>
      <c r="Y104" s="8">
        <f t="shared" si="17"/>
        <v>6.4</v>
      </c>
      <c r="Z104" s="8">
        <f t="shared" si="17"/>
        <v>5.2</v>
      </c>
      <c r="AA104" s="8">
        <f t="shared" si="17"/>
        <v>4</v>
      </c>
      <c r="AB104" s="8">
        <f t="shared" si="17"/>
        <v>2.8</v>
      </c>
      <c r="AC104" s="8" t="e">
        <f t="shared" si="17"/>
        <v>#N/A</v>
      </c>
    </row>
    <row r="105" spans="13:29">
      <c r="M105" s="14">
        <v>97</v>
      </c>
      <c r="N105" s="8">
        <f t="shared" ref="N105:U120" si="18">IF($M105&lt;=100/$G$15*$H$15,N$5,NA())</f>
        <v>10</v>
      </c>
      <c r="O105" s="8">
        <f t="shared" si="18"/>
        <v>8.8000000000000007</v>
      </c>
      <c r="P105" s="8">
        <f t="shared" si="18"/>
        <v>7.6000000000000005</v>
      </c>
      <c r="Q105" s="8">
        <f t="shared" si="18"/>
        <v>6.4</v>
      </c>
      <c r="R105" s="8">
        <f t="shared" si="18"/>
        <v>5.2</v>
      </c>
      <c r="S105" s="8">
        <f t="shared" si="18"/>
        <v>4</v>
      </c>
      <c r="T105" s="8">
        <f t="shared" si="18"/>
        <v>2.8</v>
      </c>
      <c r="U105" s="8">
        <f t="shared" si="18"/>
        <v>1.5999999999999999</v>
      </c>
      <c r="V105" s="8">
        <f t="shared" ref="V105:AC120" si="19">IF($M105&lt;=INDEX($K$5:$K$12,V$6)/$G$15*$H$15,V$5,NA())</f>
        <v>10</v>
      </c>
      <c r="W105" s="8">
        <f t="shared" si="19"/>
        <v>8.8000000000000007</v>
      </c>
      <c r="X105" s="8">
        <f t="shared" si="19"/>
        <v>7.6000000000000005</v>
      </c>
      <c r="Y105" s="8">
        <f t="shared" si="19"/>
        <v>6.4</v>
      </c>
      <c r="Z105" s="8">
        <f t="shared" si="19"/>
        <v>5.2</v>
      </c>
      <c r="AA105" s="8">
        <f t="shared" si="19"/>
        <v>4</v>
      </c>
      <c r="AB105" s="8">
        <f t="shared" si="19"/>
        <v>2.8</v>
      </c>
      <c r="AC105" s="8" t="e">
        <f t="shared" si="19"/>
        <v>#N/A</v>
      </c>
    </row>
    <row r="106" spans="13:29">
      <c r="M106" s="14">
        <v>98</v>
      </c>
      <c r="N106" s="8">
        <f t="shared" si="18"/>
        <v>10</v>
      </c>
      <c r="O106" s="8">
        <f t="shared" si="18"/>
        <v>8.8000000000000007</v>
      </c>
      <c r="P106" s="8">
        <f t="shared" si="18"/>
        <v>7.6000000000000005</v>
      </c>
      <c r="Q106" s="8">
        <f t="shared" si="18"/>
        <v>6.4</v>
      </c>
      <c r="R106" s="8">
        <f t="shared" si="18"/>
        <v>5.2</v>
      </c>
      <c r="S106" s="8">
        <f t="shared" si="18"/>
        <v>4</v>
      </c>
      <c r="T106" s="8">
        <f t="shared" si="18"/>
        <v>2.8</v>
      </c>
      <c r="U106" s="8">
        <f t="shared" si="18"/>
        <v>1.5999999999999999</v>
      </c>
      <c r="V106" s="8">
        <f t="shared" si="19"/>
        <v>10</v>
      </c>
      <c r="W106" s="8">
        <f t="shared" si="19"/>
        <v>8.8000000000000007</v>
      </c>
      <c r="X106" s="8">
        <f t="shared" si="19"/>
        <v>7.6000000000000005</v>
      </c>
      <c r="Y106" s="8">
        <f t="shared" si="19"/>
        <v>6.4</v>
      </c>
      <c r="Z106" s="8">
        <f t="shared" si="19"/>
        <v>5.2</v>
      </c>
      <c r="AA106" s="8">
        <f t="shared" si="19"/>
        <v>4</v>
      </c>
      <c r="AB106" s="8">
        <f t="shared" si="19"/>
        <v>2.8</v>
      </c>
      <c r="AC106" s="8" t="e">
        <f t="shared" si="19"/>
        <v>#N/A</v>
      </c>
    </row>
    <row r="107" spans="13:29">
      <c r="M107" s="14">
        <v>99</v>
      </c>
      <c r="N107" s="8">
        <f t="shared" si="18"/>
        <v>10</v>
      </c>
      <c r="O107" s="8">
        <f t="shared" si="18"/>
        <v>8.8000000000000007</v>
      </c>
      <c r="P107" s="8">
        <f t="shared" si="18"/>
        <v>7.6000000000000005</v>
      </c>
      <c r="Q107" s="8">
        <f t="shared" si="18"/>
        <v>6.4</v>
      </c>
      <c r="R107" s="8">
        <f t="shared" si="18"/>
        <v>5.2</v>
      </c>
      <c r="S107" s="8">
        <f t="shared" si="18"/>
        <v>4</v>
      </c>
      <c r="T107" s="8">
        <f t="shared" si="18"/>
        <v>2.8</v>
      </c>
      <c r="U107" s="8">
        <f t="shared" si="18"/>
        <v>1.5999999999999999</v>
      </c>
      <c r="V107" s="8">
        <f t="shared" si="19"/>
        <v>10</v>
      </c>
      <c r="W107" s="8">
        <f t="shared" si="19"/>
        <v>8.8000000000000007</v>
      </c>
      <c r="X107" s="8">
        <f t="shared" si="19"/>
        <v>7.6000000000000005</v>
      </c>
      <c r="Y107" s="8">
        <f t="shared" si="19"/>
        <v>6.4</v>
      </c>
      <c r="Z107" s="8">
        <f t="shared" si="19"/>
        <v>5.2</v>
      </c>
      <c r="AA107" s="8">
        <f t="shared" si="19"/>
        <v>4</v>
      </c>
      <c r="AB107" s="8">
        <f t="shared" si="19"/>
        <v>2.8</v>
      </c>
      <c r="AC107" s="8" t="e">
        <f t="shared" si="19"/>
        <v>#N/A</v>
      </c>
    </row>
    <row r="108" spans="13:29">
      <c r="M108" s="14">
        <v>100</v>
      </c>
      <c r="N108" s="8">
        <f t="shared" si="18"/>
        <v>10</v>
      </c>
      <c r="O108" s="8">
        <f t="shared" si="18"/>
        <v>8.8000000000000007</v>
      </c>
      <c r="P108" s="8">
        <f t="shared" si="18"/>
        <v>7.6000000000000005</v>
      </c>
      <c r="Q108" s="8">
        <f t="shared" si="18"/>
        <v>6.4</v>
      </c>
      <c r="R108" s="8">
        <f t="shared" si="18"/>
        <v>5.2</v>
      </c>
      <c r="S108" s="8">
        <f t="shared" si="18"/>
        <v>4</v>
      </c>
      <c r="T108" s="8">
        <f t="shared" si="18"/>
        <v>2.8</v>
      </c>
      <c r="U108" s="8">
        <f t="shared" si="18"/>
        <v>1.5999999999999999</v>
      </c>
      <c r="V108" s="8">
        <f t="shared" si="19"/>
        <v>10</v>
      </c>
      <c r="W108" s="8">
        <f t="shared" si="19"/>
        <v>8.8000000000000007</v>
      </c>
      <c r="X108" s="8">
        <f t="shared" si="19"/>
        <v>7.6000000000000005</v>
      </c>
      <c r="Y108" s="8">
        <f t="shared" si="19"/>
        <v>6.4</v>
      </c>
      <c r="Z108" s="8">
        <f t="shared" si="19"/>
        <v>5.2</v>
      </c>
      <c r="AA108" s="8">
        <f t="shared" si="19"/>
        <v>4</v>
      </c>
      <c r="AB108" s="8">
        <f t="shared" si="19"/>
        <v>2.8</v>
      </c>
      <c r="AC108" s="8" t="e">
        <f t="shared" si="19"/>
        <v>#N/A</v>
      </c>
    </row>
    <row r="109" spans="13:29">
      <c r="M109" s="14">
        <v>101</v>
      </c>
      <c r="N109" s="8">
        <f t="shared" si="18"/>
        <v>10</v>
      </c>
      <c r="O109" s="8">
        <f t="shared" si="18"/>
        <v>8.8000000000000007</v>
      </c>
      <c r="P109" s="8">
        <f t="shared" si="18"/>
        <v>7.6000000000000005</v>
      </c>
      <c r="Q109" s="8">
        <f t="shared" si="18"/>
        <v>6.4</v>
      </c>
      <c r="R109" s="8">
        <f t="shared" si="18"/>
        <v>5.2</v>
      </c>
      <c r="S109" s="8">
        <f t="shared" si="18"/>
        <v>4</v>
      </c>
      <c r="T109" s="8">
        <f t="shared" si="18"/>
        <v>2.8</v>
      </c>
      <c r="U109" s="8">
        <f t="shared" si="18"/>
        <v>1.5999999999999999</v>
      </c>
      <c r="V109" s="8">
        <f t="shared" si="19"/>
        <v>10</v>
      </c>
      <c r="W109" s="8">
        <f t="shared" si="19"/>
        <v>8.8000000000000007</v>
      </c>
      <c r="X109" s="8">
        <f t="shared" si="19"/>
        <v>7.6000000000000005</v>
      </c>
      <c r="Y109" s="8">
        <f t="shared" si="19"/>
        <v>6.4</v>
      </c>
      <c r="Z109" s="8">
        <f t="shared" si="19"/>
        <v>5.2</v>
      </c>
      <c r="AA109" s="8">
        <f t="shared" si="19"/>
        <v>4</v>
      </c>
      <c r="AB109" s="8">
        <f t="shared" si="19"/>
        <v>2.8</v>
      </c>
      <c r="AC109" s="8" t="e">
        <f t="shared" si="19"/>
        <v>#N/A</v>
      </c>
    </row>
    <row r="110" spans="13:29">
      <c r="M110" s="14">
        <v>102</v>
      </c>
      <c r="N110" s="8">
        <f t="shared" si="18"/>
        <v>10</v>
      </c>
      <c r="O110" s="8">
        <f t="shared" si="18"/>
        <v>8.8000000000000007</v>
      </c>
      <c r="P110" s="8">
        <f t="shared" si="18"/>
        <v>7.6000000000000005</v>
      </c>
      <c r="Q110" s="8">
        <f t="shared" si="18"/>
        <v>6.4</v>
      </c>
      <c r="R110" s="8">
        <f t="shared" si="18"/>
        <v>5.2</v>
      </c>
      <c r="S110" s="8">
        <f t="shared" si="18"/>
        <v>4</v>
      </c>
      <c r="T110" s="8">
        <f t="shared" si="18"/>
        <v>2.8</v>
      </c>
      <c r="U110" s="8">
        <f t="shared" si="18"/>
        <v>1.5999999999999999</v>
      </c>
      <c r="V110" s="8">
        <f t="shared" si="19"/>
        <v>10</v>
      </c>
      <c r="W110" s="8">
        <f t="shared" si="19"/>
        <v>8.8000000000000007</v>
      </c>
      <c r="X110" s="8">
        <f t="shared" si="19"/>
        <v>7.6000000000000005</v>
      </c>
      <c r="Y110" s="8">
        <f t="shared" si="19"/>
        <v>6.4</v>
      </c>
      <c r="Z110" s="8">
        <f t="shared" si="19"/>
        <v>5.2</v>
      </c>
      <c r="AA110" s="8">
        <f t="shared" si="19"/>
        <v>4</v>
      </c>
      <c r="AB110" s="8">
        <f t="shared" si="19"/>
        <v>2.8</v>
      </c>
      <c r="AC110" s="8" t="e">
        <f t="shared" si="19"/>
        <v>#N/A</v>
      </c>
    </row>
    <row r="111" spans="13:29">
      <c r="M111" s="14">
        <v>103</v>
      </c>
      <c r="N111" s="8">
        <f t="shared" si="18"/>
        <v>10</v>
      </c>
      <c r="O111" s="8">
        <f t="shared" si="18"/>
        <v>8.8000000000000007</v>
      </c>
      <c r="P111" s="8">
        <f t="shared" si="18"/>
        <v>7.6000000000000005</v>
      </c>
      <c r="Q111" s="8">
        <f t="shared" si="18"/>
        <v>6.4</v>
      </c>
      <c r="R111" s="8">
        <f t="shared" si="18"/>
        <v>5.2</v>
      </c>
      <c r="S111" s="8">
        <f t="shared" si="18"/>
        <v>4</v>
      </c>
      <c r="T111" s="8">
        <f t="shared" si="18"/>
        <v>2.8</v>
      </c>
      <c r="U111" s="8">
        <f t="shared" si="18"/>
        <v>1.5999999999999999</v>
      </c>
      <c r="V111" s="8">
        <f t="shared" si="19"/>
        <v>10</v>
      </c>
      <c r="W111" s="8">
        <f t="shared" si="19"/>
        <v>8.8000000000000007</v>
      </c>
      <c r="X111" s="8">
        <f t="shared" si="19"/>
        <v>7.6000000000000005</v>
      </c>
      <c r="Y111" s="8">
        <f t="shared" si="19"/>
        <v>6.4</v>
      </c>
      <c r="Z111" s="8">
        <f t="shared" si="19"/>
        <v>5.2</v>
      </c>
      <c r="AA111" s="8">
        <f t="shared" si="19"/>
        <v>4</v>
      </c>
      <c r="AB111" s="8">
        <f t="shared" si="19"/>
        <v>2.8</v>
      </c>
      <c r="AC111" s="8" t="e">
        <f t="shared" si="19"/>
        <v>#N/A</v>
      </c>
    </row>
    <row r="112" spans="13:29">
      <c r="M112" s="14">
        <v>104</v>
      </c>
      <c r="N112" s="8">
        <f t="shared" si="18"/>
        <v>10</v>
      </c>
      <c r="O112" s="8">
        <f t="shared" si="18"/>
        <v>8.8000000000000007</v>
      </c>
      <c r="P112" s="8">
        <f t="shared" si="18"/>
        <v>7.6000000000000005</v>
      </c>
      <c r="Q112" s="8">
        <f t="shared" si="18"/>
        <v>6.4</v>
      </c>
      <c r="R112" s="8">
        <f t="shared" si="18"/>
        <v>5.2</v>
      </c>
      <c r="S112" s="8">
        <f t="shared" si="18"/>
        <v>4</v>
      </c>
      <c r="T112" s="8">
        <f t="shared" si="18"/>
        <v>2.8</v>
      </c>
      <c r="U112" s="8">
        <f t="shared" si="18"/>
        <v>1.5999999999999999</v>
      </c>
      <c r="V112" s="8">
        <f t="shared" si="19"/>
        <v>10</v>
      </c>
      <c r="W112" s="8">
        <f t="shared" si="19"/>
        <v>8.8000000000000007</v>
      </c>
      <c r="X112" s="8">
        <f t="shared" si="19"/>
        <v>7.6000000000000005</v>
      </c>
      <c r="Y112" s="8">
        <f t="shared" si="19"/>
        <v>6.4</v>
      </c>
      <c r="Z112" s="8">
        <f t="shared" si="19"/>
        <v>5.2</v>
      </c>
      <c r="AA112" s="8">
        <f t="shared" si="19"/>
        <v>4</v>
      </c>
      <c r="AB112" s="8">
        <f t="shared" si="19"/>
        <v>2.8</v>
      </c>
      <c r="AC112" s="8" t="e">
        <f t="shared" si="19"/>
        <v>#N/A</v>
      </c>
    </row>
    <row r="113" spans="13:29">
      <c r="M113" s="14">
        <v>105</v>
      </c>
      <c r="N113" s="8">
        <f t="shared" si="18"/>
        <v>10</v>
      </c>
      <c r="O113" s="8">
        <f t="shared" si="18"/>
        <v>8.8000000000000007</v>
      </c>
      <c r="P113" s="8">
        <f t="shared" si="18"/>
        <v>7.6000000000000005</v>
      </c>
      <c r="Q113" s="8">
        <f t="shared" si="18"/>
        <v>6.4</v>
      </c>
      <c r="R113" s="8">
        <f t="shared" si="18"/>
        <v>5.2</v>
      </c>
      <c r="S113" s="8">
        <f t="shared" si="18"/>
        <v>4</v>
      </c>
      <c r="T113" s="8">
        <f t="shared" si="18"/>
        <v>2.8</v>
      </c>
      <c r="U113" s="8">
        <f t="shared" si="18"/>
        <v>1.5999999999999999</v>
      </c>
      <c r="V113" s="8">
        <f t="shared" si="19"/>
        <v>10</v>
      </c>
      <c r="W113" s="8">
        <f t="shared" si="19"/>
        <v>8.8000000000000007</v>
      </c>
      <c r="X113" s="8">
        <f t="shared" si="19"/>
        <v>7.6000000000000005</v>
      </c>
      <c r="Y113" s="8">
        <f t="shared" si="19"/>
        <v>6.4</v>
      </c>
      <c r="Z113" s="8">
        <f t="shared" si="19"/>
        <v>5.2</v>
      </c>
      <c r="AA113" s="8">
        <f t="shared" si="19"/>
        <v>4</v>
      </c>
      <c r="AB113" s="8">
        <f t="shared" si="19"/>
        <v>2.8</v>
      </c>
      <c r="AC113" s="8" t="e">
        <f t="shared" si="19"/>
        <v>#N/A</v>
      </c>
    </row>
    <row r="114" spans="13:29">
      <c r="M114" s="14">
        <v>106</v>
      </c>
      <c r="N114" s="8">
        <f t="shared" si="18"/>
        <v>10</v>
      </c>
      <c r="O114" s="8">
        <f t="shared" si="18"/>
        <v>8.8000000000000007</v>
      </c>
      <c r="P114" s="8">
        <f t="shared" si="18"/>
        <v>7.6000000000000005</v>
      </c>
      <c r="Q114" s="8">
        <f t="shared" si="18"/>
        <v>6.4</v>
      </c>
      <c r="R114" s="8">
        <f t="shared" si="18"/>
        <v>5.2</v>
      </c>
      <c r="S114" s="8">
        <f t="shared" si="18"/>
        <v>4</v>
      </c>
      <c r="T114" s="8">
        <f t="shared" si="18"/>
        <v>2.8</v>
      </c>
      <c r="U114" s="8">
        <f t="shared" si="18"/>
        <v>1.5999999999999999</v>
      </c>
      <c r="V114" s="8">
        <f t="shared" si="19"/>
        <v>10</v>
      </c>
      <c r="W114" s="8">
        <f t="shared" si="19"/>
        <v>8.8000000000000007</v>
      </c>
      <c r="X114" s="8">
        <f t="shared" si="19"/>
        <v>7.6000000000000005</v>
      </c>
      <c r="Y114" s="8">
        <f t="shared" si="19"/>
        <v>6.4</v>
      </c>
      <c r="Z114" s="8">
        <f t="shared" si="19"/>
        <v>5.2</v>
      </c>
      <c r="AA114" s="8">
        <f t="shared" si="19"/>
        <v>4</v>
      </c>
      <c r="AB114" s="8">
        <f t="shared" si="19"/>
        <v>2.8</v>
      </c>
      <c r="AC114" s="8" t="e">
        <f t="shared" si="19"/>
        <v>#N/A</v>
      </c>
    </row>
    <row r="115" spans="13:29">
      <c r="M115" s="14">
        <v>107</v>
      </c>
      <c r="N115" s="8">
        <f t="shared" si="18"/>
        <v>10</v>
      </c>
      <c r="O115" s="8">
        <f t="shared" si="18"/>
        <v>8.8000000000000007</v>
      </c>
      <c r="P115" s="8">
        <f t="shared" si="18"/>
        <v>7.6000000000000005</v>
      </c>
      <c r="Q115" s="8">
        <f t="shared" si="18"/>
        <v>6.4</v>
      </c>
      <c r="R115" s="8">
        <f t="shared" si="18"/>
        <v>5.2</v>
      </c>
      <c r="S115" s="8">
        <f t="shared" si="18"/>
        <v>4</v>
      </c>
      <c r="T115" s="8">
        <f t="shared" si="18"/>
        <v>2.8</v>
      </c>
      <c r="U115" s="8">
        <f t="shared" si="18"/>
        <v>1.5999999999999999</v>
      </c>
      <c r="V115" s="8">
        <f t="shared" si="19"/>
        <v>10</v>
      </c>
      <c r="W115" s="8">
        <f t="shared" si="19"/>
        <v>8.8000000000000007</v>
      </c>
      <c r="X115" s="8">
        <f t="shared" si="19"/>
        <v>7.6000000000000005</v>
      </c>
      <c r="Y115" s="8">
        <f t="shared" si="19"/>
        <v>6.4</v>
      </c>
      <c r="Z115" s="8">
        <f t="shared" si="19"/>
        <v>5.2</v>
      </c>
      <c r="AA115" s="8">
        <f t="shared" si="19"/>
        <v>4</v>
      </c>
      <c r="AB115" s="8">
        <f t="shared" si="19"/>
        <v>2.8</v>
      </c>
      <c r="AC115" s="8" t="e">
        <f t="shared" si="19"/>
        <v>#N/A</v>
      </c>
    </row>
    <row r="116" spans="13:29">
      <c r="M116" s="14">
        <v>108</v>
      </c>
      <c r="N116" s="8">
        <f t="shared" si="18"/>
        <v>10</v>
      </c>
      <c r="O116" s="8">
        <f t="shared" si="18"/>
        <v>8.8000000000000007</v>
      </c>
      <c r="P116" s="8">
        <f t="shared" si="18"/>
        <v>7.6000000000000005</v>
      </c>
      <c r="Q116" s="8">
        <f t="shared" si="18"/>
        <v>6.4</v>
      </c>
      <c r="R116" s="8">
        <f t="shared" si="18"/>
        <v>5.2</v>
      </c>
      <c r="S116" s="8">
        <f t="shared" si="18"/>
        <v>4</v>
      </c>
      <c r="T116" s="8">
        <f t="shared" si="18"/>
        <v>2.8</v>
      </c>
      <c r="U116" s="8">
        <f t="shared" si="18"/>
        <v>1.5999999999999999</v>
      </c>
      <c r="V116" s="8">
        <f t="shared" si="19"/>
        <v>10</v>
      </c>
      <c r="W116" s="8">
        <f t="shared" si="19"/>
        <v>8.8000000000000007</v>
      </c>
      <c r="X116" s="8">
        <f t="shared" si="19"/>
        <v>7.6000000000000005</v>
      </c>
      <c r="Y116" s="8">
        <f t="shared" si="19"/>
        <v>6.4</v>
      </c>
      <c r="Z116" s="8">
        <f t="shared" si="19"/>
        <v>5.2</v>
      </c>
      <c r="AA116" s="8">
        <f t="shared" si="19"/>
        <v>4</v>
      </c>
      <c r="AB116" s="8">
        <f t="shared" si="19"/>
        <v>2.8</v>
      </c>
      <c r="AC116" s="8" t="e">
        <f t="shared" si="19"/>
        <v>#N/A</v>
      </c>
    </row>
    <row r="117" spans="13:29">
      <c r="M117" s="14">
        <v>109</v>
      </c>
      <c r="N117" s="8">
        <f t="shared" si="18"/>
        <v>10</v>
      </c>
      <c r="O117" s="8">
        <f t="shared" si="18"/>
        <v>8.8000000000000007</v>
      </c>
      <c r="P117" s="8">
        <f t="shared" si="18"/>
        <v>7.6000000000000005</v>
      </c>
      <c r="Q117" s="8">
        <f t="shared" si="18"/>
        <v>6.4</v>
      </c>
      <c r="R117" s="8">
        <f t="shared" si="18"/>
        <v>5.2</v>
      </c>
      <c r="S117" s="8">
        <f t="shared" si="18"/>
        <v>4</v>
      </c>
      <c r="T117" s="8">
        <f t="shared" si="18"/>
        <v>2.8</v>
      </c>
      <c r="U117" s="8">
        <f t="shared" si="18"/>
        <v>1.5999999999999999</v>
      </c>
      <c r="V117" s="8">
        <f t="shared" si="19"/>
        <v>10</v>
      </c>
      <c r="W117" s="8">
        <f t="shared" si="19"/>
        <v>8.8000000000000007</v>
      </c>
      <c r="X117" s="8">
        <f t="shared" si="19"/>
        <v>7.6000000000000005</v>
      </c>
      <c r="Y117" s="8">
        <f t="shared" si="19"/>
        <v>6.4</v>
      </c>
      <c r="Z117" s="8">
        <f t="shared" si="19"/>
        <v>5.2</v>
      </c>
      <c r="AA117" s="8">
        <f t="shared" si="19"/>
        <v>4</v>
      </c>
      <c r="AB117" s="8">
        <f t="shared" si="19"/>
        <v>2.8</v>
      </c>
      <c r="AC117" s="8" t="e">
        <f t="shared" si="19"/>
        <v>#N/A</v>
      </c>
    </row>
    <row r="118" spans="13:29">
      <c r="M118" s="14">
        <v>110</v>
      </c>
      <c r="N118" s="8">
        <f t="shared" si="18"/>
        <v>10</v>
      </c>
      <c r="O118" s="8">
        <f t="shared" si="18"/>
        <v>8.8000000000000007</v>
      </c>
      <c r="P118" s="8">
        <f t="shared" si="18"/>
        <v>7.6000000000000005</v>
      </c>
      <c r="Q118" s="8">
        <f t="shared" si="18"/>
        <v>6.4</v>
      </c>
      <c r="R118" s="8">
        <f t="shared" si="18"/>
        <v>5.2</v>
      </c>
      <c r="S118" s="8">
        <f t="shared" si="18"/>
        <v>4</v>
      </c>
      <c r="T118" s="8">
        <f t="shared" si="18"/>
        <v>2.8</v>
      </c>
      <c r="U118" s="8">
        <f t="shared" si="18"/>
        <v>1.5999999999999999</v>
      </c>
      <c r="V118" s="8">
        <f t="shared" si="19"/>
        <v>10</v>
      </c>
      <c r="W118" s="8">
        <f t="shared" si="19"/>
        <v>8.8000000000000007</v>
      </c>
      <c r="X118" s="8">
        <f t="shared" si="19"/>
        <v>7.6000000000000005</v>
      </c>
      <c r="Y118" s="8">
        <f t="shared" si="19"/>
        <v>6.4</v>
      </c>
      <c r="Z118" s="8">
        <f t="shared" si="19"/>
        <v>5.2</v>
      </c>
      <c r="AA118" s="8">
        <f t="shared" si="19"/>
        <v>4</v>
      </c>
      <c r="AB118" s="8">
        <f t="shared" si="19"/>
        <v>2.8</v>
      </c>
      <c r="AC118" s="8" t="e">
        <f t="shared" si="19"/>
        <v>#N/A</v>
      </c>
    </row>
    <row r="119" spans="13:29">
      <c r="M119" s="14">
        <v>111</v>
      </c>
      <c r="N119" s="8">
        <f t="shared" si="18"/>
        <v>10</v>
      </c>
      <c r="O119" s="8">
        <f t="shared" si="18"/>
        <v>8.8000000000000007</v>
      </c>
      <c r="P119" s="8">
        <f t="shared" si="18"/>
        <v>7.6000000000000005</v>
      </c>
      <c r="Q119" s="8">
        <f t="shared" si="18"/>
        <v>6.4</v>
      </c>
      <c r="R119" s="8">
        <f t="shared" si="18"/>
        <v>5.2</v>
      </c>
      <c r="S119" s="8">
        <f t="shared" si="18"/>
        <v>4</v>
      </c>
      <c r="T119" s="8">
        <f t="shared" si="18"/>
        <v>2.8</v>
      </c>
      <c r="U119" s="8">
        <f t="shared" si="18"/>
        <v>1.5999999999999999</v>
      </c>
      <c r="V119" s="8">
        <f t="shared" si="19"/>
        <v>10</v>
      </c>
      <c r="W119" s="8">
        <f t="shared" si="19"/>
        <v>8.8000000000000007</v>
      </c>
      <c r="X119" s="8">
        <f t="shared" si="19"/>
        <v>7.6000000000000005</v>
      </c>
      <c r="Y119" s="8">
        <f t="shared" si="19"/>
        <v>6.4</v>
      </c>
      <c r="Z119" s="8">
        <f t="shared" si="19"/>
        <v>5.2</v>
      </c>
      <c r="AA119" s="8">
        <f t="shared" si="19"/>
        <v>4</v>
      </c>
      <c r="AB119" s="8">
        <f t="shared" si="19"/>
        <v>2.8</v>
      </c>
      <c r="AC119" s="8" t="e">
        <f t="shared" si="19"/>
        <v>#N/A</v>
      </c>
    </row>
    <row r="120" spans="13:29">
      <c r="M120" s="14">
        <v>112</v>
      </c>
      <c r="N120" s="8">
        <f t="shared" si="18"/>
        <v>10</v>
      </c>
      <c r="O120" s="8">
        <f t="shared" si="18"/>
        <v>8.8000000000000007</v>
      </c>
      <c r="P120" s="8">
        <f t="shared" si="18"/>
        <v>7.6000000000000005</v>
      </c>
      <c r="Q120" s="8">
        <f t="shared" si="18"/>
        <v>6.4</v>
      </c>
      <c r="R120" s="8">
        <f t="shared" si="18"/>
        <v>5.2</v>
      </c>
      <c r="S120" s="8">
        <f t="shared" si="18"/>
        <v>4</v>
      </c>
      <c r="T120" s="8">
        <f t="shared" si="18"/>
        <v>2.8</v>
      </c>
      <c r="U120" s="8">
        <f t="shared" si="18"/>
        <v>1.5999999999999999</v>
      </c>
      <c r="V120" s="8">
        <f t="shared" si="19"/>
        <v>10</v>
      </c>
      <c r="W120" s="8">
        <f t="shared" si="19"/>
        <v>8.8000000000000007</v>
      </c>
      <c r="X120" s="8">
        <f t="shared" si="19"/>
        <v>7.6000000000000005</v>
      </c>
      <c r="Y120" s="8">
        <f t="shared" si="19"/>
        <v>6.4</v>
      </c>
      <c r="Z120" s="8">
        <f t="shared" si="19"/>
        <v>5.2</v>
      </c>
      <c r="AA120" s="8">
        <f t="shared" si="19"/>
        <v>4</v>
      </c>
      <c r="AB120" s="8">
        <f t="shared" si="19"/>
        <v>2.8</v>
      </c>
      <c r="AC120" s="8" t="e">
        <f t="shared" si="19"/>
        <v>#N/A</v>
      </c>
    </row>
    <row r="121" spans="13:29">
      <c r="M121" s="14">
        <v>113</v>
      </c>
      <c r="N121" s="8">
        <f t="shared" ref="N121:U136" si="20">IF($M121&lt;=100/$G$15*$H$15,N$5,NA())</f>
        <v>10</v>
      </c>
      <c r="O121" s="8">
        <f t="shared" si="20"/>
        <v>8.8000000000000007</v>
      </c>
      <c r="P121" s="8">
        <f t="shared" si="20"/>
        <v>7.6000000000000005</v>
      </c>
      <c r="Q121" s="8">
        <f t="shared" si="20"/>
        <v>6.4</v>
      </c>
      <c r="R121" s="8">
        <f t="shared" si="20"/>
        <v>5.2</v>
      </c>
      <c r="S121" s="8">
        <f t="shared" si="20"/>
        <v>4</v>
      </c>
      <c r="T121" s="8">
        <f t="shared" si="20"/>
        <v>2.8</v>
      </c>
      <c r="U121" s="8">
        <f t="shared" si="20"/>
        <v>1.5999999999999999</v>
      </c>
      <c r="V121" s="8">
        <f t="shared" ref="V121:AC136" si="21">IF($M121&lt;=INDEX($K$5:$K$12,V$6)/$G$15*$H$15,V$5,NA())</f>
        <v>10</v>
      </c>
      <c r="W121" s="8">
        <f t="shared" si="21"/>
        <v>8.8000000000000007</v>
      </c>
      <c r="X121" s="8">
        <f t="shared" si="21"/>
        <v>7.6000000000000005</v>
      </c>
      <c r="Y121" s="8">
        <f t="shared" si="21"/>
        <v>6.4</v>
      </c>
      <c r="Z121" s="8">
        <f t="shared" si="21"/>
        <v>5.2</v>
      </c>
      <c r="AA121" s="8">
        <f t="shared" si="21"/>
        <v>4</v>
      </c>
      <c r="AB121" s="8">
        <f t="shared" si="21"/>
        <v>2.8</v>
      </c>
      <c r="AC121" s="8" t="e">
        <f t="shared" si="21"/>
        <v>#N/A</v>
      </c>
    </row>
    <row r="122" spans="13:29">
      <c r="M122" s="14">
        <v>114</v>
      </c>
      <c r="N122" s="8">
        <f t="shared" si="20"/>
        <v>10</v>
      </c>
      <c r="O122" s="8">
        <f t="shared" si="20"/>
        <v>8.8000000000000007</v>
      </c>
      <c r="P122" s="8">
        <f t="shared" si="20"/>
        <v>7.6000000000000005</v>
      </c>
      <c r="Q122" s="8">
        <f t="shared" si="20"/>
        <v>6.4</v>
      </c>
      <c r="R122" s="8">
        <f t="shared" si="20"/>
        <v>5.2</v>
      </c>
      <c r="S122" s="8">
        <f t="shared" si="20"/>
        <v>4</v>
      </c>
      <c r="T122" s="8">
        <f t="shared" si="20"/>
        <v>2.8</v>
      </c>
      <c r="U122" s="8">
        <f t="shared" si="20"/>
        <v>1.5999999999999999</v>
      </c>
      <c r="V122" s="8">
        <f t="shared" si="21"/>
        <v>10</v>
      </c>
      <c r="W122" s="8">
        <f t="shared" si="21"/>
        <v>8.8000000000000007</v>
      </c>
      <c r="X122" s="8">
        <f t="shared" si="21"/>
        <v>7.6000000000000005</v>
      </c>
      <c r="Y122" s="8">
        <f t="shared" si="21"/>
        <v>6.4</v>
      </c>
      <c r="Z122" s="8">
        <f t="shared" si="21"/>
        <v>5.2</v>
      </c>
      <c r="AA122" s="8">
        <f t="shared" si="21"/>
        <v>4</v>
      </c>
      <c r="AB122" s="8">
        <f t="shared" si="21"/>
        <v>2.8</v>
      </c>
      <c r="AC122" s="8" t="e">
        <f t="shared" si="21"/>
        <v>#N/A</v>
      </c>
    </row>
    <row r="123" spans="13:29">
      <c r="M123" s="14">
        <v>115</v>
      </c>
      <c r="N123" s="8">
        <f t="shared" si="20"/>
        <v>10</v>
      </c>
      <c r="O123" s="8">
        <f t="shared" si="20"/>
        <v>8.8000000000000007</v>
      </c>
      <c r="P123" s="8">
        <f t="shared" si="20"/>
        <v>7.6000000000000005</v>
      </c>
      <c r="Q123" s="8">
        <f t="shared" si="20"/>
        <v>6.4</v>
      </c>
      <c r="R123" s="8">
        <f t="shared" si="20"/>
        <v>5.2</v>
      </c>
      <c r="S123" s="8">
        <f t="shared" si="20"/>
        <v>4</v>
      </c>
      <c r="T123" s="8">
        <f t="shared" si="20"/>
        <v>2.8</v>
      </c>
      <c r="U123" s="8">
        <f t="shared" si="20"/>
        <v>1.5999999999999999</v>
      </c>
      <c r="V123" s="8">
        <f t="shared" si="21"/>
        <v>10</v>
      </c>
      <c r="W123" s="8">
        <f t="shared" si="21"/>
        <v>8.8000000000000007</v>
      </c>
      <c r="X123" s="8">
        <f t="shared" si="21"/>
        <v>7.6000000000000005</v>
      </c>
      <c r="Y123" s="8">
        <f t="shared" si="21"/>
        <v>6.4</v>
      </c>
      <c r="Z123" s="8">
        <f t="shared" si="21"/>
        <v>5.2</v>
      </c>
      <c r="AA123" s="8">
        <f t="shared" si="21"/>
        <v>4</v>
      </c>
      <c r="AB123" s="8">
        <f t="shared" si="21"/>
        <v>2.8</v>
      </c>
      <c r="AC123" s="8" t="e">
        <f t="shared" si="21"/>
        <v>#N/A</v>
      </c>
    </row>
    <row r="124" spans="13:29">
      <c r="M124" s="14">
        <v>116</v>
      </c>
      <c r="N124" s="8">
        <f t="shared" si="20"/>
        <v>10</v>
      </c>
      <c r="O124" s="8">
        <f t="shared" si="20"/>
        <v>8.8000000000000007</v>
      </c>
      <c r="P124" s="8">
        <f t="shared" si="20"/>
        <v>7.6000000000000005</v>
      </c>
      <c r="Q124" s="8">
        <f t="shared" si="20"/>
        <v>6.4</v>
      </c>
      <c r="R124" s="8">
        <f t="shared" si="20"/>
        <v>5.2</v>
      </c>
      <c r="S124" s="8">
        <f t="shared" si="20"/>
        <v>4</v>
      </c>
      <c r="T124" s="8">
        <f t="shared" si="20"/>
        <v>2.8</v>
      </c>
      <c r="U124" s="8">
        <f t="shared" si="20"/>
        <v>1.5999999999999999</v>
      </c>
      <c r="V124" s="8">
        <f t="shared" si="21"/>
        <v>10</v>
      </c>
      <c r="W124" s="8">
        <f t="shared" si="21"/>
        <v>8.8000000000000007</v>
      </c>
      <c r="X124" s="8">
        <f t="shared" si="21"/>
        <v>7.6000000000000005</v>
      </c>
      <c r="Y124" s="8">
        <f t="shared" si="21"/>
        <v>6.4</v>
      </c>
      <c r="Z124" s="8">
        <f t="shared" si="21"/>
        <v>5.2</v>
      </c>
      <c r="AA124" s="8">
        <f t="shared" si="21"/>
        <v>4</v>
      </c>
      <c r="AB124" s="8">
        <f t="shared" si="21"/>
        <v>2.8</v>
      </c>
      <c r="AC124" s="8" t="e">
        <f t="shared" si="21"/>
        <v>#N/A</v>
      </c>
    </row>
    <row r="125" spans="13:29">
      <c r="M125" s="14">
        <v>117</v>
      </c>
      <c r="N125" s="8">
        <f t="shared" si="20"/>
        <v>10</v>
      </c>
      <c r="O125" s="8">
        <f t="shared" si="20"/>
        <v>8.8000000000000007</v>
      </c>
      <c r="P125" s="8">
        <f t="shared" si="20"/>
        <v>7.6000000000000005</v>
      </c>
      <c r="Q125" s="8">
        <f t="shared" si="20"/>
        <v>6.4</v>
      </c>
      <c r="R125" s="8">
        <f t="shared" si="20"/>
        <v>5.2</v>
      </c>
      <c r="S125" s="8">
        <f t="shared" si="20"/>
        <v>4</v>
      </c>
      <c r="T125" s="8">
        <f t="shared" si="20"/>
        <v>2.8</v>
      </c>
      <c r="U125" s="8">
        <f t="shared" si="20"/>
        <v>1.5999999999999999</v>
      </c>
      <c r="V125" s="8">
        <f t="shared" si="21"/>
        <v>10</v>
      </c>
      <c r="W125" s="8">
        <f t="shared" si="21"/>
        <v>8.8000000000000007</v>
      </c>
      <c r="X125" s="8">
        <f t="shared" si="21"/>
        <v>7.6000000000000005</v>
      </c>
      <c r="Y125" s="8">
        <f t="shared" si="21"/>
        <v>6.4</v>
      </c>
      <c r="Z125" s="8">
        <f t="shared" si="21"/>
        <v>5.2</v>
      </c>
      <c r="AA125" s="8">
        <f t="shared" si="21"/>
        <v>4</v>
      </c>
      <c r="AB125" s="8">
        <f t="shared" si="21"/>
        <v>2.8</v>
      </c>
      <c r="AC125" s="8" t="e">
        <f t="shared" si="21"/>
        <v>#N/A</v>
      </c>
    </row>
    <row r="126" spans="13:29">
      <c r="M126" s="14">
        <v>118</v>
      </c>
      <c r="N126" s="8">
        <f t="shared" si="20"/>
        <v>10</v>
      </c>
      <c r="O126" s="8">
        <f t="shared" si="20"/>
        <v>8.8000000000000007</v>
      </c>
      <c r="P126" s="8">
        <f t="shared" si="20"/>
        <v>7.6000000000000005</v>
      </c>
      <c r="Q126" s="8">
        <f t="shared" si="20"/>
        <v>6.4</v>
      </c>
      <c r="R126" s="8">
        <f t="shared" si="20"/>
        <v>5.2</v>
      </c>
      <c r="S126" s="8">
        <f t="shared" si="20"/>
        <v>4</v>
      </c>
      <c r="T126" s="8">
        <f t="shared" si="20"/>
        <v>2.8</v>
      </c>
      <c r="U126" s="8">
        <f t="shared" si="20"/>
        <v>1.5999999999999999</v>
      </c>
      <c r="V126" s="8">
        <f t="shared" si="21"/>
        <v>10</v>
      </c>
      <c r="W126" s="8">
        <f t="shared" si="21"/>
        <v>8.8000000000000007</v>
      </c>
      <c r="X126" s="8">
        <f t="shared" si="21"/>
        <v>7.6000000000000005</v>
      </c>
      <c r="Y126" s="8">
        <f t="shared" si="21"/>
        <v>6.4</v>
      </c>
      <c r="Z126" s="8">
        <f t="shared" si="21"/>
        <v>5.2</v>
      </c>
      <c r="AA126" s="8">
        <f t="shared" si="21"/>
        <v>4</v>
      </c>
      <c r="AB126" s="8">
        <f t="shared" si="21"/>
        <v>2.8</v>
      </c>
      <c r="AC126" s="8" t="e">
        <f t="shared" si="21"/>
        <v>#N/A</v>
      </c>
    </row>
    <row r="127" spans="13:29">
      <c r="M127" s="14">
        <v>119</v>
      </c>
      <c r="N127" s="8">
        <f t="shared" si="20"/>
        <v>10</v>
      </c>
      <c r="O127" s="8">
        <f t="shared" si="20"/>
        <v>8.8000000000000007</v>
      </c>
      <c r="P127" s="8">
        <f t="shared" si="20"/>
        <v>7.6000000000000005</v>
      </c>
      <c r="Q127" s="8">
        <f t="shared" si="20"/>
        <v>6.4</v>
      </c>
      <c r="R127" s="8">
        <f t="shared" si="20"/>
        <v>5.2</v>
      </c>
      <c r="S127" s="8">
        <f t="shared" si="20"/>
        <v>4</v>
      </c>
      <c r="T127" s="8">
        <f t="shared" si="20"/>
        <v>2.8</v>
      </c>
      <c r="U127" s="8">
        <f t="shared" si="20"/>
        <v>1.5999999999999999</v>
      </c>
      <c r="V127" s="8">
        <f t="shared" si="21"/>
        <v>10</v>
      </c>
      <c r="W127" s="8">
        <f t="shared" si="21"/>
        <v>8.8000000000000007</v>
      </c>
      <c r="X127" s="8">
        <f t="shared" si="21"/>
        <v>7.6000000000000005</v>
      </c>
      <c r="Y127" s="8">
        <f t="shared" si="21"/>
        <v>6.4</v>
      </c>
      <c r="Z127" s="8">
        <f t="shared" si="21"/>
        <v>5.2</v>
      </c>
      <c r="AA127" s="8">
        <f t="shared" si="21"/>
        <v>4</v>
      </c>
      <c r="AB127" s="8">
        <f t="shared" si="21"/>
        <v>2.8</v>
      </c>
      <c r="AC127" s="8" t="e">
        <f t="shared" si="21"/>
        <v>#N/A</v>
      </c>
    </row>
    <row r="128" spans="13:29">
      <c r="M128" s="14">
        <v>120</v>
      </c>
      <c r="N128" s="8">
        <f t="shared" si="20"/>
        <v>10</v>
      </c>
      <c r="O128" s="8">
        <f t="shared" si="20"/>
        <v>8.8000000000000007</v>
      </c>
      <c r="P128" s="8">
        <f t="shared" si="20"/>
        <v>7.6000000000000005</v>
      </c>
      <c r="Q128" s="8">
        <f t="shared" si="20"/>
        <v>6.4</v>
      </c>
      <c r="R128" s="8">
        <f t="shared" si="20"/>
        <v>5.2</v>
      </c>
      <c r="S128" s="8">
        <f t="shared" si="20"/>
        <v>4</v>
      </c>
      <c r="T128" s="8">
        <f t="shared" si="20"/>
        <v>2.8</v>
      </c>
      <c r="U128" s="8">
        <f t="shared" si="20"/>
        <v>1.5999999999999999</v>
      </c>
      <c r="V128" s="8">
        <f t="shared" si="21"/>
        <v>10</v>
      </c>
      <c r="W128" s="8">
        <f t="shared" si="21"/>
        <v>8.8000000000000007</v>
      </c>
      <c r="X128" s="8">
        <f t="shared" si="21"/>
        <v>7.6000000000000005</v>
      </c>
      <c r="Y128" s="8">
        <f t="shared" si="21"/>
        <v>6.4</v>
      </c>
      <c r="Z128" s="8">
        <f t="shared" si="21"/>
        <v>5.2</v>
      </c>
      <c r="AA128" s="8">
        <f t="shared" si="21"/>
        <v>4</v>
      </c>
      <c r="AB128" s="8">
        <f t="shared" si="21"/>
        <v>2.8</v>
      </c>
      <c r="AC128" s="8" t="e">
        <f t="shared" si="21"/>
        <v>#N/A</v>
      </c>
    </row>
    <row r="129" spans="13:29">
      <c r="M129" s="14">
        <v>121</v>
      </c>
      <c r="N129" s="8">
        <f t="shared" si="20"/>
        <v>10</v>
      </c>
      <c r="O129" s="8">
        <f t="shared" si="20"/>
        <v>8.8000000000000007</v>
      </c>
      <c r="P129" s="8">
        <f t="shared" si="20"/>
        <v>7.6000000000000005</v>
      </c>
      <c r="Q129" s="8">
        <f t="shared" si="20"/>
        <v>6.4</v>
      </c>
      <c r="R129" s="8">
        <f t="shared" si="20"/>
        <v>5.2</v>
      </c>
      <c r="S129" s="8">
        <f t="shared" si="20"/>
        <v>4</v>
      </c>
      <c r="T129" s="8">
        <f t="shared" si="20"/>
        <v>2.8</v>
      </c>
      <c r="U129" s="8">
        <f t="shared" si="20"/>
        <v>1.5999999999999999</v>
      </c>
      <c r="V129" s="8">
        <f t="shared" si="21"/>
        <v>10</v>
      </c>
      <c r="W129" s="8">
        <f t="shared" si="21"/>
        <v>8.8000000000000007</v>
      </c>
      <c r="X129" s="8">
        <f t="shared" si="21"/>
        <v>7.6000000000000005</v>
      </c>
      <c r="Y129" s="8">
        <f t="shared" si="21"/>
        <v>6.4</v>
      </c>
      <c r="Z129" s="8">
        <f t="shared" si="21"/>
        <v>5.2</v>
      </c>
      <c r="AA129" s="8">
        <f t="shared" si="21"/>
        <v>4</v>
      </c>
      <c r="AB129" s="8">
        <f t="shared" si="21"/>
        <v>2.8</v>
      </c>
      <c r="AC129" s="8" t="e">
        <f t="shared" si="21"/>
        <v>#N/A</v>
      </c>
    </row>
    <row r="130" spans="13:29">
      <c r="M130" s="14">
        <v>122</v>
      </c>
      <c r="N130" s="8">
        <f t="shared" si="20"/>
        <v>10</v>
      </c>
      <c r="O130" s="8">
        <f t="shared" si="20"/>
        <v>8.8000000000000007</v>
      </c>
      <c r="P130" s="8">
        <f t="shared" si="20"/>
        <v>7.6000000000000005</v>
      </c>
      <c r="Q130" s="8">
        <f t="shared" si="20"/>
        <v>6.4</v>
      </c>
      <c r="R130" s="8">
        <f t="shared" si="20"/>
        <v>5.2</v>
      </c>
      <c r="S130" s="8">
        <f t="shared" si="20"/>
        <v>4</v>
      </c>
      <c r="T130" s="8">
        <f t="shared" si="20"/>
        <v>2.8</v>
      </c>
      <c r="U130" s="8">
        <f t="shared" si="20"/>
        <v>1.5999999999999999</v>
      </c>
      <c r="V130" s="8">
        <f t="shared" si="21"/>
        <v>10</v>
      </c>
      <c r="W130" s="8">
        <f t="shared" si="21"/>
        <v>8.8000000000000007</v>
      </c>
      <c r="X130" s="8">
        <f t="shared" si="21"/>
        <v>7.6000000000000005</v>
      </c>
      <c r="Y130" s="8">
        <f t="shared" si="21"/>
        <v>6.4</v>
      </c>
      <c r="Z130" s="8">
        <f t="shared" si="21"/>
        <v>5.2</v>
      </c>
      <c r="AA130" s="8">
        <f t="shared" si="21"/>
        <v>4</v>
      </c>
      <c r="AB130" s="8">
        <f t="shared" si="21"/>
        <v>2.8</v>
      </c>
      <c r="AC130" s="8" t="e">
        <f t="shared" si="21"/>
        <v>#N/A</v>
      </c>
    </row>
    <row r="131" spans="13:29">
      <c r="M131" s="14">
        <v>123</v>
      </c>
      <c r="N131" s="8">
        <f t="shared" si="20"/>
        <v>10</v>
      </c>
      <c r="O131" s="8">
        <f t="shared" si="20"/>
        <v>8.8000000000000007</v>
      </c>
      <c r="P131" s="8">
        <f t="shared" si="20"/>
        <v>7.6000000000000005</v>
      </c>
      <c r="Q131" s="8">
        <f t="shared" si="20"/>
        <v>6.4</v>
      </c>
      <c r="R131" s="8">
        <f t="shared" si="20"/>
        <v>5.2</v>
      </c>
      <c r="S131" s="8">
        <f t="shared" si="20"/>
        <v>4</v>
      </c>
      <c r="T131" s="8">
        <f t="shared" si="20"/>
        <v>2.8</v>
      </c>
      <c r="U131" s="8">
        <f t="shared" si="20"/>
        <v>1.5999999999999999</v>
      </c>
      <c r="V131" s="8">
        <f t="shared" si="21"/>
        <v>10</v>
      </c>
      <c r="W131" s="8">
        <f t="shared" si="21"/>
        <v>8.8000000000000007</v>
      </c>
      <c r="X131" s="8">
        <f t="shared" si="21"/>
        <v>7.6000000000000005</v>
      </c>
      <c r="Y131" s="8">
        <f t="shared" si="21"/>
        <v>6.4</v>
      </c>
      <c r="Z131" s="8">
        <f t="shared" si="21"/>
        <v>5.2</v>
      </c>
      <c r="AA131" s="8">
        <f t="shared" si="21"/>
        <v>4</v>
      </c>
      <c r="AB131" s="8">
        <f t="shared" si="21"/>
        <v>2.8</v>
      </c>
      <c r="AC131" s="8" t="e">
        <f t="shared" si="21"/>
        <v>#N/A</v>
      </c>
    </row>
    <row r="132" spans="13:29">
      <c r="M132" s="14">
        <v>124</v>
      </c>
      <c r="N132" s="8">
        <f t="shared" si="20"/>
        <v>10</v>
      </c>
      <c r="O132" s="8">
        <f t="shared" si="20"/>
        <v>8.8000000000000007</v>
      </c>
      <c r="P132" s="8">
        <f t="shared" si="20"/>
        <v>7.6000000000000005</v>
      </c>
      <c r="Q132" s="8">
        <f t="shared" si="20"/>
        <v>6.4</v>
      </c>
      <c r="R132" s="8">
        <f t="shared" si="20"/>
        <v>5.2</v>
      </c>
      <c r="S132" s="8">
        <f t="shared" si="20"/>
        <v>4</v>
      </c>
      <c r="T132" s="8">
        <f t="shared" si="20"/>
        <v>2.8</v>
      </c>
      <c r="U132" s="8">
        <f t="shared" si="20"/>
        <v>1.5999999999999999</v>
      </c>
      <c r="V132" s="8">
        <f t="shared" si="21"/>
        <v>10</v>
      </c>
      <c r="W132" s="8">
        <f t="shared" si="21"/>
        <v>8.8000000000000007</v>
      </c>
      <c r="X132" s="8">
        <f t="shared" si="21"/>
        <v>7.6000000000000005</v>
      </c>
      <c r="Y132" s="8">
        <f t="shared" si="21"/>
        <v>6.4</v>
      </c>
      <c r="Z132" s="8">
        <f t="shared" si="21"/>
        <v>5.2</v>
      </c>
      <c r="AA132" s="8">
        <f t="shared" si="21"/>
        <v>4</v>
      </c>
      <c r="AB132" s="8">
        <f t="shared" si="21"/>
        <v>2.8</v>
      </c>
      <c r="AC132" s="8" t="e">
        <f t="shared" si="21"/>
        <v>#N/A</v>
      </c>
    </row>
    <row r="133" spans="13:29">
      <c r="M133" s="14">
        <v>125</v>
      </c>
      <c r="N133" s="8">
        <f t="shared" si="20"/>
        <v>10</v>
      </c>
      <c r="O133" s="8">
        <f t="shared" si="20"/>
        <v>8.8000000000000007</v>
      </c>
      <c r="P133" s="8">
        <f t="shared" si="20"/>
        <v>7.6000000000000005</v>
      </c>
      <c r="Q133" s="8">
        <f t="shared" si="20"/>
        <v>6.4</v>
      </c>
      <c r="R133" s="8">
        <f t="shared" si="20"/>
        <v>5.2</v>
      </c>
      <c r="S133" s="8">
        <f t="shared" si="20"/>
        <v>4</v>
      </c>
      <c r="T133" s="8">
        <f t="shared" si="20"/>
        <v>2.8</v>
      </c>
      <c r="U133" s="8">
        <f t="shared" si="20"/>
        <v>1.5999999999999999</v>
      </c>
      <c r="V133" s="8">
        <f t="shared" si="21"/>
        <v>10</v>
      </c>
      <c r="W133" s="8">
        <f t="shared" si="21"/>
        <v>8.8000000000000007</v>
      </c>
      <c r="X133" s="8">
        <f t="shared" si="21"/>
        <v>7.6000000000000005</v>
      </c>
      <c r="Y133" s="8">
        <f t="shared" si="21"/>
        <v>6.4</v>
      </c>
      <c r="Z133" s="8">
        <f t="shared" si="21"/>
        <v>5.2</v>
      </c>
      <c r="AA133" s="8">
        <f t="shared" si="21"/>
        <v>4</v>
      </c>
      <c r="AB133" s="8">
        <f t="shared" si="21"/>
        <v>2.8</v>
      </c>
      <c r="AC133" s="8" t="e">
        <f t="shared" si="21"/>
        <v>#N/A</v>
      </c>
    </row>
    <row r="134" spans="13:29">
      <c r="M134" s="14">
        <v>126</v>
      </c>
      <c r="N134" s="8">
        <f t="shared" si="20"/>
        <v>10</v>
      </c>
      <c r="O134" s="8">
        <f t="shared" si="20"/>
        <v>8.8000000000000007</v>
      </c>
      <c r="P134" s="8">
        <f t="shared" si="20"/>
        <v>7.6000000000000005</v>
      </c>
      <c r="Q134" s="8">
        <f t="shared" si="20"/>
        <v>6.4</v>
      </c>
      <c r="R134" s="8">
        <f t="shared" si="20"/>
        <v>5.2</v>
      </c>
      <c r="S134" s="8">
        <f t="shared" si="20"/>
        <v>4</v>
      </c>
      <c r="T134" s="8">
        <f t="shared" si="20"/>
        <v>2.8</v>
      </c>
      <c r="U134" s="8">
        <f t="shared" si="20"/>
        <v>1.5999999999999999</v>
      </c>
      <c r="V134" s="8">
        <f t="shared" si="21"/>
        <v>10</v>
      </c>
      <c r="W134" s="8">
        <f t="shared" si="21"/>
        <v>8.8000000000000007</v>
      </c>
      <c r="X134" s="8">
        <f t="shared" si="21"/>
        <v>7.6000000000000005</v>
      </c>
      <c r="Y134" s="8">
        <f t="shared" si="21"/>
        <v>6.4</v>
      </c>
      <c r="Z134" s="8">
        <f t="shared" si="21"/>
        <v>5.2</v>
      </c>
      <c r="AA134" s="8">
        <f t="shared" si="21"/>
        <v>4</v>
      </c>
      <c r="AB134" s="8">
        <f t="shared" si="21"/>
        <v>2.8</v>
      </c>
      <c r="AC134" s="8" t="e">
        <f t="shared" si="21"/>
        <v>#N/A</v>
      </c>
    </row>
    <row r="135" spans="13:29">
      <c r="M135" s="14">
        <v>127</v>
      </c>
      <c r="N135" s="8">
        <f t="shared" si="20"/>
        <v>10</v>
      </c>
      <c r="O135" s="8">
        <f t="shared" si="20"/>
        <v>8.8000000000000007</v>
      </c>
      <c r="P135" s="8">
        <f t="shared" si="20"/>
        <v>7.6000000000000005</v>
      </c>
      <c r="Q135" s="8">
        <f t="shared" si="20"/>
        <v>6.4</v>
      </c>
      <c r="R135" s="8">
        <f t="shared" si="20"/>
        <v>5.2</v>
      </c>
      <c r="S135" s="8">
        <f t="shared" si="20"/>
        <v>4</v>
      </c>
      <c r="T135" s="8">
        <f t="shared" si="20"/>
        <v>2.8</v>
      </c>
      <c r="U135" s="8">
        <f t="shared" si="20"/>
        <v>1.5999999999999999</v>
      </c>
      <c r="V135" s="8">
        <f t="shared" si="21"/>
        <v>10</v>
      </c>
      <c r="W135" s="8">
        <f t="shared" si="21"/>
        <v>8.8000000000000007</v>
      </c>
      <c r="X135" s="8">
        <f t="shared" si="21"/>
        <v>7.6000000000000005</v>
      </c>
      <c r="Y135" s="8">
        <f t="shared" si="21"/>
        <v>6.4</v>
      </c>
      <c r="Z135" s="8">
        <f t="shared" si="21"/>
        <v>5.2</v>
      </c>
      <c r="AA135" s="8">
        <f t="shared" si="21"/>
        <v>4</v>
      </c>
      <c r="AB135" s="8">
        <f t="shared" si="21"/>
        <v>2.8</v>
      </c>
      <c r="AC135" s="8" t="e">
        <f t="shared" si="21"/>
        <v>#N/A</v>
      </c>
    </row>
    <row r="136" spans="13:29">
      <c r="M136" s="14">
        <v>128</v>
      </c>
      <c r="N136" s="8">
        <f t="shared" si="20"/>
        <v>10</v>
      </c>
      <c r="O136" s="8">
        <f t="shared" si="20"/>
        <v>8.8000000000000007</v>
      </c>
      <c r="P136" s="8">
        <f t="shared" si="20"/>
        <v>7.6000000000000005</v>
      </c>
      <c r="Q136" s="8">
        <f t="shared" si="20"/>
        <v>6.4</v>
      </c>
      <c r="R136" s="8">
        <f t="shared" si="20"/>
        <v>5.2</v>
      </c>
      <c r="S136" s="8">
        <f t="shared" si="20"/>
        <v>4</v>
      </c>
      <c r="T136" s="8">
        <f t="shared" si="20"/>
        <v>2.8</v>
      </c>
      <c r="U136" s="8">
        <f t="shared" si="20"/>
        <v>1.5999999999999999</v>
      </c>
      <c r="V136" s="8">
        <f t="shared" si="21"/>
        <v>10</v>
      </c>
      <c r="W136" s="8">
        <f t="shared" si="21"/>
        <v>8.8000000000000007</v>
      </c>
      <c r="X136" s="8">
        <f t="shared" si="21"/>
        <v>7.6000000000000005</v>
      </c>
      <c r="Y136" s="8">
        <f t="shared" si="21"/>
        <v>6.4</v>
      </c>
      <c r="Z136" s="8">
        <f t="shared" si="21"/>
        <v>5.2</v>
      </c>
      <c r="AA136" s="8">
        <f t="shared" si="21"/>
        <v>4</v>
      </c>
      <c r="AB136" s="8" t="e">
        <f t="shared" si="21"/>
        <v>#N/A</v>
      </c>
      <c r="AC136" s="8" t="e">
        <f t="shared" si="21"/>
        <v>#N/A</v>
      </c>
    </row>
    <row r="137" spans="13:29">
      <c r="M137" s="14">
        <v>129</v>
      </c>
      <c r="N137" s="8">
        <f t="shared" ref="N137:U152" si="22">IF($M137&lt;=100/$G$15*$H$15,N$5,NA())</f>
        <v>10</v>
      </c>
      <c r="O137" s="8">
        <f t="shared" si="22"/>
        <v>8.8000000000000007</v>
      </c>
      <c r="P137" s="8">
        <f t="shared" si="22"/>
        <v>7.6000000000000005</v>
      </c>
      <c r="Q137" s="8">
        <f t="shared" si="22"/>
        <v>6.4</v>
      </c>
      <c r="R137" s="8">
        <f t="shared" si="22"/>
        <v>5.2</v>
      </c>
      <c r="S137" s="8">
        <f t="shared" si="22"/>
        <v>4</v>
      </c>
      <c r="T137" s="8">
        <f t="shared" si="22"/>
        <v>2.8</v>
      </c>
      <c r="U137" s="8">
        <f t="shared" si="22"/>
        <v>1.5999999999999999</v>
      </c>
      <c r="V137" s="8">
        <f t="shared" ref="V137:AC152" si="23">IF($M137&lt;=INDEX($K$5:$K$12,V$6)/$G$15*$H$15,V$5,NA())</f>
        <v>10</v>
      </c>
      <c r="W137" s="8">
        <f t="shared" si="23"/>
        <v>8.8000000000000007</v>
      </c>
      <c r="X137" s="8">
        <f t="shared" si="23"/>
        <v>7.6000000000000005</v>
      </c>
      <c r="Y137" s="8">
        <f t="shared" si="23"/>
        <v>6.4</v>
      </c>
      <c r="Z137" s="8">
        <f t="shared" si="23"/>
        <v>5.2</v>
      </c>
      <c r="AA137" s="8">
        <f t="shared" si="23"/>
        <v>4</v>
      </c>
      <c r="AB137" s="8" t="e">
        <f t="shared" si="23"/>
        <v>#N/A</v>
      </c>
      <c r="AC137" s="8" t="e">
        <f t="shared" si="23"/>
        <v>#N/A</v>
      </c>
    </row>
    <row r="138" spans="13:29">
      <c r="M138" s="14">
        <v>130</v>
      </c>
      <c r="N138" s="8">
        <f t="shared" si="22"/>
        <v>10</v>
      </c>
      <c r="O138" s="8">
        <f t="shared" si="22"/>
        <v>8.8000000000000007</v>
      </c>
      <c r="P138" s="8">
        <f t="shared" si="22"/>
        <v>7.6000000000000005</v>
      </c>
      <c r="Q138" s="8">
        <f t="shared" si="22"/>
        <v>6.4</v>
      </c>
      <c r="R138" s="8">
        <f t="shared" si="22"/>
        <v>5.2</v>
      </c>
      <c r="S138" s="8">
        <f t="shared" si="22"/>
        <v>4</v>
      </c>
      <c r="T138" s="8">
        <f t="shared" si="22"/>
        <v>2.8</v>
      </c>
      <c r="U138" s="8">
        <f t="shared" si="22"/>
        <v>1.5999999999999999</v>
      </c>
      <c r="V138" s="8">
        <f t="shared" si="23"/>
        <v>10</v>
      </c>
      <c r="W138" s="8">
        <f t="shared" si="23"/>
        <v>8.8000000000000007</v>
      </c>
      <c r="X138" s="8">
        <f t="shared" si="23"/>
        <v>7.6000000000000005</v>
      </c>
      <c r="Y138" s="8">
        <f t="shared" si="23"/>
        <v>6.4</v>
      </c>
      <c r="Z138" s="8">
        <f t="shared" si="23"/>
        <v>5.2</v>
      </c>
      <c r="AA138" s="8">
        <f t="shared" si="23"/>
        <v>4</v>
      </c>
      <c r="AB138" s="8" t="e">
        <f t="shared" si="23"/>
        <v>#N/A</v>
      </c>
      <c r="AC138" s="8" t="e">
        <f t="shared" si="23"/>
        <v>#N/A</v>
      </c>
    </row>
    <row r="139" spans="13:29">
      <c r="M139" s="14">
        <v>131</v>
      </c>
      <c r="N139" s="8">
        <f t="shared" si="22"/>
        <v>10</v>
      </c>
      <c r="O139" s="8">
        <f t="shared" si="22"/>
        <v>8.8000000000000007</v>
      </c>
      <c r="P139" s="8">
        <f t="shared" si="22"/>
        <v>7.6000000000000005</v>
      </c>
      <c r="Q139" s="8">
        <f t="shared" si="22"/>
        <v>6.4</v>
      </c>
      <c r="R139" s="8">
        <f t="shared" si="22"/>
        <v>5.2</v>
      </c>
      <c r="S139" s="8">
        <f t="shared" si="22"/>
        <v>4</v>
      </c>
      <c r="T139" s="8">
        <f t="shared" si="22"/>
        <v>2.8</v>
      </c>
      <c r="U139" s="8">
        <f t="shared" si="22"/>
        <v>1.5999999999999999</v>
      </c>
      <c r="V139" s="8">
        <f t="shared" si="23"/>
        <v>10</v>
      </c>
      <c r="W139" s="8">
        <f t="shared" si="23"/>
        <v>8.8000000000000007</v>
      </c>
      <c r="X139" s="8">
        <f t="shared" si="23"/>
        <v>7.6000000000000005</v>
      </c>
      <c r="Y139" s="8">
        <f t="shared" si="23"/>
        <v>6.4</v>
      </c>
      <c r="Z139" s="8">
        <f t="shared" si="23"/>
        <v>5.2</v>
      </c>
      <c r="AA139" s="8">
        <f t="shared" si="23"/>
        <v>4</v>
      </c>
      <c r="AB139" s="8" t="e">
        <f t="shared" si="23"/>
        <v>#N/A</v>
      </c>
      <c r="AC139" s="8" t="e">
        <f t="shared" si="23"/>
        <v>#N/A</v>
      </c>
    </row>
    <row r="140" spans="13:29">
      <c r="M140" s="14">
        <v>132</v>
      </c>
      <c r="N140" s="8">
        <f t="shared" si="22"/>
        <v>10</v>
      </c>
      <c r="O140" s="8">
        <f t="shared" si="22"/>
        <v>8.8000000000000007</v>
      </c>
      <c r="P140" s="8">
        <f t="shared" si="22"/>
        <v>7.6000000000000005</v>
      </c>
      <c r="Q140" s="8">
        <f t="shared" si="22"/>
        <v>6.4</v>
      </c>
      <c r="R140" s="8">
        <f t="shared" si="22"/>
        <v>5.2</v>
      </c>
      <c r="S140" s="8">
        <f t="shared" si="22"/>
        <v>4</v>
      </c>
      <c r="T140" s="8">
        <f t="shared" si="22"/>
        <v>2.8</v>
      </c>
      <c r="U140" s="8">
        <f t="shared" si="22"/>
        <v>1.5999999999999999</v>
      </c>
      <c r="V140" s="8">
        <f t="shared" si="23"/>
        <v>10</v>
      </c>
      <c r="W140" s="8">
        <f t="shared" si="23"/>
        <v>8.8000000000000007</v>
      </c>
      <c r="X140" s="8">
        <f t="shared" si="23"/>
        <v>7.6000000000000005</v>
      </c>
      <c r="Y140" s="8">
        <f t="shared" si="23"/>
        <v>6.4</v>
      </c>
      <c r="Z140" s="8">
        <f t="shared" si="23"/>
        <v>5.2</v>
      </c>
      <c r="AA140" s="8">
        <f t="shared" si="23"/>
        <v>4</v>
      </c>
      <c r="AB140" s="8" t="e">
        <f t="shared" si="23"/>
        <v>#N/A</v>
      </c>
      <c r="AC140" s="8" t="e">
        <f t="shared" si="23"/>
        <v>#N/A</v>
      </c>
    </row>
    <row r="141" spans="13:29">
      <c r="M141" s="14">
        <v>133</v>
      </c>
      <c r="N141" s="8">
        <f t="shared" si="22"/>
        <v>10</v>
      </c>
      <c r="O141" s="8">
        <f t="shared" si="22"/>
        <v>8.8000000000000007</v>
      </c>
      <c r="P141" s="8">
        <f t="shared" si="22"/>
        <v>7.6000000000000005</v>
      </c>
      <c r="Q141" s="8">
        <f t="shared" si="22"/>
        <v>6.4</v>
      </c>
      <c r="R141" s="8">
        <f t="shared" si="22"/>
        <v>5.2</v>
      </c>
      <c r="S141" s="8">
        <f t="shared" si="22"/>
        <v>4</v>
      </c>
      <c r="T141" s="8">
        <f t="shared" si="22"/>
        <v>2.8</v>
      </c>
      <c r="U141" s="8">
        <f t="shared" si="22"/>
        <v>1.5999999999999999</v>
      </c>
      <c r="V141" s="8">
        <f t="shared" si="23"/>
        <v>10</v>
      </c>
      <c r="W141" s="8">
        <f t="shared" si="23"/>
        <v>8.8000000000000007</v>
      </c>
      <c r="X141" s="8">
        <f t="shared" si="23"/>
        <v>7.6000000000000005</v>
      </c>
      <c r="Y141" s="8">
        <f t="shared" si="23"/>
        <v>6.4</v>
      </c>
      <c r="Z141" s="8">
        <f t="shared" si="23"/>
        <v>5.2</v>
      </c>
      <c r="AA141" s="8">
        <f t="shared" si="23"/>
        <v>4</v>
      </c>
      <c r="AB141" s="8" t="e">
        <f t="shared" si="23"/>
        <v>#N/A</v>
      </c>
      <c r="AC141" s="8" t="e">
        <f t="shared" si="23"/>
        <v>#N/A</v>
      </c>
    </row>
    <row r="142" spans="13:29">
      <c r="M142" s="14">
        <v>134</v>
      </c>
      <c r="N142" s="8">
        <f t="shared" si="22"/>
        <v>10</v>
      </c>
      <c r="O142" s="8">
        <f t="shared" si="22"/>
        <v>8.8000000000000007</v>
      </c>
      <c r="P142" s="8">
        <f t="shared" si="22"/>
        <v>7.6000000000000005</v>
      </c>
      <c r="Q142" s="8">
        <f t="shared" si="22"/>
        <v>6.4</v>
      </c>
      <c r="R142" s="8">
        <f t="shared" si="22"/>
        <v>5.2</v>
      </c>
      <c r="S142" s="8">
        <f t="shared" si="22"/>
        <v>4</v>
      </c>
      <c r="T142" s="8">
        <f t="shared" si="22"/>
        <v>2.8</v>
      </c>
      <c r="U142" s="8">
        <f t="shared" si="22"/>
        <v>1.5999999999999999</v>
      </c>
      <c r="V142" s="8">
        <f t="shared" si="23"/>
        <v>10</v>
      </c>
      <c r="W142" s="8">
        <f t="shared" si="23"/>
        <v>8.8000000000000007</v>
      </c>
      <c r="X142" s="8">
        <f t="shared" si="23"/>
        <v>7.6000000000000005</v>
      </c>
      <c r="Y142" s="8">
        <f t="shared" si="23"/>
        <v>6.4</v>
      </c>
      <c r="Z142" s="8">
        <f t="shared" si="23"/>
        <v>5.2</v>
      </c>
      <c r="AA142" s="8">
        <f t="shared" si="23"/>
        <v>4</v>
      </c>
      <c r="AB142" s="8" t="e">
        <f t="shared" si="23"/>
        <v>#N/A</v>
      </c>
      <c r="AC142" s="8" t="e">
        <f t="shared" si="23"/>
        <v>#N/A</v>
      </c>
    </row>
    <row r="143" spans="13:29">
      <c r="M143" s="14">
        <v>135</v>
      </c>
      <c r="N143" s="8">
        <f t="shared" si="22"/>
        <v>10</v>
      </c>
      <c r="O143" s="8">
        <f t="shared" si="22"/>
        <v>8.8000000000000007</v>
      </c>
      <c r="P143" s="8">
        <f t="shared" si="22"/>
        <v>7.6000000000000005</v>
      </c>
      <c r="Q143" s="8">
        <f t="shared" si="22"/>
        <v>6.4</v>
      </c>
      <c r="R143" s="8">
        <f t="shared" si="22"/>
        <v>5.2</v>
      </c>
      <c r="S143" s="8">
        <f t="shared" si="22"/>
        <v>4</v>
      </c>
      <c r="T143" s="8">
        <f t="shared" si="22"/>
        <v>2.8</v>
      </c>
      <c r="U143" s="8">
        <f t="shared" si="22"/>
        <v>1.5999999999999999</v>
      </c>
      <c r="V143" s="8">
        <f t="shared" si="23"/>
        <v>10</v>
      </c>
      <c r="W143" s="8">
        <f t="shared" si="23"/>
        <v>8.8000000000000007</v>
      </c>
      <c r="X143" s="8">
        <f t="shared" si="23"/>
        <v>7.6000000000000005</v>
      </c>
      <c r="Y143" s="8">
        <f t="shared" si="23"/>
        <v>6.4</v>
      </c>
      <c r="Z143" s="8">
        <f t="shared" si="23"/>
        <v>5.2</v>
      </c>
      <c r="AA143" s="8">
        <f t="shared" si="23"/>
        <v>4</v>
      </c>
      <c r="AB143" s="8" t="e">
        <f t="shared" si="23"/>
        <v>#N/A</v>
      </c>
      <c r="AC143" s="8" t="e">
        <f t="shared" si="23"/>
        <v>#N/A</v>
      </c>
    </row>
    <row r="144" spans="13:29">
      <c r="M144" s="14">
        <v>136</v>
      </c>
      <c r="N144" s="8">
        <f t="shared" si="22"/>
        <v>10</v>
      </c>
      <c r="O144" s="8">
        <f t="shared" si="22"/>
        <v>8.8000000000000007</v>
      </c>
      <c r="P144" s="8">
        <f t="shared" si="22"/>
        <v>7.6000000000000005</v>
      </c>
      <c r="Q144" s="8">
        <f t="shared" si="22"/>
        <v>6.4</v>
      </c>
      <c r="R144" s="8">
        <f t="shared" si="22"/>
        <v>5.2</v>
      </c>
      <c r="S144" s="8">
        <f t="shared" si="22"/>
        <v>4</v>
      </c>
      <c r="T144" s="8">
        <f t="shared" si="22"/>
        <v>2.8</v>
      </c>
      <c r="U144" s="8">
        <f t="shared" si="22"/>
        <v>1.5999999999999999</v>
      </c>
      <c r="V144" s="8">
        <f t="shared" si="23"/>
        <v>10</v>
      </c>
      <c r="W144" s="8">
        <f t="shared" si="23"/>
        <v>8.8000000000000007</v>
      </c>
      <c r="X144" s="8">
        <f t="shared" si="23"/>
        <v>7.6000000000000005</v>
      </c>
      <c r="Y144" s="8">
        <f t="shared" si="23"/>
        <v>6.4</v>
      </c>
      <c r="Z144" s="8">
        <f t="shared" si="23"/>
        <v>5.2</v>
      </c>
      <c r="AA144" s="8" t="e">
        <f t="shared" si="23"/>
        <v>#N/A</v>
      </c>
      <c r="AB144" s="8" t="e">
        <f t="shared" si="23"/>
        <v>#N/A</v>
      </c>
      <c r="AC144" s="8" t="e">
        <f t="shared" si="23"/>
        <v>#N/A</v>
      </c>
    </row>
    <row r="145" spans="13:29">
      <c r="M145" s="14">
        <v>137</v>
      </c>
      <c r="N145" s="8">
        <f t="shared" si="22"/>
        <v>10</v>
      </c>
      <c r="O145" s="8">
        <f t="shared" si="22"/>
        <v>8.8000000000000007</v>
      </c>
      <c r="P145" s="8">
        <f t="shared" si="22"/>
        <v>7.6000000000000005</v>
      </c>
      <c r="Q145" s="8">
        <f t="shared" si="22"/>
        <v>6.4</v>
      </c>
      <c r="R145" s="8">
        <f t="shared" si="22"/>
        <v>5.2</v>
      </c>
      <c r="S145" s="8">
        <f t="shared" si="22"/>
        <v>4</v>
      </c>
      <c r="T145" s="8">
        <f t="shared" si="22"/>
        <v>2.8</v>
      </c>
      <c r="U145" s="8">
        <f t="shared" si="22"/>
        <v>1.5999999999999999</v>
      </c>
      <c r="V145" s="8">
        <f t="shared" si="23"/>
        <v>10</v>
      </c>
      <c r="W145" s="8">
        <f t="shared" si="23"/>
        <v>8.8000000000000007</v>
      </c>
      <c r="X145" s="8">
        <f t="shared" si="23"/>
        <v>7.6000000000000005</v>
      </c>
      <c r="Y145" s="8">
        <f t="shared" si="23"/>
        <v>6.4</v>
      </c>
      <c r="Z145" s="8">
        <f t="shared" si="23"/>
        <v>5.2</v>
      </c>
      <c r="AA145" s="8" t="e">
        <f t="shared" si="23"/>
        <v>#N/A</v>
      </c>
      <c r="AB145" s="8" t="e">
        <f t="shared" si="23"/>
        <v>#N/A</v>
      </c>
      <c r="AC145" s="8" t="e">
        <f t="shared" si="23"/>
        <v>#N/A</v>
      </c>
    </row>
    <row r="146" spans="13:29">
      <c r="M146" s="14">
        <v>138</v>
      </c>
      <c r="N146" s="8">
        <f t="shared" si="22"/>
        <v>10</v>
      </c>
      <c r="O146" s="8">
        <f t="shared" si="22"/>
        <v>8.8000000000000007</v>
      </c>
      <c r="P146" s="8">
        <f t="shared" si="22"/>
        <v>7.6000000000000005</v>
      </c>
      <c r="Q146" s="8">
        <f t="shared" si="22"/>
        <v>6.4</v>
      </c>
      <c r="R146" s="8">
        <f t="shared" si="22"/>
        <v>5.2</v>
      </c>
      <c r="S146" s="8">
        <f t="shared" si="22"/>
        <v>4</v>
      </c>
      <c r="T146" s="8">
        <f t="shared" si="22"/>
        <v>2.8</v>
      </c>
      <c r="U146" s="8">
        <f t="shared" si="22"/>
        <v>1.5999999999999999</v>
      </c>
      <c r="V146" s="8">
        <f t="shared" si="23"/>
        <v>10</v>
      </c>
      <c r="W146" s="8">
        <f t="shared" si="23"/>
        <v>8.8000000000000007</v>
      </c>
      <c r="X146" s="8">
        <f t="shared" si="23"/>
        <v>7.6000000000000005</v>
      </c>
      <c r="Y146" s="8">
        <f t="shared" si="23"/>
        <v>6.4</v>
      </c>
      <c r="Z146" s="8">
        <f t="shared" si="23"/>
        <v>5.2</v>
      </c>
      <c r="AA146" s="8" t="e">
        <f t="shared" si="23"/>
        <v>#N/A</v>
      </c>
      <c r="AB146" s="8" t="e">
        <f t="shared" si="23"/>
        <v>#N/A</v>
      </c>
      <c r="AC146" s="8" t="e">
        <f t="shared" si="23"/>
        <v>#N/A</v>
      </c>
    </row>
    <row r="147" spans="13:29">
      <c r="M147" s="14">
        <v>139</v>
      </c>
      <c r="N147" s="8">
        <f t="shared" si="22"/>
        <v>10</v>
      </c>
      <c r="O147" s="8">
        <f t="shared" si="22"/>
        <v>8.8000000000000007</v>
      </c>
      <c r="P147" s="8">
        <f t="shared" si="22"/>
        <v>7.6000000000000005</v>
      </c>
      <c r="Q147" s="8">
        <f t="shared" si="22"/>
        <v>6.4</v>
      </c>
      <c r="R147" s="8">
        <f t="shared" si="22"/>
        <v>5.2</v>
      </c>
      <c r="S147" s="8">
        <f t="shared" si="22"/>
        <v>4</v>
      </c>
      <c r="T147" s="8">
        <f t="shared" si="22"/>
        <v>2.8</v>
      </c>
      <c r="U147" s="8">
        <f t="shared" si="22"/>
        <v>1.5999999999999999</v>
      </c>
      <c r="V147" s="8">
        <f t="shared" si="23"/>
        <v>10</v>
      </c>
      <c r="W147" s="8">
        <f t="shared" si="23"/>
        <v>8.8000000000000007</v>
      </c>
      <c r="X147" s="8">
        <f t="shared" si="23"/>
        <v>7.6000000000000005</v>
      </c>
      <c r="Y147" s="8">
        <f t="shared" si="23"/>
        <v>6.4</v>
      </c>
      <c r="Z147" s="8">
        <f t="shared" si="23"/>
        <v>5.2</v>
      </c>
      <c r="AA147" s="8" t="e">
        <f t="shared" si="23"/>
        <v>#N/A</v>
      </c>
      <c r="AB147" s="8" t="e">
        <f t="shared" si="23"/>
        <v>#N/A</v>
      </c>
      <c r="AC147" s="8" t="e">
        <f t="shared" si="23"/>
        <v>#N/A</v>
      </c>
    </row>
    <row r="148" spans="13:29">
      <c r="M148" s="14">
        <v>140</v>
      </c>
      <c r="N148" s="8">
        <f t="shared" si="22"/>
        <v>10</v>
      </c>
      <c r="O148" s="8">
        <f t="shared" si="22"/>
        <v>8.8000000000000007</v>
      </c>
      <c r="P148" s="8">
        <f t="shared" si="22"/>
        <v>7.6000000000000005</v>
      </c>
      <c r="Q148" s="8">
        <f t="shared" si="22"/>
        <v>6.4</v>
      </c>
      <c r="R148" s="8">
        <f t="shared" si="22"/>
        <v>5.2</v>
      </c>
      <c r="S148" s="8">
        <f t="shared" si="22"/>
        <v>4</v>
      </c>
      <c r="T148" s="8">
        <f t="shared" si="22"/>
        <v>2.8</v>
      </c>
      <c r="U148" s="8">
        <f t="shared" si="22"/>
        <v>1.5999999999999999</v>
      </c>
      <c r="V148" s="8">
        <f t="shared" si="23"/>
        <v>10</v>
      </c>
      <c r="W148" s="8">
        <f t="shared" si="23"/>
        <v>8.8000000000000007</v>
      </c>
      <c r="X148" s="8">
        <f t="shared" si="23"/>
        <v>7.6000000000000005</v>
      </c>
      <c r="Y148" s="8">
        <f t="shared" si="23"/>
        <v>6.4</v>
      </c>
      <c r="Z148" s="8">
        <f t="shared" si="23"/>
        <v>5.2</v>
      </c>
      <c r="AA148" s="8" t="e">
        <f t="shared" si="23"/>
        <v>#N/A</v>
      </c>
      <c r="AB148" s="8" t="e">
        <f t="shared" si="23"/>
        <v>#N/A</v>
      </c>
      <c r="AC148" s="8" t="e">
        <f t="shared" si="23"/>
        <v>#N/A</v>
      </c>
    </row>
    <row r="149" spans="13:29">
      <c r="M149" s="14">
        <v>141</v>
      </c>
      <c r="N149" s="8">
        <f t="shared" si="22"/>
        <v>10</v>
      </c>
      <c r="O149" s="8">
        <f t="shared" si="22"/>
        <v>8.8000000000000007</v>
      </c>
      <c r="P149" s="8">
        <f t="shared" si="22"/>
        <v>7.6000000000000005</v>
      </c>
      <c r="Q149" s="8">
        <f t="shared" si="22"/>
        <v>6.4</v>
      </c>
      <c r="R149" s="8">
        <f t="shared" si="22"/>
        <v>5.2</v>
      </c>
      <c r="S149" s="8">
        <f t="shared" si="22"/>
        <v>4</v>
      </c>
      <c r="T149" s="8">
        <f t="shared" si="22"/>
        <v>2.8</v>
      </c>
      <c r="U149" s="8">
        <f t="shared" si="22"/>
        <v>1.5999999999999999</v>
      </c>
      <c r="V149" s="8">
        <f t="shared" si="23"/>
        <v>10</v>
      </c>
      <c r="W149" s="8">
        <f t="shared" si="23"/>
        <v>8.8000000000000007</v>
      </c>
      <c r="X149" s="8">
        <f t="shared" si="23"/>
        <v>7.6000000000000005</v>
      </c>
      <c r="Y149" s="8">
        <f t="shared" si="23"/>
        <v>6.4</v>
      </c>
      <c r="Z149" s="8">
        <f t="shared" si="23"/>
        <v>5.2</v>
      </c>
      <c r="AA149" s="8" t="e">
        <f t="shared" si="23"/>
        <v>#N/A</v>
      </c>
      <c r="AB149" s="8" t="e">
        <f t="shared" si="23"/>
        <v>#N/A</v>
      </c>
      <c r="AC149" s="8" t="e">
        <f t="shared" si="23"/>
        <v>#N/A</v>
      </c>
    </row>
    <row r="150" spans="13:29">
      <c r="M150" s="14">
        <v>142</v>
      </c>
      <c r="N150" s="8">
        <f t="shared" si="22"/>
        <v>10</v>
      </c>
      <c r="O150" s="8">
        <f t="shared" si="22"/>
        <v>8.8000000000000007</v>
      </c>
      <c r="P150" s="8">
        <f t="shared" si="22"/>
        <v>7.6000000000000005</v>
      </c>
      <c r="Q150" s="8">
        <f t="shared" si="22"/>
        <v>6.4</v>
      </c>
      <c r="R150" s="8">
        <f t="shared" si="22"/>
        <v>5.2</v>
      </c>
      <c r="S150" s="8">
        <f t="shared" si="22"/>
        <v>4</v>
      </c>
      <c r="T150" s="8">
        <f t="shared" si="22"/>
        <v>2.8</v>
      </c>
      <c r="U150" s="8">
        <f t="shared" si="22"/>
        <v>1.5999999999999999</v>
      </c>
      <c r="V150" s="8">
        <f t="shared" si="23"/>
        <v>10</v>
      </c>
      <c r="W150" s="8">
        <f t="shared" si="23"/>
        <v>8.8000000000000007</v>
      </c>
      <c r="X150" s="8">
        <f t="shared" si="23"/>
        <v>7.6000000000000005</v>
      </c>
      <c r="Y150" s="8">
        <f t="shared" si="23"/>
        <v>6.4</v>
      </c>
      <c r="Z150" s="8">
        <f t="shared" si="23"/>
        <v>5.2</v>
      </c>
      <c r="AA150" s="8" t="e">
        <f t="shared" si="23"/>
        <v>#N/A</v>
      </c>
      <c r="AB150" s="8" t="e">
        <f t="shared" si="23"/>
        <v>#N/A</v>
      </c>
      <c r="AC150" s="8" t="e">
        <f t="shared" si="23"/>
        <v>#N/A</v>
      </c>
    </row>
    <row r="151" spans="13:29">
      <c r="M151" s="14">
        <v>143</v>
      </c>
      <c r="N151" s="8">
        <f t="shared" si="22"/>
        <v>10</v>
      </c>
      <c r="O151" s="8">
        <f t="shared" si="22"/>
        <v>8.8000000000000007</v>
      </c>
      <c r="P151" s="8">
        <f t="shared" si="22"/>
        <v>7.6000000000000005</v>
      </c>
      <c r="Q151" s="8">
        <f t="shared" si="22"/>
        <v>6.4</v>
      </c>
      <c r="R151" s="8">
        <f t="shared" si="22"/>
        <v>5.2</v>
      </c>
      <c r="S151" s="8">
        <f t="shared" si="22"/>
        <v>4</v>
      </c>
      <c r="T151" s="8">
        <f t="shared" si="22"/>
        <v>2.8</v>
      </c>
      <c r="U151" s="8">
        <f t="shared" si="22"/>
        <v>1.5999999999999999</v>
      </c>
      <c r="V151" s="8">
        <f t="shared" si="23"/>
        <v>10</v>
      </c>
      <c r="W151" s="8">
        <f t="shared" si="23"/>
        <v>8.8000000000000007</v>
      </c>
      <c r="X151" s="8">
        <f t="shared" si="23"/>
        <v>7.6000000000000005</v>
      </c>
      <c r="Y151" s="8">
        <f t="shared" si="23"/>
        <v>6.4</v>
      </c>
      <c r="Z151" s="8">
        <f t="shared" si="23"/>
        <v>5.2</v>
      </c>
      <c r="AA151" s="8" t="e">
        <f t="shared" si="23"/>
        <v>#N/A</v>
      </c>
      <c r="AB151" s="8" t="e">
        <f t="shared" si="23"/>
        <v>#N/A</v>
      </c>
      <c r="AC151" s="8" t="e">
        <f t="shared" si="23"/>
        <v>#N/A</v>
      </c>
    </row>
    <row r="152" spans="13:29">
      <c r="M152" s="14">
        <v>144</v>
      </c>
      <c r="N152" s="8">
        <f t="shared" si="22"/>
        <v>10</v>
      </c>
      <c r="O152" s="8">
        <f t="shared" si="22"/>
        <v>8.8000000000000007</v>
      </c>
      <c r="P152" s="8">
        <f t="shared" si="22"/>
        <v>7.6000000000000005</v>
      </c>
      <c r="Q152" s="8">
        <f t="shared" si="22"/>
        <v>6.4</v>
      </c>
      <c r="R152" s="8">
        <f t="shared" si="22"/>
        <v>5.2</v>
      </c>
      <c r="S152" s="8">
        <f t="shared" si="22"/>
        <v>4</v>
      </c>
      <c r="T152" s="8">
        <f t="shared" si="22"/>
        <v>2.8</v>
      </c>
      <c r="U152" s="8">
        <f t="shared" si="22"/>
        <v>1.5999999999999999</v>
      </c>
      <c r="V152" s="8">
        <f t="shared" si="23"/>
        <v>10</v>
      </c>
      <c r="W152" s="8">
        <f t="shared" si="23"/>
        <v>8.8000000000000007</v>
      </c>
      <c r="X152" s="8">
        <f t="shared" si="23"/>
        <v>7.6000000000000005</v>
      </c>
      <c r="Y152" s="8">
        <f t="shared" si="23"/>
        <v>6.4</v>
      </c>
      <c r="Z152" s="8">
        <f t="shared" si="23"/>
        <v>5.2</v>
      </c>
      <c r="AA152" s="8" t="e">
        <f t="shared" si="23"/>
        <v>#N/A</v>
      </c>
      <c r="AB152" s="8" t="e">
        <f t="shared" si="23"/>
        <v>#N/A</v>
      </c>
      <c r="AC152" s="8" t="e">
        <f t="shared" si="23"/>
        <v>#N/A</v>
      </c>
    </row>
    <row r="153" spans="13:29">
      <c r="M153" s="14">
        <v>145</v>
      </c>
      <c r="N153" s="8">
        <f t="shared" ref="N153:U168" si="24">IF($M153&lt;=100/$G$15*$H$15,N$5,NA())</f>
        <v>10</v>
      </c>
      <c r="O153" s="8">
        <f t="shared" si="24"/>
        <v>8.8000000000000007</v>
      </c>
      <c r="P153" s="8">
        <f t="shared" si="24"/>
        <v>7.6000000000000005</v>
      </c>
      <c r="Q153" s="8">
        <f t="shared" si="24"/>
        <v>6.4</v>
      </c>
      <c r="R153" s="8">
        <f t="shared" si="24"/>
        <v>5.2</v>
      </c>
      <c r="S153" s="8">
        <f t="shared" si="24"/>
        <v>4</v>
      </c>
      <c r="T153" s="8">
        <f t="shared" si="24"/>
        <v>2.8</v>
      </c>
      <c r="U153" s="8">
        <f t="shared" si="24"/>
        <v>1.5999999999999999</v>
      </c>
      <c r="V153" s="8">
        <f t="shared" ref="V153:AC168" si="25">IF($M153&lt;=INDEX($K$5:$K$12,V$6)/$G$15*$H$15,V$5,NA())</f>
        <v>10</v>
      </c>
      <c r="W153" s="8">
        <f t="shared" si="25"/>
        <v>8.8000000000000007</v>
      </c>
      <c r="X153" s="8">
        <f t="shared" si="25"/>
        <v>7.6000000000000005</v>
      </c>
      <c r="Y153" s="8">
        <f t="shared" si="25"/>
        <v>6.4</v>
      </c>
      <c r="Z153" s="8">
        <f t="shared" si="25"/>
        <v>5.2</v>
      </c>
      <c r="AA153" s="8" t="e">
        <f t="shared" si="25"/>
        <v>#N/A</v>
      </c>
      <c r="AB153" s="8" t="e">
        <f t="shared" si="25"/>
        <v>#N/A</v>
      </c>
      <c r="AC153" s="8" t="e">
        <f t="shared" si="25"/>
        <v>#N/A</v>
      </c>
    </row>
    <row r="154" spans="13:29">
      <c r="M154" s="14">
        <v>146</v>
      </c>
      <c r="N154" s="8">
        <f t="shared" si="24"/>
        <v>10</v>
      </c>
      <c r="O154" s="8">
        <f t="shared" si="24"/>
        <v>8.8000000000000007</v>
      </c>
      <c r="P154" s="8">
        <f t="shared" si="24"/>
        <v>7.6000000000000005</v>
      </c>
      <c r="Q154" s="8">
        <f t="shared" si="24"/>
        <v>6.4</v>
      </c>
      <c r="R154" s="8">
        <f t="shared" si="24"/>
        <v>5.2</v>
      </c>
      <c r="S154" s="8">
        <f t="shared" si="24"/>
        <v>4</v>
      </c>
      <c r="T154" s="8">
        <f t="shared" si="24"/>
        <v>2.8</v>
      </c>
      <c r="U154" s="8">
        <f t="shared" si="24"/>
        <v>1.5999999999999999</v>
      </c>
      <c r="V154" s="8">
        <f t="shared" si="25"/>
        <v>10</v>
      </c>
      <c r="W154" s="8">
        <f t="shared" si="25"/>
        <v>8.8000000000000007</v>
      </c>
      <c r="X154" s="8">
        <f t="shared" si="25"/>
        <v>7.6000000000000005</v>
      </c>
      <c r="Y154" s="8">
        <f t="shared" si="25"/>
        <v>6.4</v>
      </c>
      <c r="Z154" s="8">
        <f t="shared" si="25"/>
        <v>5.2</v>
      </c>
      <c r="AA154" s="8" t="e">
        <f t="shared" si="25"/>
        <v>#N/A</v>
      </c>
      <c r="AB154" s="8" t="e">
        <f t="shared" si="25"/>
        <v>#N/A</v>
      </c>
      <c r="AC154" s="8" t="e">
        <f t="shared" si="25"/>
        <v>#N/A</v>
      </c>
    </row>
    <row r="155" spans="13:29">
      <c r="M155" s="14">
        <v>147</v>
      </c>
      <c r="N155" s="8">
        <f t="shared" si="24"/>
        <v>10</v>
      </c>
      <c r="O155" s="8">
        <f t="shared" si="24"/>
        <v>8.8000000000000007</v>
      </c>
      <c r="P155" s="8">
        <f t="shared" si="24"/>
        <v>7.6000000000000005</v>
      </c>
      <c r="Q155" s="8">
        <f t="shared" si="24"/>
        <v>6.4</v>
      </c>
      <c r="R155" s="8">
        <f t="shared" si="24"/>
        <v>5.2</v>
      </c>
      <c r="S155" s="8">
        <f t="shared" si="24"/>
        <v>4</v>
      </c>
      <c r="T155" s="8">
        <f t="shared" si="24"/>
        <v>2.8</v>
      </c>
      <c r="U155" s="8">
        <f t="shared" si="24"/>
        <v>1.5999999999999999</v>
      </c>
      <c r="V155" s="8">
        <f t="shared" si="25"/>
        <v>10</v>
      </c>
      <c r="W155" s="8">
        <f t="shared" si="25"/>
        <v>8.8000000000000007</v>
      </c>
      <c r="X155" s="8">
        <f t="shared" si="25"/>
        <v>7.6000000000000005</v>
      </c>
      <c r="Y155" s="8">
        <f t="shared" si="25"/>
        <v>6.4</v>
      </c>
      <c r="Z155" s="8">
        <f t="shared" si="25"/>
        <v>5.2</v>
      </c>
      <c r="AA155" s="8" t="e">
        <f t="shared" si="25"/>
        <v>#N/A</v>
      </c>
      <c r="AB155" s="8" t="e">
        <f t="shared" si="25"/>
        <v>#N/A</v>
      </c>
      <c r="AC155" s="8" t="e">
        <f t="shared" si="25"/>
        <v>#N/A</v>
      </c>
    </row>
    <row r="156" spans="13:29">
      <c r="M156" s="14">
        <v>148</v>
      </c>
      <c r="N156" s="8">
        <f t="shared" si="24"/>
        <v>10</v>
      </c>
      <c r="O156" s="8">
        <f t="shared" si="24"/>
        <v>8.8000000000000007</v>
      </c>
      <c r="P156" s="8">
        <f t="shared" si="24"/>
        <v>7.6000000000000005</v>
      </c>
      <c r="Q156" s="8">
        <f t="shared" si="24"/>
        <v>6.4</v>
      </c>
      <c r="R156" s="8">
        <f t="shared" si="24"/>
        <v>5.2</v>
      </c>
      <c r="S156" s="8">
        <f t="shared" si="24"/>
        <v>4</v>
      </c>
      <c r="T156" s="8">
        <f t="shared" si="24"/>
        <v>2.8</v>
      </c>
      <c r="U156" s="8">
        <f t="shared" si="24"/>
        <v>1.5999999999999999</v>
      </c>
      <c r="V156" s="8">
        <f t="shared" si="25"/>
        <v>10</v>
      </c>
      <c r="W156" s="8">
        <f t="shared" si="25"/>
        <v>8.8000000000000007</v>
      </c>
      <c r="X156" s="8">
        <f t="shared" si="25"/>
        <v>7.6000000000000005</v>
      </c>
      <c r="Y156" s="8">
        <f t="shared" si="25"/>
        <v>6.4</v>
      </c>
      <c r="Z156" s="8">
        <f t="shared" si="25"/>
        <v>5.2</v>
      </c>
      <c r="AA156" s="8" t="e">
        <f t="shared" si="25"/>
        <v>#N/A</v>
      </c>
      <c r="AB156" s="8" t="e">
        <f t="shared" si="25"/>
        <v>#N/A</v>
      </c>
      <c r="AC156" s="8" t="e">
        <f t="shared" si="25"/>
        <v>#N/A</v>
      </c>
    </row>
    <row r="157" spans="13:29">
      <c r="M157" s="14">
        <v>149</v>
      </c>
      <c r="N157" s="8">
        <f t="shared" si="24"/>
        <v>10</v>
      </c>
      <c r="O157" s="8">
        <f t="shared" si="24"/>
        <v>8.8000000000000007</v>
      </c>
      <c r="P157" s="8">
        <f t="shared" si="24"/>
        <v>7.6000000000000005</v>
      </c>
      <c r="Q157" s="8">
        <f t="shared" si="24"/>
        <v>6.4</v>
      </c>
      <c r="R157" s="8">
        <f t="shared" si="24"/>
        <v>5.2</v>
      </c>
      <c r="S157" s="8">
        <f t="shared" si="24"/>
        <v>4</v>
      </c>
      <c r="T157" s="8">
        <f t="shared" si="24"/>
        <v>2.8</v>
      </c>
      <c r="U157" s="8">
        <f t="shared" si="24"/>
        <v>1.5999999999999999</v>
      </c>
      <c r="V157" s="8">
        <f t="shared" si="25"/>
        <v>10</v>
      </c>
      <c r="W157" s="8">
        <f t="shared" si="25"/>
        <v>8.8000000000000007</v>
      </c>
      <c r="X157" s="8">
        <f t="shared" si="25"/>
        <v>7.6000000000000005</v>
      </c>
      <c r="Y157" s="8">
        <f t="shared" si="25"/>
        <v>6.4</v>
      </c>
      <c r="Z157" s="8">
        <f t="shared" si="25"/>
        <v>5.2</v>
      </c>
      <c r="AA157" s="8" t="e">
        <f t="shared" si="25"/>
        <v>#N/A</v>
      </c>
      <c r="AB157" s="8" t="e">
        <f t="shared" si="25"/>
        <v>#N/A</v>
      </c>
      <c r="AC157" s="8" t="e">
        <f t="shared" si="25"/>
        <v>#N/A</v>
      </c>
    </row>
    <row r="158" spans="13:29">
      <c r="M158" s="14">
        <v>150</v>
      </c>
      <c r="N158" s="8">
        <f t="shared" si="24"/>
        <v>10</v>
      </c>
      <c r="O158" s="8">
        <f t="shared" si="24"/>
        <v>8.8000000000000007</v>
      </c>
      <c r="P158" s="8">
        <f t="shared" si="24"/>
        <v>7.6000000000000005</v>
      </c>
      <c r="Q158" s="8">
        <f t="shared" si="24"/>
        <v>6.4</v>
      </c>
      <c r="R158" s="8">
        <f t="shared" si="24"/>
        <v>5.2</v>
      </c>
      <c r="S158" s="8">
        <f t="shared" si="24"/>
        <v>4</v>
      </c>
      <c r="T158" s="8">
        <f t="shared" si="24"/>
        <v>2.8</v>
      </c>
      <c r="U158" s="8">
        <f t="shared" si="24"/>
        <v>1.5999999999999999</v>
      </c>
      <c r="V158" s="8">
        <f t="shared" si="25"/>
        <v>10</v>
      </c>
      <c r="W158" s="8">
        <f t="shared" si="25"/>
        <v>8.8000000000000007</v>
      </c>
      <c r="X158" s="8">
        <f t="shared" si="25"/>
        <v>7.6000000000000005</v>
      </c>
      <c r="Y158" s="8">
        <f t="shared" si="25"/>
        <v>6.4</v>
      </c>
      <c r="Z158" s="8">
        <f t="shared" si="25"/>
        <v>5.2</v>
      </c>
      <c r="AA158" s="8" t="e">
        <f t="shared" si="25"/>
        <v>#N/A</v>
      </c>
      <c r="AB158" s="8" t="e">
        <f t="shared" si="25"/>
        <v>#N/A</v>
      </c>
      <c r="AC158" s="8" t="e">
        <f t="shared" si="25"/>
        <v>#N/A</v>
      </c>
    </row>
    <row r="159" spans="13:29">
      <c r="M159" s="14">
        <v>151</v>
      </c>
      <c r="N159" s="8">
        <f t="shared" si="24"/>
        <v>10</v>
      </c>
      <c r="O159" s="8">
        <f t="shared" si="24"/>
        <v>8.8000000000000007</v>
      </c>
      <c r="P159" s="8">
        <f t="shared" si="24"/>
        <v>7.6000000000000005</v>
      </c>
      <c r="Q159" s="8">
        <f t="shared" si="24"/>
        <v>6.4</v>
      </c>
      <c r="R159" s="8">
        <f t="shared" si="24"/>
        <v>5.2</v>
      </c>
      <c r="S159" s="8">
        <f t="shared" si="24"/>
        <v>4</v>
      </c>
      <c r="T159" s="8">
        <f t="shared" si="24"/>
        <v>2.8</v>
      </c>
      <c r="U159" s="8">
        <f t="shared" si="24"/>
        <v>1.5999999999999999</v>
      </c>
      <c r="V159" s="8">
        <f t="shared" si="25"/>
        <v>10</v>
      </c>
      <c r="W159" s="8">
        <f t="shared" si="25"/>
        <v>8.8000000000000007</v>
      </c>
      <c r="X159" s="8">
        <f t="shared" si="25"/>
        <v>7.6000000000000005</v>
      </c>
      <c r="Y159" s="8">
        <f t="shared" si="25"/>
        <v>6.4</v>
      </c>
      <c r="Z159" s="8">
        <f t="shared" si="25"/>
        <v>5.2</v>
      </c>
      <c r="AA159" s="8" t="e">
        <f t="shared" si="25"/>
        <v>#N/A</v>
      </c>
      <c r="AB159" s="8" t="e">
        <f t="shared" si="25"/>
        <v>#N/A</v>
      </c>
      <c r="AC159" s="8" t="e">
        <f t="shared" si="25"/>
        <v>#N/A</v>
      </c>
    </row>
    <row r="160" spans="13:29">
      <c r="M160" s="14">
        <v>152</v>
      </c>
      <c r="N160" s="8">
        <f t="shared" si="24"/>
        <v>10</v>
      </c>
      <c r="O160" s="8">
        <f t="shared" si="24"/>
        <v>8.8000000000000007</v>
      </c>
      <c r="P160" s="8">
        <f t="shared" si="24"/>
        <v>7.6000000000000005</v>
      </c>
      <c r="Q160" s="8">
        <f t="shared" si="24"/>
        <v>6.4</v>
      </c>
      <c r="R160" s="8">
        <f t="shared" si="24"/>
        <v>5.2</v>
      </c>
      <c r="S160" s="8">
        <f t="shared" si="24"/>
        <v>4</v>
      </c>
      <c r="T160" s="8">
        <f t="shared" si="24"/>
        <v>2.8</v>
      </c>
      <c r="U160" s="8">
        <f t="shared" si="24"/>
        <v>1.5999999999999999</v>
      </c>
      <c r="V160" s="8">
        <f t="shared" si="25"/>
        <v>10</v>
      </c>
      <c r="W160" s="8">
        <f t="shared" si="25"/>
        <v>8.8000000000000007</v>
      </c>
      <c r="X160" s="8">
        <f t="shared" si="25"/>
        <v>7.6000000000000005</v>
      </c>
      <c r="Y160" s="8">
        <f t="shared" si="25"/>
        <v>6.4</v>
      </c>
      <c r="Z160" s="8">
        <f t="shared" si="25"/>
        <v>5.2</v>
      </c>
      <c r="AA160" s="8" t="e">
        <f t="shared" si="25"/>
        <v>#N/A</v>
      </c>
      <c r="AB160" s="8" t="e">
        <f t="shared" si="25"/>
        <v>#N/A</v>
      </c>
      <c r="AC160" s="8" t="e">
        <f t="shared" si="25"/>
        <v>#N/A</v>
      </c>
    </row>
    <row r="161" spans="13:29">
      <c r="M161" s="14">
        <v>153</v>
      </c>
      <c r="N161" s="8">
        <f t="shared" si="24"/>
        <v>10</v>
      </c>
      <c r="O161" s="8">
        <f t="shared" si="24"/>
        <v>8.8000000000000007</v>
      </c>
      <c r="P161" s="8">
        <f t="shared" si="24"/>
        <v>7.6000000000000005</v>
      </c>
      <c r="Q161" s="8">
        <f t="shared" si="24"/>
        <v>6.4</v>
      </c>
      <c r="R161" s="8">
        <f t="shared" si="24"/>
        <v>5.2</v>
      </c>
      <c r="S161" s="8">
        <f t="shared" si="24"/>
        <v>4</v>
      </c>
      <c r="T161" s="8">
        <f t="shared" si="24"/>
        <v>2.8</v>
      </c>
      <c r="U161" s="8">
        <f t="shared" si="24"/>
        <v>1.5999999999999999</v>
      </c>
      <c r="V161" s="8">
        <f t="shared" si="25"/>
        <v>10</v>
      </c>
      <c r="W161" s="8">
        <f t="shared" si="25"/>
        <v>8.8000000000000007</v>
      </c>
      <c r="X161" s="8">
        <f t="shared" si="25"/>
        <v>7.6000000000000005</v>
      </c>
      <c r="Y161" s="8">
        <f t="shared" si="25"/>
        <v>6.4</v>
      </c>
      <c r="Z161" s="8">
        <f t="shared" si="25"/>
        <v>5.2</v>
      </c>
      <c r="AA161" s="8" t="e">
        <f t="shared" si="25"/>
        <v>#N/A</v>
      </c>
      <c r="AB161" s="8" t="e">
        <f t="shared" si="25"/>
        <v>#N/A</v>
      </c>
      <c r="AC161" s="8" t="e">
        <f t="shared" si="25"/>
        <v>#N/A</v>
      </c>
    </row>
    <row r="162" spans="13:29">
      <c r="M162" s="14">
        <v>154</v>
      </c>
      <c r="N162" s="8">
        <f t="shared" si="24"/>
        <v>10</v>
      </c>
      <c r="O162" s="8">
        <f t="shared" si="24"/>
        <v>8.8000000000000007</v>
      </c>
      <c r="P162" s="8">
        <f t="shared" si="24"/>
        <v>7.6000000000000005</v>
      </c>
      <c r="Q162" s="8">
        <f t="shared" si="24"/>
        <v>6.4</v>
      </c>
      <c r="R162" s="8">
        <f t="shared" si="24"/>
        <v>5.2</v>
      </c>
      <c r="S162" s="8">
        <f t="shared" si="24"/>
        <v>4</v>
      </c>
      <c r="T162" s="8">
        <f t="shared" si="24"/>
        <v>2.8</v>
      </c>
      <c r="U162" s="8">
        <f t="shared" si="24"/>
        <v>1.5999999999999999</v>
      </c>
      <c r="V162" s="8">
        <f t="shared" si="25"/>
        <v>10</v>
      </c>
      <c r="W162" s="8">
        <f t="shared" si="25"/>
        <v>8.8000000000000007</v>
      </c>
      <c r="X162" s="8">
        <f t="shared" si="25"/>
        <v>7.6000000000000005</v>
      </c>
      <c r="Y162" s="8">
        <f t="shared" si="25"/>
        <v>6.4</v>
      </c>
      <c r="Z162" s="8">
        <f t="shared" si="25"/>
        <v>5.2</v>
      </c>
      <c r="AA162" s="8" t="e">
        <f t="shared" si="25"/>
        <v>#N/A</v>
      </c>
      <c r="AB162" s="8" t="e">
        <f t="shared" si="25"/>
        <v>#N/A</v>
      </c>
      <c r="AC162" s="8" t="e">
        <f t="shared" si="25"/>
        <v>#N/A</v>
      </c>
    </row>
    <row r="163" spans="13:29">
      <c r="M163" s="14">
        <v>155</v>
      </c>
      <c r="N163" s="8">
        <f t="shared" si="24"/>
        <v>10</v>
      </c>
      <c r="O163" s="8">
        <f t="shared" si="24"/>
        <v>8.8000000000000007</v>
      </c>
      <c r="P163" s="8">
        <f t="shared" si="24"/>
        <v>7.6000000000000005</v>
      </c>
      <c r="Q163" s="8">
        <f t="shared" si="24"/>
        <v>6.4</v>
      </c>
      <c r="R163" s="8">
        <f t="shared" si="24"/>
        <v>5.2</v>
      </c>
      <c r="S163" s="8">
        <f t="shared" si="24"/>
        <v>4</v>
      </c>
      <c r="T163" s="8">
        <f t="shared" si="24"/>
        <v>2.8</v>
      </c>
      <c r="U163" s="8">
        <f t="shared" si="24"/>
        <v>1.5999999999999999</v>
      </c>
      <c r="V163" s="8">
        <f t="shared" si="25"/>
        <v>10</v>
      </c>
      <c r="W163" s="8">
        <f t="shared" si="25"/>
        <v>8.8000000000000007</v>
      </c>
      <c r="X163" s="8">
        <f t="shared" si="25"/>
        <v>7.6000000000000005</v>
      </c>
      <c r="Y163" s="8">
        <f t="shared" si="25"/>
        <v>6.4</v>
      </c>
      <c r="Z163" s="8">
        <f t="shared" si="25"/>
        <v>5.2</v>
      </c>
      <c r="AA163" s="8" t="e">
        <f t="shared" si="25"/>
        <v>#N/A</v>
      </c>
      <c r="AB163" s="8" t="e">
        <f t="shared" si="25"/>
        <v>#N/A</v>
      </c>
      <c r="AC163" s="8" t="e">
        <f t="shared" si="25"/>
        <v>#N/A</v>
      </c>
    </row>
    <row r="164" spans="13:29">
      <c r="M164" s="14">
        <v>156</v>
      </c>
      <c r="N164" s="8">
        <f t="shared" si="24"/>
        <v>10</v>
      </c>
      <c r="O164" s="8">
        <f t="shared" si="24"/>
        <v>8.8000000000000007</v>
      </c>
      <c r="P164" s="8">
        <f t="shared" si="24"/>
        <v>7.6000000000000005</v>
      </c>
      <c r="Q164" s="8">
        <f t="shared" si="24"/>
        <v>6.4</v>
      </c>
      <c r="R164" s="8">
        <f t="shared" si="24"/>
        <v>5.2</v>
      </c>
      <c r="S164" s="8">
        <f t="shared" si="24"/>
        <v>4</v>
      </c>
      <c r="T164" s="8">
        <f t="shared" si="24"/>
        <v>2.8</v>
      </c>
      <c r="U164" s="8">
        <f t="shared" si="24"/>
        <v>1.5999999999999999</v>
      </c>
      <c r="V164" s="8">
        <f t="shared" si="25"/>
        <v>10</v>
      </c>
      <c r="W164" s="8">
        <f t="shared" si="25"/>
        <v>8.8000000000000007</v>
      </c>
      <c r="X164" s="8">
        <f t="shared" si="25"/>
        <v>7.6000000000000005</v>
      </c>
      <c r="Y164" s="8">
        <f t="shared" si="25"/>
        <v>6.4</v>
      </c>
      <c r="Z164" s="8">
        <f t="shared" si="25"/>
        <v>5.2</v>
      </c>
      <c r="AA164" s="8" t="e">
        <f t="shared" si="25"/>
        <v>#N/A</v>
      </c>
      <c r="AB164" s="8" t="e">
        <f t="shared" si="25"/>
        <v>#N/A</v>
      </c>
      <c r="AC164" s="8" t="e">
        <f t="shared" si="25"/>
        <v>#N/A</v>
      </c>
    </row>
    <row r="165" spans="13:29">
      <c r="M165" s="14">
        <v>157</v>
      </c>
      <c r="N165" s="8">
        <f t="shared" si="24"/>
        <v>10</v>
      </c>
      <c r="O165" s="8">
        <f t="shared" si="24"/>
        <v>8.8000000000000007</v>
      </c>
      <c r="P165" s="8">
        <f t="shared" si="24"/>
        <v>7.6000000000000005</v>
      </c>
      <c r="Q165" s="8">
        <f t="shared" si="24"/>
        <v>6.4</v>
      </c>
      <c r="R165" s="8">
        <f t="shared" si="24"/>
        <v>5.2</v>
      </c>
      <c r="S165" s="8">
        <f t="shared" si="24"/>
        <v>4</v>
      </c>
      <c r="T165" s="8">
        <f t="shared" si="24"/>
        <v>2.8</v>
      </c>
      <c r="U165" s="8">
        <f t="shared" si="24"/>
        <v>1.5999999999999999</v>
      </c>
      <c r="V165" s="8">
        <f t="shared" si="25"/>
        <v>10</v>
      </c>
      <c r="W165" s="8">
        <f t="shared" si="25"/>
        <v>8.8000000000000007</v>
      </c>
      <c r="X165" s="8">
        <f t="shared" si="25"/>
        <v>7.6000000000000005</v>
      </c>
      <c r="Y165" s="8">
        <f t="shared" si="25"/>
        <v>6.4</v>
      </c>
      <c r="Z165" s="8">
        <f t="shared" si="25"/>
        <v>5.2</v>
      </c>
      <c r="AA165" s="8" t="e">
        <f t="shared" si="25"/>
        <v>#N/A</v>
      </c>
      <c r="AB165" s="8" t="e">
        <f t="shared" si="25"/>
        <v>#N/A</v>
      </c>
      <c r="AC165" s="8" t="e">
        <f t="shared" si="25"/>
        <v>#N/A</v>
      </c>
    </row>
    <row r="166" spans="13:29">
      <c r="M166" s="14">
        <v>158</v>
      </c>
      <c r="N166" s="8">
        <f t="shared" si="24"/>
        <v>10</v>
      </c>
      <c r="O166" s="8">
        <f t="shared" si="24"/>
        <v>8.8000000000000007</v>
      </c>
      <c r="P166" s="8">
        <f t="shared" si="24"/>
        <v>7.6000000000000005</v>
      </c>
      <c r="Q166" s="8">
        <f t="shared" si="24"/>
        <v>6.4</v>
      </c>
      <c r="R166" s="8">
        <f t="shared" si="24"/>
        <v>5.2</v>
      </c>
      <c r="S166" s="8">
        <f t="shared" si="24"/>
        <v>4</v>
      </c>
      <c r="T166" s="8">
        <f t="shared" si="24"/>
        <v>2.8</v>
      </c>
      <c r="U166" s="8">
        <f t="shared" si="24"/>
        <v>1.5999999999999999</v>
      </c>
      <c r="V166" s="8">
        <f t="shared" si="25"/>
        <v>10</v>
      </c>
      <c r="W166" s="8">
        <f t="shared" si="25"/>
        <v>8.8000000000000007</v>
      </c>
      <c r="X166" s="8">
        <f t="shared" si="25"/>
        <v>7.6000000000000005</v>
      </c>
      <c r="Y166" s="8">
        <f t="shared" si="25"/>
        <v>6.4</v>
      </c>
      <c r="Z166" s="8">
        <f t="shared" si="25"/>
        <v>5.2</v>
      </c>
      <c r="AA166" s="8" t="e">
        <f t="shared" si="25"/>
        <v>#N/A</v>
      </c>
      <c r="AB166" s="8" t="e">
        <f t="shared" si="25"/>
        <v>#N/A</v>
      </c>
      <c r="AC166" s="8" t="e">
        <f t="shared" si="25"/>
        <v>#N/A</v>
      </c>
    </row>
    <row r="167" spans="13:29">
      <c r="M167" s="14">
        <v>159</v>
      </c>
      <c r="N167" s="8">
        <f t="shared" si="24"/>
        <v>10</v>
      </c>
      <c r="O167" s="8">
        <f t="shared" si="24"/>
        <v>8.8000000000000007</v>
      </c>
      <c r="P167" s="8">
        <f t="shared" si="24"/>
        <v>7.6000000000000005</v>
      </c>
      <c r="Q167" s="8">
        <f t="shared" si="24"/>
        <v>6.4</v>
      </c>
      <c r="R167" s="8">
        <f t="shared" si="24"/>
        <v>5.2</v>
      </c>
      <c r="S167" s="8">
        <f t="shared" si="24"/>
        <v>4</v>
      </c>
      <c r="T167" s="8">
        <f t="shared" si="24"/>
        <v>2.8</v>
      </c>
      <c r="U167" s="8">
        <f t="shared" si="24"/>
        <v>1.5999999999999999</v>
      </c>
      <c r="V167" s="8">
        <f t="shared" si="25"/>
        <v>10</v>
      </c>
      <c r="W167" s="8">
        <f t="shared" si="25"/>
        <v>8.8000000000000007</v>
      </c>
      <c r="X167" s="8">
        <f t="shared" si="25"/>
        <v>7.6000000000000005</v>
      </c>
      <c r="Y167" s="8">
        <f t="shared" si="25"/>
        <v>6.4</v>
      </c>
      <c r="Z167" s="8">
        <f t="shared" si="25"/>
        <v>5.2</v>
      </c>
      <c r="AA167" s="8" t="e">
        <f t="shared" si="25"/>
        <v>#N/A</v>
      </c>
      <c r="AB167" s="8" t="e">
        <f t="shared" si="25"/>
        <v>#N/A</v>
      </c>
      <c r="AC167" s="8" t="e">
        <f t="shared" si="25"/>
        <v>#N/A</v>
      </c>
    </row>
    <row r="168" spans="13:29">
      <c r="M168" s="14">
        <v>160</v>
      </c>
      <c r="N168" s="8">
        <f t="shared" si="24"/>
        <v>10</v>
      </c>
      <c r="O168" s="8">
        <f t="shared" si="24"/>
        <v>8.8000000000000007</v>
      </c>
      <c r="P168" s="8">
        <f t="shared" si="24"/>
        <v>7.6000000000000005</v>
      </c>
      <c r="Q168" s="8">
        <f t="shared" si="24"/>
        <v>6.4</v>
      </c>
      <c r="R168" s="8">
        <f t="shared" si="24"/>
        <v>5.2</v>
      </c>
      <c r="S168" s="8">
        <f t="shared" si="24"/>
        <v>4</v>
      </c>
      <c r="T168" s="8">
        <f t="shared" si="24"/>
        <v>2.8</v>
      </c>
      <c r="U168" s="8">
        <f t="shared" si="24"/>
        <v>1.5999999999999999</v>
      </c>
      <c r="V168" s="8">
        <f t="shared" si="25"/>
        <v>10</v>
      </c>
      <c r="W168" s="8">
        <f t="shared" si="25"/>
        <v>8.8000000000000007</v>
      </c>
      <c r="X168" s="8">
        <f t="shared" si="25"/>
        <v>7.6000000000000005</v>
      </c>
      <c r="Y168" s="8">
        <f t="shared" si="25"/>
        <v>6.4</v>
      </c>
      <c r="Z168" s="8">
        <f t="shared" si="25"/>
        <v>5.2</v>
      </c>
      <c r="AA168" s="8" t="e">
        <f t="shared" si="25"/>
        <v>#N/A</v>
      </c>
      <c r="AB168" s="8" t="e">
        <f t="shared" si="25"/>
        <v>#N/A</v>
      </c>
      <c r="AC168" s="8" t="e">
        <f t="shared" si="25"/>
        <v>#N/A</v>
      </c>
    </row>
    <row r="169" spans="13:29">
      <c r="M169" s="14">
        <v>161</v>
      </c>
      <c r="N169" s="8">
        <f t="shared" ref="N169:U184" si="26">IF($M169&lt;=100/$G$15*$H$15,N$5,NA())</f>
        <v>10</v>
      </c>
      <c r="O169" s="8">
        <f t="shared" si="26"/>
        <v>8.8000000000000007</v>
      </c>
      <c r="P169" s="8">
        <f t="shared" si="26"/>
        <v>7.6000000000000005</v>
      </c>
      <c r="Q169" s="8">
        <f t="shared" si="26"/>
        <v>6.4</v>
      </c>
      <c r="R169" s="8">
        <f t="shared" si="26"/>
        <v>5.2</v>
      </c>
      <c r="S169" s="8">
        <f t="shared" si="26"/>
        <v>4</v>
      </c>
      <c r="T169" s="8">
        <f t="shared" si="26"/>
        <v>2.8</v>
      </c>
      <c r="U169" s="8">
        <f t="shared" si="26"/>
        <v>1.5999999999999999</v>
      </c>
      <c r="V169" s="8">
        <f t="shared" ref="V169:AC184" si="27">IF($M169&lt;=INDEX($K$5:$K$12,V$6)/$G$15*$H$15,V$5,NA())</f>
        <v>10</v>
      </c>
      <c r="W169" s="8">
        <f t="shared" si="27"/>
        <v>8.8000000000000007</v>
      </c>
      <c r="X169" s="8">
        <f t="shared" si="27"/>
        <v>7.6000000000000005</v>
      </c>
      <c r="Y169" s="8">
        <f t="shared" si="27"/>
        <v>6.4</v>
      </c>
      <c r="Z169" s="8">
        <f t="shared" si="27"/>
        <v>5.2</v>
      </c>
      <c r="AA169" s="8" t="e">
        <f t="shared" si="27"/>
        <v>#N/A</v>
      </c>
      <c r="AB169" s="8" t="e">
        <f t="shared" si="27"/>
        <v>#N/A</v>
      </c>
      <c r="AC169" s="8" t="e">
        <f t="shared" si="27"/>
        <v>#N/A</v>
      </c>
    </row>
    <row r="170" spans="13:29">
      <c r="M170" s="14">
        <v>162</v>
      </c>
      <c r="N170" s="8">
        <f t="shared" si="26"/>
        <v>10</v>
      </c>
      <c r="O170" s="8">
        <f t="shared" si="26"/>
        <v>8.8000000000000007</v>
      </c>
      <c r="P170" s="8">
        <f t="shared" si="26"/>
        <v>7.6000000000000005</v>
      </c>
      <c r="Q170" s="8">
        <f t="shared" si="26"/>
        <v>6.4</v>
      </c>
      <c r="R170" s="8">
        <f t="shared" si="26"/>
        <v>5.2</v>
      </c>
      <c r="S170" s="8">
        <f t="shared" si="26"/>
        <v>4</v>
      </c>
      <c r="T170" s="8">
        <f t="shared" si="26"/>
        <v>2.8</v>
      </c>
      <c r="U170" s="8">
        <f t="shared" si="26"/>
        <v>1.5999999999999999</v>
      </c>
      <c r="V170" s="8">
        <f t="shared" si="27"/>
        <v>10</v>
      </c>
      <c r="W170" s="8">
        <f t="shared" si="27"/>
        <v>8.8000000000000007</v>
      </c>
      <c r="X170" s="8">
        <f t="shared" si="27"/>
        <v>7.6000000000000005</v>
      </c>
      <c r="Y170" s="8">
        <f t="shared" si="27"/>
        <v>6.4</v>
      </c>
      <c r="Z170" s="8">
        <f t="shared" si="27"/>
        <v>5.2</v>
      </c>
      <c r="AA170" s="8" t="e">
        <f t="shared" si="27"/>
        <v>#N/A</v>
      </c>
      <c r="AB170" s="8" t="e">
        <f t="shared" si="27"/>
        <v>#N/A</v>
      </c>
      <c r="AC170" s="8" t="e">
        <f t="shared" si="27"/>
        <v>#N/A</v>
      </c>
    </row>
    <row r="171" spans="13:29">
      <c r="M171" s="14">
        <v>163</v>
      </c>
      <c r="N171" s="8">
        <f t="shared" si="26"/>
        <v>10</v>
      </c>
      <c r="O171" s="8">
        <f t="shared" si="26"/>
        <v>8.8000000000000007</v>
      </c>
      <c r="P171" s="8">
        <f t="shared" si="26"/>
        <v>7.6000000000000005</v>
      </c>
      <c r="Q171" s="8">
        <f t="shared" si="26"/>
        <v>6.4</v>
      </c>
      <c r="R171" s="8">
        <f t="shared" si="26"/>
        <v>5.2</v>
      </c>
      <c r="S171" s="8">
        <f t="shared" si="26"/>
        <v>4</v>
      </c>
      <c r="T171" s="8">
        <f t="shared" si="26"/>
        <v>2.8</v>
      </c>
      <c r="U171" s="8">
        <f t="shared" si="26"/>
        <v>1.5999999999999999</v>
      </c>
      <c r="V171" s="8">
        <f t="shared" si="27"/>
        <v>10</v>
      </c>
      <c r="W171" s="8">
        <f t="shared" si="27"/>
        <v>8.8000000000000007</v>
      </c>
      <c r="X171" s="8">
        <f t="shared" si="27"/>
        <v>7.6000000000000005</v>
      </c>
      <c r="Y171" s="8">
        <f t="shared" si="27"/>
        <v>6.4</v>
      </c>
      <c r="Z171" s="8">
        <f t="shared" si="27"/>
        <v>5.2</v>
      </c>
      <c r="AA171" s="8" t="e">
        <f t="shared" si="27"/>
        <v>#N/A</v>
      </c>
      <c r="AB171" s="8" t="e">
        <f t="shared" si="27"/>
        <v>#N/A</v>
      </c>
      <c r="AC171" s="8" t="e">
        <f t="shared" si="27"/>
        <v>#N/A</v>
      </c>
    </row>
    <row r="172" spans="13:29">
      <c r="M172" s="14">
        <v>164</v>
      </c>
      <c r="N172" s="8">
        <f t="shared" si="26"/>
        <v>10</v>
      </c>
      <c r="O172" s="8">
        <f t="shared" si="26"/>
        <v>8.8000000000000007</v>
      </c>
      <c r="P172" s="8">
        <f t="shared" si="26"/>
        <v>7.6000000000000005</v>
      </c>
      <c r="Q172" s="8">
        <f t="shared" si="26"/>
        <v>6.4</v>
      </c>
      <c r="R172" s="8">
        <f t="shared" si="26"/>
        <v>5.2</v>
      </c>
      <c r="S172" s="8">
        <f t="shared" si="26"/>
        <v>4</v>
      </c>
      <c r="T172" s="8">
        <f t="shared" si="26"/>
        <v>2.8</v>
      </c>
      <c r="U172" s="8">
        <f t="shared" si="26"/>
        <v>1.5999999999999999</v>
      </c>
      <c r="V172" s="8">
        <f t="shared" si="27"/>
        <v>10</v>
      </c>
      <c r="W172" s="8">
        <f t="shared" si="27"/>
        <v>8.8000000000000007</v>
      </c>
      <c r="X172" s="8">
        <f t="shared" si="27"/>
        <v>7.6000000000000005</v>
      </c>
      <c r="Y172" s="8">
        <f t="shared" si="27"/>
        <v>6.4</v>
      </c>
      <c r="Z172" s="8">
        <f t="shared" si="27"/>
        <v>5.2</v>
      </c>
      <c r="AA172" s="8" t="e">
        <f t="shared" si="27"/>
        <v>#N/A</v>
      </c>
      <c r="AB172" s="8" t="e">
        <f t="shared" si="27"/>
        <v>#N/A</v>
      </c>
      <c r="AC172" s="8" t="e">
        <f t="shared" si="27"/>
        <v>#N/A</v>
      </c>
    </row>
    <row r="173" spans="13:29">
      <c r="M173" s="14">
        <v>165</v>
      </c>
      <c r="N173" s="8">
        <f t="shared" si="26"/>
        <v>10</v>
      </c>
      <c r="O173" s="8">
        <f t="shared" si="26"/>
        <v>8.8000000000000007</v>
      </c>
      <c r="P173" s="8">
        <f t="shared" si="26"/>
        <v>7.6000000000000005</v>
      </c>
      <c r="Q173" s="8">
        <f t="shared" si="26"/>
        <v>6.4</v>
      </c>
      <c r="R173" s="8">
        <f t="shared" si="26"/>
        <v>5.2</v>
      </c>
      <c r="S173" s="8">
        <f t="shared" si="26"/>
        <v>4</v>
      </c>
      <c r="T173" s="8">
        <f t="shared" si="26"/>
        <v>2.8</v>
      </c>
      <c r="U173" s="8">
        <f t="shared" si="26"/>
        <v>1.5999999999999999</v>
      </c>
      <c r="V173" s="8">
        <f t="shared" si="27"/>
        <v>10</v>
      </c>
      <c r="W173" s="8">
        <f t="shared" si="27"/>
        <v>8.8000000000000007</v>
      </c>
      <c r="X173" s="8">
        <f t="shared" si="27"/>
        <v>7.6000000000000005</v>
      </c>
      <c r="Y173" s="8">
        <f t="shared" si="27"/>
        <v>6.4</v>
      </c>
      <c r="Z173" s="8">
        <f t="shared" si="27"/>
        <v>5.2</v>
      </c>
      <c r="AA173" s="8" t="e">
        <f t="shared" si="27"/>
        <v>#N/A</v>
      </c>
      <c r="AB173" s="8" t="e">
        <f t="shared" si="27"/>
        <v>#N/A</v>
      </c>
      <c r="AC173" s="8" t="e">
        <f t="shared" si="27"/>
        <v>#N/A</v>
      </c>
    </row>
    <row r="174" spans="13:29">
      <c r="M174" s="14">
        <v>166</v>
      </c>
      <c r="N174" s="8">
        <f t="shared" si="26"/>
        <v>10</v>
      </c>
      <c r="O174" s="8">
        <f t="shared" si="26"/>
        <v>8.8000000000000007</v>
      </c>
      <c r="P174" s="8">
        <f t="shared" si="26"/>
        <v>7.6000000000000005</v>
      </c>
      <c r="Q174" s="8">
        <f t="shared" si="26"/>
        <v>6.4</v>
      </c>
      <c r="R174" s="8">
        <f t="shared" si="26"/>
        <v>5.2</v>
      </c>
      <c r="S174" s="8">
        <f t="shared" si="26"/>
        <v>4</v>
      </c>
      <c r="T174" s="8">
        <f t="shared" si="26"/>
        <v>2.8</v>
      </c>
      <c r="U174" s="8">
        <f t="shared" si="26"/>
        <v>1.5999999999999999</v>
      </c>
      <c r="V174" s="8">
        <f t="shared" si="27"/>
        <v>10</v>
      </c>
      <c r="W174" s="8">
        <f t="shared" si="27"/>
        <v>8.8000000000000007</v>
      </c>
      <c r="X174" s="8">
        <f t="shared" si="27"/>
        <v>7.6000000000000005</v>
      </c>
      <c r="Y174" s="8">
        <f t="shared" si="27"/>
        <v>6.4</v>
      </c>
      <c r="Z174" s="8" t="e">
        <f t="shared" si="27"/>
        <v>#N/A</v>
      </c>
      <c r="AA174" s="8" t="e">
        <f t="shared" si="27"/>
        <v>#N/A</v>
      </c>
      <c r="AB174" s="8" t="e">
        <f t="shared" si="27"/>
        <v>#N/A</v>
      </c>
      <c r="AC174" s="8" t="e">
        <f t="shared" si="27"/>
        <v>#N/A</v>
      </c>
    </row>
    <row r="175" spans="13:29">
      <c r="M175" s="14">
        <v>167</v>
      </c>
      <c r="N175" s="8">
        <f t="shared" si="26"/>
        <v>10</v>
      </c>
      <c r="O175" s="8">
        <f t="shared" si="26"/>
        <v>8.8000000000000007</v>
      </c>
      <c r="P175" s="8">
        <f t="shared" si="26"/>
        <v>7.6000000000000005</v>
      </c>
      <c r="Q175" s="8">
        <f t="shared" si="26"/>
        <v>6.4</v>
      </c>
      <c r="R175" s="8">
        <f t="shared" si="26"/>
        <v>5.2</v>
      </c>
      <c r="S175" s="8">
        <f t="shared" si="26"/>
        <v>4</v>
      </c>
      <c r="T175" s="8">
        <f t="shared" si="26"/>
        <v>2.8</v>
      </c>
      <c r="U175" s="8">
        <f t="shared" si="26"/>
        <v>1.5999999999999999</v>
      </c>
      <c r="V175" s="8">
        <f t="shared" si="27"/>
        <v>10</v>
      </c>
      <c r="W175" s="8">
        <f t="shared" si="27"/>
        <v>8.8000000000000007</v>
      </c>
      <c r="X175" s="8">
        <f t="shared" si="27"/>
        <v>7.6000000000000005</v>
      </c>
      <c r="Y175" s="8">
        <f t="shared" si="27"/>
        <v>6.4</v>
      </c>
      <c r="Z175" s="8" t="e">
        <f t="shared" si="27"/>
        <v>#N/A</v>
      </c>
      <c r="AA175" s="8" t="e">
        <f t="shared" si="27"/>
        <v>#N/A</v>
      </c>
      <c r="AB175" s="8" t="e">
        <f t="shared" si="27"/>
        <v>#N/A</v>
      </c>
      <c r="AC175" s="8" t="e">
        <f t="shared" si="27"/>
        <v>#N/A</v>
      </c>
    </row>
    <row r="176" spans="13:29">
      <c r="M176" s="14">
        <v>168</v>
      </c>
      <c r="N176" s="8">
        <f t="shared" si="26"/>
        <v>10</v>
      </c>
      <c r="O176" s="8">
        <f t="shared" si="26"/>
        <v>8.8000000000000007</v>
      </c>
      <c r="P176" s="8">
        <f t="shared" si="26"/>
        <v>7.6000000000000005</v>
      </c>
      <c r="Q176" s="8">
        <f t="shared" si="26"/>
        <v>6.4</v>
      </c>
      <c r="R176" s="8">
        <f t="shared" si="26"/>
        <v>5.2</v>
      </c>
      <c r="S176" s="8">
        <f t="shared" si="26"/>
        <v>4</v>
      </c>
      <c r="T176" s="8">
        <f t="shared" si="26"/>
        <v>2.8</v>
      </c>
      <c r="U176" s="8">
        <f t="shared" si="26"/>
        <v>1.5999999999999999</v>
      </c>
      <c r="V176" s="8">
        <f t="shared" si="27"/>
        <v>10</v>
      </c>
      <c r="W176" s="8">
        <f t="shared" si="27"/>
        <v>8.8000000000000007</v>
      </c>
      <c r="X176" s="8">
        <f t="shared" si="27"/>
        <v>7.6000000000000005</v>
      </c>
      <c r="Y176" s="8">
        <f t="shared" si="27"/>
        <v>6.4</v>
      </c>
      <c r="Z176" s="8" t="e">
        <f t="shared" si="27"/>
        <v>#N/A</v>
      </c>
      <c r="AA176" s="8" t="e">
        <f t="shared" si="27"/>
        <v>#N/A</v>
      </c>
      <c r="AB176" s="8" t="e">
        <f t="shared" si="27"/>
        <v>#N/A</v>
      </c>
      <c r="AC176" s="8" t="e">
        <f t="shared" si="27"/>
        <v>#N/A</v>
      </c>
    </row>
    <row r="177" spans="13:29">
      <c r="M177" s="14">
        <v>169</v>
      </c>
      <c r="N177" s="8">
        <f t="shared" si="26"/>
        <v>10</v>
      </c>
      <c r="O177" s="8">
        <f t="shared" si="26"/>
        <v>8.8000000000000007</v>
      </c>
      <c r="P177" s="8">
        <f t="shared" si="26"/>
        <v>7.6000000000000005</v>
      </c>
      <c r="Q177" s="8">
        <f t="shared" si="26"/>
        <v>6.4</v>
      </c>
      <c r="R177" s="8">
        <f t="shared" si="26"/>
        <v>5.2</v>
      </c>
      <c r="S177" s="8">
        <f t="shared" si="26"/>
        <v>4</v>
      </c>
      <c r="T177" s="8">
        <f t="shared" si="26"/>
        <v>2.8</v>
      </c>
      <c r="U177" s="8">
        <f t="shared" si="26"/>
        <v>1.5999999999999999</v>
      </c>
      <c r="V177" s="8">
        <f t="shared" si="27"/>
        <v>10</v>
      </c>
      <c r="W177" s="8">
        <f t="shared" si="27"/>
        <v>8.8000000000000007</v>
      </c>
      <c r="X177" s="8">
        <f t="shared" si="27"/>
        <v>7.6000000000000005</v>
      </c>
      <c r="Y177" s="8">
        <f t="shared" si="27"/>
        <v>6.4</v>
      </c>
      <c r="Z177" s="8" t="e">
        <f t="shared" si="27"/>
        <v>#N/A</v>
      </c>
      <c r="AA177" s="8" t="e">
        <f t="shared" si="27"/>
        <v>#N/A</v>
      </c>
      <c r="AB177" s="8" t="e">
        <f t="shared" si="27"/>
        <v>#N/A</v>
      </c>
      <c r="AC177" s="8" t="e">
        <f t="shared" si="27"/>
        <v>#N/A</v>
      </c>
    </row>
    <row r="178" spans="13:29">
      <c r="M178" s="14">
        <v>170</v>
      </c>
      <c r="N178" s="8">
        <f t="shared" si="26"/>
        <v>10</v>
      </c>
      <c r="O178" s="8">
        <f t="shared" si="26"/>
        <v>8.8000000000000007</v>
      </c>
      <c r="P178" s="8">
        <f t="shared" si="26"/>
        <v>7.6000000000000005</v>
      </c>
      <c r="Q178" s="8">
        <f t="shared" si="26"/>
        <v>6.4</v>
      </c>
      <c r="R178" s="8">
        <f t="shared" si="26"/>
        <v>5.2</v>
      </c>
      <c r="S178" s="8">
        <f t="shared" si="26"/>
        <v>4</v>
      </c>
      <c r="T178" s="8">
        <f t="shared" si="26"/>
        <v>2.8</v>
      </c>
      <c r="U178" s="8">
        <f t="shared" si="26"/>
        <v>1.5999999999999999</v>
      </c>
      <c r="V178" s="8">
        <f t="shared" si="27"/>
        <v>10</v>
      </c>
      <c r="W178" s="8">
        <f t="shared" si="27"/>
        <v>8.8000000000000007</v>
      </c>
      <c r="X178" s="8">
        <f t="shared" si="27"/>
        <v>7.6000000000000005</v>
      </c>
      <c r="Y178" s="8">
        <f t="shared" si="27"/>
        <v>6.4</v>
      </c>
      <c r="Z178" s="8" t="e">
        <f t="shared" si="27"/>
        <v>#N/A</v>
      </c>
      <c r="AA178" s="8" t="e">
        <f t="shared" si="27"/>
        <v>#N/A</v>
      </c>
      <c r="AB178" s="8" t="e">
        <f t="shared" si="27"/>
        <v>#N/A</v>
      </c>
      <c r="AC178" s="8" t="e">
        <f t="shared" si="27"/>
        <v>#N/A</v>
      </c>
    </row>
    <row r="179" spans="13:29">
      <c r="M179" s="14">
        <v>171</v>
      </c>
      <c r="N179" s="8">
        <f t="shared" si="26"/>
        <v>10</v>
      </c>
      <c r="O179" s="8">
        <f t="shared" si="26"/>
        <v>8.8000000000000007</v>
      </c>
      <c r="P179" s="8">
        <f t="shared" si="26"/>
        <v>7.6000000000000005</v>
      </c>
      <c r="Q179" s="8">
        <f t="shared" si="26"/>
        <v>6.4</v>
      </c>
      <c r="R179" s="8">
        <f t="shared" si="26"/>
        <v>5.2</v>
      </c>
      <c r="S179" s="8">
        <f t="shared" si="26"/>
        <v>4</v>
      </c>
      <c r="T179" s="8">
        <f t="shared" si="26"/>
        <v>2.8</v>
      </c>
      <c r="U179" s="8">
        <f t="shared" si="26"/>
        <v>1.5999999999999999</v>
      </c>
      <c r="V179" s="8">
        <f t="shared" si="27"/>
        <v>10</v>
      </c>
      <c r="W179" s="8">
        <f t="shared" si="27"/>
        <v>8.8000000000000007</v>
      </c>
      <c r="X179" s="8">
        <f t="shared" si="27"/>
        <v>7.6000000000000005</v>
      </c>
      <c r="Y179" s="8">
        <f t="shared" si="27"/>
        <v>6.4</v>
      </c>
      <c r="Z179" s="8" t="e">
        <f t="shared" si="27"/>
        <v>#N/A</v>
      </c>
      <c r="AA179" s="8" t="e">
        <f t="shared" si="27"/>
        <v>#N/A</v>
      </c>
      <c r="AB179" s="8" t="e">
        <f t="shared" si="27"/>
        <v>#N/A</v>
      </c>
      <c r="AC179" s="8" t="e">
        <f t="shared" si="27"/>
        <v>#N/A</v>
      </c>
    </row>
    <row r="180" spans="13:29">
      <c r="M180" s="14">
        <v>172</v>
      </c>
      <c r="N180" s="8">
        <f t="shared" si="26"/>
        <v>10</v>
      </c>
      <c r="O180" s="8">
        <f t="shared" si="26"/>
        <v>8.8000000000000007</v>
      </c>
      <c r="P180" s="8">
        <f t="shared" si="26"/>
        <v>7.6000000000000005</v>
      </c>
      <c r="Q180" s="8">
        <f t="shared" si="26"/>
        <v>6.4</v>
      </c>
      <c r="R180" s="8">
        <f t="shared" si="26"/>
        <v>5.2</v>
      </c>
      <c r="S180" s="8">
        <f t="shared" si="26"/>
        <v>4</v>
      </c>
      <c r="T180" s="8">
        <f t="shared" si="26"/>
        <v>2.8</v>
      </c>
      <c r="U180" s="8">
        <f t="shared" si="26"/>
        <v>1.5999999999999999</v>
      </c>
      <c r="V180" s="8">
        <f t="shared" si="27"/>
        <v>10</v>
      </c>
      <c r="W180" s="8">
        <f t="shared" si="27"/>
        <v>8.8000000000000007</v>
      </c>
      <c r="X180" s="8">
        <f t="shared" si="27"/>
        <v>7.6000000000000005</v>
      </c>
      <c r="Y180" s="8">
        <f t="shared" si="27"/>
        <v>6.4</v>
      </c>
      <c r="Z180" s="8" t="e">
        <f t="shared" si="27"/>
        <v>#N/A</v>
      </c>
      <c r="AA180" s="8" t="e">
        <f t="shared" si="27"/>
        <v>#N/A</v>
      </c>
      <c r="AB180" s="8" t="e">
        <f t="shared" si="27"/>
        <v>#N/A</v>
      </c>
      <c r="AC180" s="8" t="e">
        <f t="shared" si="27"/>
        <v>#N/A</v>
      </c>
    </row>
    <row r="181" spans="13:29">
      <c r="M181" s="14">
        <v>173</v>
      </c>
      <c r="N181" s="8">
        <f t="shared" si="26"/>
        <v>10</v>
      </c>
      <c r="O181" s="8">
        <f t="shared" si="26"/>
        <v>8.8000000000000007</v>
      </c>
      <c r="P181" s="8">
        <f t="shared" si="26"/>
        <v>7.6000000000000005</v>
      </c>
      <c r="Q181" s="8">
        <f t="shared" si="26"/>
        <v>6.4</v>
      </c>
      <c r="R181" s="8">
        <f t="shared" si="26"/>
        <v>5.2</v>
      </c>
      <c r="S181" s="8">
        <f t="shared" si="26"/>
        <v>4</v>
      </c>
      <c r="T181" s="8">
        <f t="shared" si="26"/>
        <v>2.8</v>
      </c>
      <c r="U181" s="8">
        <f t="shared" si="26"/>
        <v>1.5999999999999999</v>
      </c>
      <c r="V181" s="8">
        <f t="shared" si="27"/>
        <v>10</v>
      </c>
      <c r="W181" s="8">
        <f t="shared" si="27"/>
        <v>8.8000000000000007</v>
      </c>
      <c r="X181" s="8">
        <f t="shared" si="27"/>
        <v>7.6000000000000005</v>
      </c>
      <c r="Y181" s="8">
        <f t="shared" si="27"/>
        <v>6.4</v>
      </c>
      <c r="Z181" s="8" t="e">
        <f t="shared" si="27"/>
        <v>#N/A</v>
      </c>
      <c r="AA181" s="8" t="e">
        <f t="shared" si="27"/>
        <v>#N/A</v>
      </c>
      <c r="AB181" s="8" t="e">
        <f t="shared" si="27"/>
        <v>#N/A</v>
      </c>
      <c r="AC181" s="8" t="e">
        <f t="shared" si="27"/>
        <v>#N/A</v>
      </c>
    </row>
    <row r="182" spans="13:29">
      <c r="M182" s="14">
        <v>174</v>
      </c>
      <c r="N182" s="8">
        <f t="shared" si="26"/>
        <v>10</v>
      </c>
      <c r="O182" s="8">
        <f t="shared" si="26"/>
        <v>8.8000000000000007</v>
      </c>
      <c r="P182" s="8">
        <f t="shared" si="26"/>
        <v>7.6000000000000005</v>
      </c>
      <c r="Q182" s="8">
        <f t="shared" si="26"/>
        <v>6.4</v>
      </c>
      <c r="R182" s="8">
        <f t="shared" si="26"/>
        <v>5.2</v>
      </c>
      <c r="S182" s="8">
        <f t="shared" si="26"/>
        <v>4</v>
      </c>
      <c r="T182" s="8">
        <f t="shared" si="26"/>
        <v>2.8</v>
      </c>
      <c r="U182" s="8">
        <f t="shared" si="26"/>
        <v>1.5999999999999999</v>
      </c>
      <c r="V182" s="8">
        <f t="shared" si="27"/>
        <v>10</v>
      </c>
      <c r="W182" s="8">
        <f t="shared" si="27"/>
        <v>8.8000000000000007</v>
      </c>
      <c r="X182" s="8">
        <f t="shared" si="27"/>
        <v>7.6000000000000005</v>
      </c>
      <c r="Y182" s="8">
        <f t="shared" si="27"/>
        <v>6.4</v>
      </c>
      <c r="Z182" s="8" t="e">
        <f t="shared" si="27"/>
        <v>#N/A</v>
      </c>
      <c r="AA182" s="8" t="e">
        <f t="shared" si="27"/>
        <v>#N/A</v>
      </c>
      <c r="AB182" s="8" t="e">
        <f t="shared" si="27"/>
        <v>#N/A</v>
      </c>
      <c r="AC182" s="8" t="e">
        <f t="shared" si="27"/>
        <v>#N/A</v>
      </c>
    </row>
    <row r="183" spans="13:29">
      <c r="M183" s="14">
        <v>175</v>
      </c>
      <c r="N183" s="8">
        <f t="shared" si="26"/>
        <v>10</v>
      </c>
      <c r="O183" s="8">
        <f t="shared" si="26"/>
        <v>8.8000000000000007</v>
      </c>
      <c r="P183" s="8">
        <f t="shared" si="26"/>
        <v>7.6000000000000005</v>
      </c>
      <c r="Q183" s="8">
        <f t="shared" si="26"/>
        <v>6.4</v>
      </c>
      <c r="R183" s="8">
        <f t="shared" si="26"/>
        <v>5.2</v>
      </c>
      <c r="S183" s="8">
        <f t="shared" si="26"/>
        <v>4</v>
      </c>
      <c r="T183" s="8">
        <f t="shared" si="26"/>
        <v>2.8</v>
      </c>
      <c r="U183" s="8">
        <f t="shared" si="26"/>
        <v>1.5999999999999999</v>
      </c>
      <c r="V183" s="8">
        <f t="shared" si="27"/>
        <v>10</v>
      </c>
      <c r="W183" s="8">
        <f t="shared" si="27"/>
        <v>8.8000000000000007</v>
      </c>
      <c r="X183" s="8">
        <f t="shared" si="27"/>
        <v>7.6000000000000005</v>
      </c>
      <c r="Y183" s="8">
        <f t="shared" si="27"/>
        <v>6.4</v>
      </c>
      <c r="Z183" s="8" t="e">
        <f t="shared" si="27"/>
        <v>#N/A</v>
      </c>
      <c r="AA183" s="8" t="e">
        <f t="shared" si="27"/>
        <v>#N/A</v>
      </c>
      <c r="AB183" s="8" t="e">
        <f t="shared" si="27"/>
        <v>#N/A</v>
      </c>
      <c r="AC183" s="8" t="e">
        <f t="shared" si="27"/>
        <v>#N/A</v>
      </c>
    </row>
    <row r="184" spans="13:29">
      <c r="M184" s="14">
        <v>176</v>
      </c>
      <c r="N184" s="8">
        <f t="shared" si="26"/>
        <v>10</v>
      </c>
      <c r="O184" s="8">
        <f t="shared" si="26"/>
        <v>8.8000000000000007</v>
      </c>
      <c r="P184" s="8">
        <f t="shared" si="26"/>
        <v>7.6000000000000005</v>
      </c>
      <c r="Q184" s="8">
        <f t="shared" si="26"/>
        <v>6.4</v>
      </c>
      <c r="R184" s="8">
        <f t="shared" si="26"/>
        <v>5.2</v>
      </c>
      <c r="S184" s="8">
        <f t="shared" si="26"/>
        <v>4</v>
      </c>
      <c r="T184" s="8">
        <f t="shared" si="26"/>
        <v>2.8</v>
      </c>
      <c r="U184" s="8">
        <f t="shared" si="26"/>
        <v>1.5999999999999999</v>
      </c>
      <c r="V184" s="8">
        <f t="shared" si="27"/>
        <v>10</v>
      </c>
      <c r="W184" s="8">
        <f t="shared" si="27"/>
        <v>8.8000000000000007</v>
      </c>
      <c r="X184" s="8">
        <f t="shared" si="27"/>
        <v>7.6000000000000005</v>
      </c>
      <c r="Y184" s="8">
        <f t="shared" si="27"/>
        <v>6.4</v>
      </c>
      <c r="Z184" s="8" t="e">
        <f t="shared" si="27"/>
        <v>#N/A</v>
      </c>
      <c r="AA184" s="8" t="e">
        <f t="shared" si="27"/>
        <v>#N/A</v>
      </c>
      <c r="AB184" s="8" t="e">
        <f t="shared" si="27"/>
        <v>#N/A</v>
      </c>
      <c r="AC184" s="8" t="e">
        <f t="shared" si="27"/>
        <v>#N/A</v>
      </c>
    </row>
    <row r="185" spans="13:29">
      <c r="M185" s="14">
        <v>177</v>
      </c>
      <c r="N185" s="8">
        <f t="shared" ref="N185:U200" si="28">IF($M185&lt;=100/$G$15*$H$15,N$5,NA())</f>
        <v>10</v>
      </c>
      <c r="O185" s="8">
        <f t="shared" si="28"/>
        <v>8.8000000000000007</v>
      </c>
      <c r="P185" s="8">
        <f t="shared" si="28"/>
        <v>7.6000000000000005</v>
      </c>
      <c r="Q185" s="8">
        <f t="shared" si="28"/>
        <v>6.4</v>
      </c>
      <c r="R185" s="8">
        <f t="shared" si="28"/>
        <v>5.2</v>
      </c>
      <c r="S185" s="8">
        <f t="shared" si="28"/>
        <v>4</v>
      </c>
      <c r="T185" s="8">
        <f t="shared" si="28"/>
        <v>2.8</v>
      </c>
      <c r="U185" s="8">
        <f t="shared" si="28"/>
        <v>1.5999999999999999</v>
      </c>
      <c r="V185" s="8">
        <f t="shared" ref="V185:AC200" si="29">IF($M185&lt;=INDEX($K$5:$K$12,V$6)/$G$15*$H$15,V$5,NA())</f>
        <v>10</v>
      </c>
      <c r="W185" s="8">
        <f t="shared" si="29"/>
        <v>8.8000000000000007</v>
      </c>
      <c r="X185" s="8">
        <f t="shared" si="29"/>
        <v>7.6000000000000005</v>
      </c>
      <c r="Y185" s="8">
        <f t="shared" si="29"/>
        <v>6.4</v>
      </c>
      <c r="Z185" s="8" t="e">
        <f t="shared" si="29"/>
        <v>#N/A</v>
      </c>
      <c r="AA185" s="8" t="e">
        <f t="shared" si="29"/>
        <v>#N/A</v>
      </c>
      <c r="AB185" s="8" t="e">
        <f t="shared" si="29"/>
        <v>#N/A</v>
      </c>
      <c r="AC185" s="8" t="e">
        <f t="shared" si="29"/>
        <v>#N/A</v>
      </c>
    </row>
    <row r="186" spans="13:29">
      <c r="M186" s="14">
        <v>178</v>
      </c>
      <c r="N186" s="8">
        <f t="shared" si="28"/>
        <v>10</v>
      </c>
      <c r="O186" s="8">
        <f t="shared" si="28"/>
        <v>8.8000000000000007</v>
      </c>
      <c r="P186" s="8">
        <f t="shared" si="28"/>
        <v>7.6000000000000005</v>
      </c>
      <c r="Q186" s="8">
        <f t="shared" si="28"/>
        <v>6.4</v>
      </c>
      <c r="R186" s="8">
        <f t="shared" si="28"/>
        <v>5.2</v>
      </c>
      <c r="S186" s="8">
        <f t="shared" si="28"/>
        <v>4</v>
      </c>
      <c r="T186" s="8">
        <f t="shared" si="28"/>
        <v>2.8</v>
      </c>
      <c r="U186" s="8">
        <f t="shared" si="28"/>
        <v>1.5999999999999999</v>
      </c>
      <c r="V186" s="8">
        <f t="shared" si="29"/>
        <v>10</v>
      </c>
      <c r="W186" s="8">
        <f t="shared" si="29"/>
        <v>8.8000000000000007</v>
      </c>
      <c r="X186" s="8">
        <f t="shared" si="29"/>
        <v>7.6000000000000005</v>
      </c>
      <c r="Y186" s="8">
        <f t="shared" si="29"/>
        <v>6.4</v>
      </c>
      <c r="Z186" s="8" t="e">
        <f t="shared" si="29"/>
        <v>#N/A</v>
      </c>
      <c r="AA186" s="8" t="e">
        <f t="shared" si="29"/>
        <v>#N/A</v>
      </c>
      <c r="AB186" s="8" t="e">
        <f t="shared" si="29"/>
        <v>#N/A</v>
      </c>
      <c r="AC186" s="8" t="e">
        <f t="shared" si="29"/>
        <v>#N/A</v>
      </c>
    </row>
    <row r="187" spans="13:29">
      <c r="M187" s="14">
        <v>179</v>
      </c>
      <c r="N187" s="8">
        <f t="shared" si="28"/>
        <v>10</v>
      </c>
      <c r="O187" s="8">
        <f t="shared" si="28"/>
        <v>8.8000000000000007</v>
      </c>
      <c r="P187" s="8">
        <f t="shared" si="28"/>
        <v>7.6000000000000005</v>
      </c>
      <c r="Q187" s="8">
        <f t="shared" si="28"/>
        <v>6.4</v>
      </c>
      <c r="R187" s="8">
        <f t="shared" si="28"/>
        <v>5.2</v>
      </c>
      <c r="S187" s="8">
        <f t="shared" si="28"/>
        <v>4</v>
      </c>
      <c r="T187" s="8">
        <f t="shared" si="28"/>
        <v>2.8</v>
      </c>
      <c r="U187" s="8">
        <f t="shared" si="28"/>
        <v>1.5999999999999999</v>
      </c>
      <c r="V187" s="8">
        <f t="shared" si="29"/>
        <v>10</v>
      </c>
      <c r="W187" s="8">
        <f t="shared" si="29"/>
        <v>8.8000000000000007</v>
      </c>
      <c r="X187" s="8">
        <f t="shared" si="29"/>
        <v>7.6000000000000005</v>
      </c>
      <c r="Y187" s="8">
        <f t="shared" si="29"/>
        <v>6.4</v>
      </c>
      <c r="Z187" s="8" t="e">
        <f t="shared" si="29"/>
        <v>#N/A</v>
      </c>
      <c r="AA187" s="8" t="e">
        <f t="shared" si="29"/>
        <v>#N/A</v>
      </c>
      <c r="AB187" s="8" t="e">
        <f t="shared" si="29"/>
        <v>#N/A</v>
      </c>
      <c r="AC187" s="8" t="e">
        <f t="shared" si="29"/>
        <v>#N/A</v>
      </c>
    </row>
    <row r="188" spans="13:29">
      <c r="M188" s="14">
        <v>180</v>
      </c>
      <c r="N188" s="8">
        <f t="shared" si="28"/>
        <v>10</v>
      </c>
      <c r="O188" s="8">
        <f t="shared" si="28"/>
        <v>8.8000000000000007</v>
      </c>
      <c r="P188" s="8">
        <f t="shared" si="28"/>
        <v>7.6000000000000005</v>
      </c>
      <c r="Q188" s="8">
        <f t="shared" si="28"/>
        <v>6.4</v>
      </c>
      <c r="R188" s="8">
        <f t="shared" si="28"/>
        <v>5.2</v>
      </c>
      <c r="S188" s="8">
        <f t="shared" si="28"/>
        <v>4</v>
      </c>
      <c r="T188" s="8">
        <f t="shared" si="28"/>
        <v>2.8</v>
      </c>
      <c r="U188" s="8">
        <f t="shared" si="28"/>
        <v>1.5999999999999999</v>
      </c>
      <c r="V188" s="8">
        <f t="shared" si="29"/>
        <v>10</v>
      </c>
      <c r="W188" s="8">
        <f t="shared" si="29"/>
        <v>8.8000000000000007</v>
      </c>
      <c r="X188" s="8">
        <f t="shared" si="29"/>
        <v>7.6000000000000005</v>
      </c>
      <c r="Y188" s="8">
        <f t="shared" si="29"/>
        <v>6.4</v>
      </c>
      <c r="Z188" s="8" t="e">
        <f t="shared" si="29"/>
        <v>#N/A</v>
      </c>
      <c r="AA188" s="8" t="e">
        <f t="shared" si="29"/>
        <v>#N/A</v>
      </c>
      <c r="AB188" s="8" t="e">
        <f t="shared" si="29"/>
        <v>#N/A</v>
      </c>
      <c r="AC188" s="8" t="e">
        <f t="shared" si="29"/>
        <v>#N/A</v>
      </c>
    </row>
    <row r="189" spans="13:29">
      <c r="M189" s="14">
        <v>181</v>
      </c>
      <c r="N189" s="8">
        <f t="shared" si="28"/>
        <v>10</v>
      </c>
      <c r="O189" s="8">
        <f t="shared" si="28"/>
        <v>8.8000000000000007</v>
      </c>
      <c r="P189" s="8">
        <f t="shared" si="28"/>
        <v>7.6000000000000005</v>
      </c>
      <c r="Q189" s="8">
        <f t="shared" si="28"/>
        <v>6.4</v>
      </c>
      <c r="R189" s="8">
        <f t="shared" si="28"/>
        <v>5.2</v>
      </c>
      <c r="S189" s="8">
        <f t="shared" si="28"/>
        <v>4</v>
      </c>
      <c r="T189" s="8">
        <f t="shared" si="28"/>
        <v>2.8</v>
      </c>
      <c r="U189" s="8">
        <f t="shared" si="28"/>
        <v>1.5999999999999999</v>
      </c>
      <c r="V189" s="8">
        <f t="shared" si="29"/>
        <v>10</v>
      </c>
      <c r="W189" s="8">
        <f t="shared" si="29"/>
        <v>8.8000000000000007</v>
      </c>
      <c r="X189" s="8">
        <f t="shared" si="29"/>
        <v>7.6000000000000005</v>
      </c>
      <c r="Y189" s="8">
        <f t="shared" si="29"/>
        <v>6.4</v>
      </c>
      <c r="Z189" s="8" t="e">
        <f t="shared" si="29"/>
        <v>#N/A</v>
      </c>
      <c r="AA189" s="8" t="e">
        <f t="shared" si="29"/>
        <v>#N/A</v>
      </c>
      <c r="AB189" s="8" t="e">
        <f t="shared" si="29"/>
        <v>#N/A</v>
      </c>
      <c r="AC189" s="8" t="e">
        <f t="shared" si="29"/>
        <v>#N/A</v>
      </c>
    </row>
    <row r="190" spans="13:29">
      <c r="M190" s="14">
        <v>182</v>
      </c>
      <c r="N190" s="8">
        <f t="shared" si="28"/>
        <v>10</v>
      </c>
      <c r="O190" s="8">
        <f t="shared" si="28"/>
        <v>8.8000000000000007</v>
      </c>
      <c r="P190" s="8">
        <f t="shared" si="28"/>
        <v>7.6000000000000005</v>
      </c>
      <c r="Q190" s="8">
        <f t="shared" si="28"/>
        <v>6.4</v>
      </c>
      <c r="R190" s="8">
        <f t="shared" si="28"/>
        <v>5.2</v>
      </c>
      <c r="S190" s="8">
        <f t="shared" si="28"/>
        <v>4</v>
      </c>
      <c r="T190" s="8">
        <f t="shared" si="28"/>
        <v>2.8</v>
      </c>
      <c r="U190" s="8">
        <f t="shared" si="28"/>
        <v>1.5999999999999999</v>
      </c>
      <c r="V190" s="8">
        <f t="shared" si="29"/>
        <v>10</v>
      </c>
      <c r="W190" s="8">
        <f t="shared" si="29"/>
        <v>8.8000000000000007</v>
      </c>
      <c r="X190" s="8">
        <f t="shared" si="29"/>
        <v>7.6000000000000005</v>
      </c>
      <c r="Y190" s="8">
        <f t="shared" si="29"/>
        <v>6.4</v>
      </c>
      <c r="Z190" s="8" t="e">
        <f t="shared" si="29"/>
        <v>#N/A</v>
      </c>
      <c r="AA190" s="8" t="e">
        <f t="shared" si="29"/>
        <v>#N/A</v>
      </c>
      <c r="AB190" s="8" t="e">
        <f t="shared" si="29"/>
        <v>#N/A</v>
      </c>
      <c r="AC190" s="8" t="e">
        <f t="shared" si="29"/>
        <v>#N/A</v>
      </c>
    </row>
    <row r="191" spans="13:29">
      <c r="M191" s="14">
        <v>183</v>
      </c>
      <c r="N191" s="8">
        <f t="shared" si="28"/>
        <v>10</v>
      </c>
      <c r="O191" s="8">
        <f t="shared" si="28"/>
        <v>8.8000000000000007</v>
      </c>
      <c r="P191" s="8">
        <f t="shared" si="28"/>
        <v>7.6000000000000005</v>
      </c>
      <c r="Q191" s="8">
        <f t="shared" si="28"/>
        <v>6.4</v>
      </c>
      <c r="R191" s="8">
        <f t="shared" si="28"/>
        <v>5.2</v>
      </c>
      <c r="S191" s="8">
        <f t="shared" si="28"/>
        <v>4</v>
      </c>
      <c r="T191" s="8">
        <f t="shared" si="28"/>
        <v>2.8</v>
      </c>
      <c r="U191" s="8">
        <f t="shared" si="28"/>
        <v>1.5999999999999999</v>
      </c>
      <c r="V191" s="8">
        <f t="shared" si="29"/>
        <v>10</v>
      </c>
      <c r="W191" s="8">
        <f t="shared" si="29"/>
        <v>8.8000000000000007</v>
      </c>
      <c r="X191" s="8">
        <f t="shared" si="29"/>
        <v>7.6000000000000005</v>
      </c>
      <c r="Y191" s="8">
        <f t="shared" si="29"/>
        <v>6.4</v>
      </c>
      <c r="Z191" s="8" t="e">
        <f t="shared" si="29"/>
        <v>#N/A</v>
      </c>
      <c r="AA191" s="8" t="e">
        <f t="shared" si="29"/>
        <v>#N/A</v>
      </c>
      <c r="AB191" s="8" t="e">
        <f t="shared" si="29"/>
        <v>#N/A</v>
      </c>
      <c r="AC191" s="8" t="e">
        <f t="shared" si="29"/>
        <v>#N/A</v>
      </c>
    </row>
    <row r="192" spans="13:29">
      <c r="M192" s="14">
        <v>184</v>
      </c>
      <c r="N192" s="8">
        <f t="shared" si="28"/>
        <v>10</v>
      </c>
      <c r="O192" s="8">
        <f t="shared" si="28"/>
        <v>8.8000000000000007</v>
      </c>
      <c r="P192" s="8">
        <f t="shared" si="28"/>
        <v>7.6000000000000005</v>
      </c>
      <c r="Q192" s="8">
        <f t="shared" si="28"/>
        <v>6.4</v>
      </c>
      <c r="R192" s="8">
        <f t="shared" si="28"/>
        <v>5.2</v>
      </c>
      <c r="S192" s="8">
        <f t="shared" si="28"/>
        <v>4</v>
      </c>
      <c r="T192" s="8">
        <f t="shared" si="28"/>
        <v>2.8</v>
      </c>
      <c r="U192" s="8">
        <f t="shared" si="28"/>
        <v>1.5999999999999999</v>
      </c>
      <c r="V192" s="8">
        <f t="shared" si="29"/>
        <v>10</v>
      </c>
      <c r="W192" s="8">
        <f t="shared" si="29"/>
        <v>8.8000000000000007</v>
      </c>
      <c r="X192" s="8">
        <f t="shared" si="29"/>
        <v>7.6000000000000005</v>
      </c>
      <c r="Y192" s="8">
        <f t="shared" si="29"/>
        <v>6.4</v>
      </c>
      <c r="Z192" s="8" t="e">
        <f t="shared" si="29"/>
        <v>#N/A</v>
      </c>
      <c r="AA192" s="8" t="e">
        <f t="shared" si="29"/>
        <v>#N/A</v>
      </c>
      <c r="AB192" s="8" t="e">
        <f t="shared" si="29"/>
        <v>#N/A</v>
      </c>
      <c r="AC192" s="8" t="e">
        <f t="shared" si="29"/>
        <v>#N/A</v>
      </c>
    </row>
    <row r="193" spans="13:29">
      <c r="M193" s="14">
        <v>185</v>
      </c>
      <c r="N193" s="8">
        <f t="shared" si="28"/>
        <v>10</v>
      </c>
      <c r="O193" s="8">
        <f t="shared" si="28"/>
        <v>8.8000000000000007</v>
      </c>
      <c r="P193" s="8">
        <f t="shared" si="28"/>
        <v>7.6000000000000005</v>
      </c>
      <c r="Q193" s="8">
        <f t="shared" si="28"/>
        <v>6.4</v>
      </c>
      <c r="R193" s="8">
        <f t="shared" si="28"/>
        <v>5.2</v>
      </c>
      <c r="S193" s="8">
        <f t="shared" si="28"/>
        <v>4</v>
      </c>
      <c r="T193" s="8">
        <f t="shared" si="28"/>
        <v>2.8</v>
      </c>
      <c r="U193" s="8">
        <f t="shared" si="28"/>
        <v>1.5999999999999999</v>
      </c>
      <c r="V193" s="8">
        <f t="shared" si="29"/>
        <v>10</v>
      </c>
      <c r="W193" s="8">
        <f t="shared" si="29"/>
        <v>8.8000000000000007</v>
      </c>
      <c r="X193" s="8">
        <f t="shared" si="29"/>
        <v>7.6000000000000005</v>
      </c>
      <c r="Y193" s="8">
        <f t="shared" si="29"/>
        <v>6.4</v>
      </c>
      <c r="Z193" s="8" t="e">
        <f t="shared" si="29"/>
        <v>#N/A</v>
      </c>
      <c r="AA193" s="8" t="e">
        <f t="shared" si="29"/>
        <v>#N/A</v>
      </c>
      <c r="AB193" s="8" t="e">
        <f t="shared" si="29"/>
        <v>#N/A</v>
      </c>
      <c r="AC193" s="8" t="e">
        <f t="shared" si="29"/>
        <v>#N/A</v>
      </c>
    </row>
    <row r="194" spans="13:29">
      <c r="M194" s="14">
        <v>186</v>
      </c>
      <c r="N194" s="8">
        <f t="shared" si="28"/>
        <v>10</v>
      </c>
      <c r="O194" s="8">
        <f t="shared" si="28"/>
        <v>8.8000000000000007</v>
      </c>
      <c r="P194" s="8">
        <f t="shared" si="28"/>
        <v>7.6000000000000005</v>
      </c>
      <c r="Q194" s="8">
        <f t="shared" si="28"/>
        <v>6.4</v>
      </c>
      <c r="R194" s="8">
        <f t="shared" si="28"/>
        <v>5.2</v>
      </c>
      <c r="S194" s="8">
        <f t="shared" si="28"/>
        <v>4</v>
      </c>
      <c r="T194" s="8">
        <f t="shared" si="28"/>
        <v>2.8</v>
      </c>
      <c r="U194" s="8">
        <f t="shared" si="28"/>
        <v>1.5999999999999999</v>
      </c>
      <c r="V194" s="8">
        <f t="shared" si="29"/>
        <v>10</v>
      </c>
      <c r="W194" s="8">
        <f t="shared" si="29"/>
        <v>8.8000000000000007</v>
      </c>
      <c r="X194" s="8">
        <f t="shared" si="29"/>
        <v>7.6000000000000005</v>
      </c>
      <c r="Y194" s="8">
        <f t="shared" si="29"/>
        <v>6.4</v>
      </c>
      <c r="Z194" s="8" t="e">
        <f t="shared" si="29"/>
        <v>#N/A</v>
      </c>
      <c r="AA194" s="8" t="e">
        <f t="shared" si="29"/>
        <v>#N/A</v>
      </c>
      <c r="AB194" s="8" t="e">
        <f t="shared" si="29"/>
        <v>#N/A</v>
      </c>
      <c r="AC194" s="8" t="e">
        <f t="shared" si="29"/>
        <v>#N/A</v>
      </c>
    </row>
    <row r="195" spans="13:29">
      <c r="M195" s="14">
        <v>187</v>
      </c>
      <c r="N195" s="8">
        <f t="shared" si="28"/>
        <v>10</v>
      </c>
      <c r="O195" s="8">
        <f t="shared" si="28"/>
        <v>8.8000000000000007</v>
      </c>
      <c r="P195" s="8">
        <f t="shared" si="28"/>
        <v>7.6000000000000005</v>
      </c>
      <c r="Q195" s="8">
        <f t="shared" si="28"/>
        <v>6.4</v>
      </c>
      <c r="R195" s="8">
        <f t="shared" si="28"/>
        <v>5.2</v>
      </c>
      <c r="S195" s="8">
        <f t="shared" si="28"/>
        <v>4</v>
      </c>
      <c r="T195" s="8">
        <f t="shared" si="28"/>
        <v>2.8</v>
      </c>
      <c r="U195" s="8">
        <f t="shared" si="28"/>
        <v>1.5999999999999999</v>
      </c>
      <c r="V195" s="8">
        <f t="shared" si="29"/>
        <v>10</v>
      </c>
      <c r="W195" s="8">
        <f t="shared" si="29"/>
        <v>8.8000000000000007</v>
      </c>
      <c r="X195" s="8">
        <f t="shared" si="29"/>
        <v>7.6000000000000005</v>
      </c>
      <c r="Y195" s="8">
        <f t="shared" si="29"/>
        <v>6.4</v>
      </c>
      <c r="Z195" s="8" t="e">
        <f t="shared" si="29"/>
        <v>#N/A</v>
      </c>
      <c r="AA195" s="8" t="e">
        <f t="shared" si="29"/>
        <v>#N/A</v>
      </c>
      <c r="AB195" s="8" t="e">
        <f t="shared" si="29"/>
        <v>#N/A</v>
      </c>
      <c r="AC195" s="8" t="e">
        <f t="shared" si="29"/>
        <v>#N/A</v>
      </c>
    </row>
    <row r="196" spans="13:29">
      <c r="M196" s="14">
        <v>188</v>
      </c>
      <c r="N196" s="8">
        <f t="shared" si="28"/>
        <v>10</v>
      </c>
      <c r="O196" s="8">
        <f t="shared" si="28"/>
        <v>8.8000000000000007</v>
      </c>
      <c r="P196" s="8">
        <f t="shared" si="28"/>
        <v>7.6000000000000005</v>
      </c>
      <c r="Q196" s="8">
        <f t="shared" si="28"/>
        <v>6.4</v>
      </c>
      <c r="R196" s="8">
        <f t="shared" si="28"/>
        <v>5.2</v>
      </c>
      <c r="S196" s="8">
        <f t="shared" si="28"/>
        <v>4</v>
      </c>
      <c r="T196" s="8">
        <f t="shared" si="28"/>
        <v>2.8</v>
      </c>
      <c r="U196" s="8">
        <f t="shared" si="28"/>
        <v>1.5999999999999999</v>
      </c>
      <c r="V196" s="8">
        <f t="shared" si="29"/>
        <v>10</v>
      </c>
      <c r="W196" s="8">
        <f t="shared" si="29"/>
        <v>8.8000000000000007</v>
      </c>
      <c r="X196" s="8">
        <f t="shared" si="29"/>
        <v>7.6000000000000005</v>
      </c>
      <c r="Y196" s="8">
        <f t="shared" si="29"/>
        <v>6.4</v>
      </c>
      <c r="Z196" s="8" t="e">
        <f t="shared" si="29"/>
        <v>#N/A</v>
      </c>
      <c r="AA196" s="8" t="e">
        <f t="shared" si="29"/>
        <v>#N/A</v>
      </c>
      <c r="AB196" s="8" t="e">
        <f t="shared" si="29"/>
        <v>#N/A</v>
      </c>
      <c r="AC196" s="8" t="e">
        <f t="shared" si="29"/>
        <v>#N/A</v>
      </c>
    </row>
    <row r="197" spans="13:29">
      <c r="M197" s="14">
        <v>189</v>
      </c>
      <c r="N197" s="8">
        <f t="shared" si="28"/>
        <v>10</v>
      </c>
      <c r="O197" s="8">
        <f t="shared" si="28"/>
        <v>8.8000000000000007</v>
      </c>
      <c r="P197" s="8">
        <f t="shared" si="28"/>
        <v>7.6000000000000005</v>
      </c>
      <c r="Q197" s="8">
        <f t="shared" si="28"/>
        <v>6.4</v>
      </c>
      <c r="R197" s="8">
        <f t="shared" si="28"/>
        <v>5.2</v>
      </c>
      <c r="S197" s="8">
        <f t="shared" si="28"/>
        <v>4</v>
      </c>
      <c r="T197" s="8">
        <f t="shared" si="28"/>
        <v>2.8</v>
      </c>
      <c r="U197" s="8">
        <f t="shared" si="28"/>
        <v>1.5999999999999999</v>
      </c>
      <c r="V197" s="8">
        <f t="shared" si="29"/>
        <v>10</v>
      </c>
      <c r="W197" s="8">
        <f t="shared" si="29"/>
        <v>8.8000000000000007</v>
      </c>
      <c r="X197" s="8">
        <f t="shared" si="29"/>
        <v>7.6000000000000005</v>
      </c>
      <c r="Y197" s="8">
        <f t="shared" si="29"/>
        <v>6.4</v>
      </c>
      <c r="Z197" s="8" t="e">
        <f t="shared" si="29"/>
        <v>#N/A</v>
      </c>
      <c r="AA197" s="8" t="e">
        <f t="shared" si="29"/>
        <v>#N/A</v>
      </c>
      <c r="AB197" s="8" t="e">
        <f t="shared" si="29"/>
        <v>#N/A</v>
      </c>
      <c r="AC197" s="8" t="e">
        <f t="shared" si="29"/>
        <v>#N/A</v>
      </c>
    </row>
    <row r="198" spans="13:29">
      <c r="M198" s="14">
        <v>190</v>
      </c>
      <c r="N198" s="8">
        <f t="shared" si="28"/>
        <v>10</v>
      </c>
      <c r="O198" s="8">
        <f t="shared" si="28"/>
        <v>8.8000000000000007</v>
      </c>
      <c r="P198" s="8">
        <f t="shared" si="28"/>
        <v>7.6000000000000005</v>
      </c>
      <c r="Q198" s="8">
        <f t="shared" si="28"/>
        <v>6.4</v>
      </c>
      <c r="R198" s="8">
        <f t="shared" si="28"/>
        <v>5.2</v>
      </c>
      <c r="S198" s="8">
        <f t="shared" si="28"/>
        <v>4</v>
      </c>
      <c r="T198" s="8">
        <f t="shared" si="28"/>
        <v>2.8</v>
      </c>
      <c r="U198" s="8">
        <f t="shared" si="28"/>
        <v>1.5999999999999999</v>
      </c>
      <c r="V198" s="8">
        <f t="shared" si="29"/>
        <v>10</v>
      </c>
      <c r="W198" s="8">
        <f t="shared" si="29"/>
        <v>8.8000000000000007</v>
      </c>
      <c r="X198" s="8">
        <f t="shared" si="29"/>
        <v>7.6000000000000005</v>
      </c>
      <c r="Y198" s="8">
        <f t="shared" si="29"/>
        <v>6.4</v>
      </c>
      <c r="Z198" s="8" t="e">
        <f t="shared" si="29"/>
        <v>#N/A</v>
      </c>
      <c r="AA198" s="8" t="e">
        <f t="shared" si="29"/>
        <v>#N/A</v>
      </c>
      <c r="AB198" s="8" t="e">
        <f t="shared" si="29"/>
        <v>#N/A</v>
      </c>
      <c r="AC198" s="8" t="e">
        <f t="shared" si="29"/>
        <v>#N/A</v>
      </c>
    </row>
    <row r="199" spans="13:29">
      <c r="M199" s="14">
        <v>191</v>
      </c>
      <c r="N199" s="8">
        <f t="shared" si="28"/>
        <v>10</v>
      </c>
      <c r="O199" s="8">
        <f t="shared" si="28"/>
        <v>8.8000000000000007</v>
      </c>
      <c r="P199" s="8">
        <f t="shared" si="28"/>
        <v>7.6000000000000005</v>
      </c>
      <c r="Q199" s="8">
        <f t="shared" si="28"/>
        <v>6.4</v>
      </c>
      <c r="R199" s="8">
        <f t="shared" si="28"/>
        <v>5.2</v>
      </c>
      <c r="S199" s="8">
        <f t="shared" si="28"/>
        <v>4</v>
      </c>
      <c r="T199" s="8">
        <f t="shared" si="28"/>
        <v>2.8</v>
      </c>
      <c r="U199" s="8">
        <f t="shared" si="28"/>
        <v>1.5999999999999999</v>
      </c>
      <c r="V199" s="8">
        <f t="shared" si="29"/>
        <v>10</v>
      </c>
      <c r="W199" s="8">
        <f t="shared" si="29"/>
        <v>8.8000000000000007</v>
      </c>
      <c r="X199" s="8">
        <f t="shared" si="29"/>
        <v>7.6000000000000005</v>
      </c>
      <c r="Y199" s="8">
        <f t="shared" si="29"/>
        <v>6.4</v>
      </c>
      <c r="Z199" s="8" t="e">
        <f t="shared" si="29"/>
        <v>#N/A</v>
      </c>
      <c r="AA199" s="8" t="e">
        <f t="shared" si="29"/>
        <v>#N/A</v>
      </c>
      <c r="AB199" s="8" t="e">
        <f t="shared" si="29"/>
        <v>#N/A</v>
      </c>
      <c r="AC199" s="8" t="e">
        <f t="shared" si="29"/>
        <v>#N/A</v>
      </c>
    </row>
    <row r="200" spans="13:29">
      <c r="M200" s="14">
        <v>192</v>
      </c>
      <c r="N200" s="8">
        <f t="shared" si="28"/>
        <v>10</v>
      </c>
      <c r="O200" s="8">
        <f t="shared" si="28"/>
        <v>8.8000000000000007</v>
      </c>
      <c r="P200" s="8">
        <f t="shared" si="28"/>
        <v>7.6000000000000005</v>
      </c>
      <c r="Q200" s="8">
        <f t="shared" si="28"/>
        <v>6.4</v>
      </c>
      <c r="R200" s="8">
        <f t="shared" si="28"/>
        <v>5.2</v>
      </c>
      <c r="S200" s="8">
        <f t="shared" si="28"/>
        <v>4</v>
      </c>
      <c r="T200" s="8">
        <f t="shared" si="28"/>
        <v>2.8</v>
      </c>
      <c r="U200" s="8">
        <f t="shared" si="28"/>
        <v>1.5999999999999999</v>
      </c>
      <c r="V200" s="8">
        <f t="shared" si="29"/>
        <v>10</v>
      </c>
      <c r="W200" s="8">
        <f t="shared" si="29"/>
        <v>8.8000000000000007</v>
      </c>
      <c r="X200" s="8">
        <f t="shared" si="29"/>
        <v>7.6000000000000005</v>
      </c>
      <c r="Y200" s="8">
        <f t="shared" si="29"/>
        <v>6.4</v>
      </c>
      <c r="Z200" s="8" t="e">
        <f t="shared" si="29"/>
        <v>#N/A</v>
      </c>
      <c r="AA200" s="8" t="e">
        <f t="shared" si="29"/>
        <v>#N/A</v>
      </c>
      <c r="AB200" s="8" t="e">
        <f t="shared" si="29"/>
        <v>#N/A</v>
      </c>
      <c r="AC200" s="8" t="e">
        <f t="shared" si="29"/>
        <v>#N/A</v>
      </c>
    </row>
    <row r="201" spans="13:29">
      <c r="M201" s="14">
        <v>193</v>
      </c>
      <c r="N201" s="8">
        <f t="shared" ref="N201:U216" si="30">IF($M201&lt;=100/$G$15*$H$15,N$5,NA())</f>
        <v>10</v>
      </c>
      <c r="O201" s="8">
        <f t="shared" si="30"/>
        <v>8.8000000000000007</v>
      </c>
      <c r="P201" s="8">
        <f t="shared" si="30"/>
        <v>7.6000000000000005</v>
      </c>
      <c r="Q201" s="8">
        <f t="shared" si="30"/>
        <v>6.4</v>
      </c>
      <c r="R201" s="8">
        <f t="shared" si="30"/>
        <v>5.2</v>
      </c>
      <c r="S201" s="8">
        <f t="shared" si="30"/>
        <v>4</v>
      </c>
      <c r="T201" s="8">
        <f t="shared" si="30"/>
        <v>2.8</v>
      </c>
      <c r="U201" s="8">
        <f t="shared" si="30"/>
        <v>1.5999999999999999</v>
      </c>
      <c r="V201" s="8">
        <f t="shared" ref="V201:AC216" si="31">IF($M201&lt;=INDEX($K$5:$K$12,V$6)/$G$15*$H$15,V$5,NA())</f>
        <v>10</v>
      </c>
      <c r="W201" s="8">
        <f t="shared" si="31"/>
        <v>8.8000000000000007</v>
      </c>
      <c r="X201" s="8">
        <f t="shared" si="31"/>
        <v>7.6000000000000005</v>
      </c>
      <c r="Y201" s="8">
        <f t="shared" si="31"/>
        <v>6.4</v>
      </c>
      <c r="Z201" s="8" t="e">
        <f t="shared" si="31"/>
        <v>#N/A</v>
      </c>
      <c r="AA201" s="8" t="e">
        <f t="shared" si="31"/>
        <v>#N/A</v>
      </c>
      <c r="AB201" s="8" t="e">
        <f t="shared" si="31"/>
        <v>#N/A</v>
      </c>
      <c r="AC201" s="8" t="e">
        <f t="shared" si="31"/>
        <v>#N/A</v>
      </c>
    </row>
    <row r="202" spans="13:29">
      <c r="M202" s="14">
        <v>194</v>
      </c>
      <c r="N202" s="8">
        <f t="shared" si="30"/>
        <v>10</v>
      </c>
      <c r="O202" s="8">
        <f t="shared" si="30"/>
        <v>8.8000000000000007</v>
      </c>
      <c r="P202" s="8">
        <f t="shared" si="30"/>
        <v>7.6000000000000005</v>
      </c>
      <c r="Q202" s="8">
        <f t="shared" si="30"/>
        <v>6.4</v>
      </c>
      <c r="R202" s="8">
        <f t="shared" si="30"/>
        <v>5.2</v>
      </c>
      <c r="S202" s="8">
        <f t="shared" si="30"/>
        <v>4</v>
      </c>
      <c r="T202" s="8">
        <f t="shared" si="30"/>
        <v>2.8</v>
      </c>
      <c r="U202" s="8">
        <f t="shared" si="30"/>
        <v>1.5999999999999999</v>
      </c>
      <c r="V202" s="8">
        <f t="shared" si="31"/>
        <v>10</v>
      </c>
      <c r="W202" s="8">
        <f t="shared" si="31"/>
        <v>8.8000000000000007</v>
      </c>
      <c r="X202" s="8">
        <f t="shared" si="31"/>
        <v>7.6000000000000005</v>
      </c>
      <c r="Y202" s="8">
        <f t="shared" si="31"/>
        <v>6.4</v>
      </c>
      <c r="Z202" s="8" t="e">
        <f t="shared" si="31"/>
        <v>#N/A</v>
      </c>
      <c r="AA202" s="8" t="e">
        <f t="shared" si="31"/>
        <v>#N/A</v>
      </c>
      <c r="AB202" s="8" t="e">
        <f t="shared" si="31"/>
        <v>#N/A</v>
      </c>
      <c r="AC202" s="8" t="e">
        <f t="shared" si="31"/>
        <v>#N/A</v>
      </c>
    </row>
    <row r="203" spans="13:29">
      <c r="M203" s="14">
        <v>195</v>
      </c>
      <c r="N203" s="8">
        <f t="shared" si="30"/>
        <v>10</v>
      </c>
      <c r="O203" s="8">
        <f t="shared" si="30"/>
        <v>8.8000000000000007</v>
      </c>
      <c r="P203" s="8">
        <f t="shared" si="30"/>
        <v>7.6000000000000005</v>
      </c>
      <c r="Q203" s="8">
        <f t="shared" si="30"/>
        <v>6.4</v>
      </c>
      <c r="R203" s="8">
        <f t="shared" si="30"/>
        <v>5.2</v>
      </c>
      <c r="S203" s="8">
        <f t="shared" si="30"/>
        <v>4</v>
      </c>
      <c r="T203" s="8">
        <f t="shared" si="30"/>
        <v>2.8</v>
      </c>
      <c r="U203" s="8">
        <f t="shared" si="30"/>
        <v>1.5999999999999999</v>
      </c>
      <c r="V203" s="8">
        <f t="shared" si="31"/>
        <v>10</v>
      </c>
      <c r="W203" s="8">
        <f t="shared" si="31"/>
        <v>8.8000000000000007</v>
      </c>
      <c r="X203" s="8">
        <f t="shared" si="31"/>
        <v>7.6000000000000005</v>
      </c>
      <c r="Y203" s="8">
        <f t="shared" si="31"/>
        <v>6.4</v>
      </c>
      <c r="Z203" s="8" t="e">
        <f t="shared" si="31"/>
        <v>#N/A</v>
      </c>
      <c r="AA203" s="8" t="e">
        <f t="shared" si="31"/>
        <v>#N/A</v>
      </c>
      <c r="AB203" s="8" t="e">
        <f t="shared" si="31"/>
        <v>#N/A</v>
      </c>
      <c r="AC203" s="8" t="e">
        <f t="shared" si="31"/>
        <v>#N/A</v>
      </c>
    </row>
    <row r="204" spans="13:29">
      <c r="M204" s="14">
        <v>196</v>
      </c>
      <c r="N204" s="8">
        <f t="shared" si="30"/>
        <v>10</v>
      </c>
      <c r="O204" s="8">
        <f t="shared" si="30"/>
        <v>8.8000000000000007</v>
      </c>
      <c r="P204" s="8">
        <f t="shared" si="30"/>
        <v>7.6000000000000005</v>
      </c>
      <c r="Q204" s="8">
        <f t="shared" si="30"/>
        <v>6.4</v>
      </c>
      <c r="R204" s="8">
        <f t="shared" si="30"/>
        <v>5.2</v>
      </c>
      <c r="S204" s="8">
        <f t="shared" si="30"/>
        <v>4</v>
      </c>
      <c r="T204" s="8">
        <f t="shared" si="30"/>
        <v>2.8</v>
      </c>
      <c r="U204" s="8">
        <f t="shared" si="30"/>
        <v>1.5999999999999999</v>
      </c>
      <c r="V204" s="8">
        <f t="shared" si="31"/>
        <v>10</v>
      </c>
      <c r="W204" s="8">
        <f t="shared" si="31"/>
        <v>8.8000000000000007</v>
      </c>
      <c r="X204" s="8">
        <f t="shared" si="31"/>
        <v>7.6000000000000005</v>
      </c>
      <c r="Y204" s="8">
        <f t="shared" si="31"/>
        <v>6.4</v>
      </c>
      <c r="Z204" s="8" t="e">
        <f t="shared" si="31"/>
        <v>#N/A</v>
      </c>
      <c r="AA204" s="8" t="e">
        <f t="shared" si="31"/>
        <v>#N/A</v>
      </c>
      <c r="AB204" s="8" t="e">
        <f t="shared" si="31"/>
        <v>#N/A</v>
      </c>
      <c r="AC204" s="8" t="e">
        <f t="shared" si="31"/>
        <v>#N/A</v>
      </c>
    </row>
    <row r="205" spans="13:29">
      <c r="M205" s="14">
        <v>197</v>
      </c>
      <c r="N205" s="8">
        <f t="shared" si="30"/>
        <v>10</v>
      </c>
      <c r="O205" s="8">
        <f t="shared" si="30"/>
        <v>8.8000000000000007</v>
      </c>
      <c r="P205" s="8">
        <f t="shared" si="30"/>
        <v>7.6000000000000005</v>
      </c>
      <c r="Q205" s="8">
        <f t="shared" si="30"/>
        <v>6.4</v>
      </c>
      <c r="R205" s="8">
        <f t="shared" si="30"/>
        <v>5.2</v>
      </c>
      <c r="S205" s="8">
        <f t="shared" si="30"/>
        <v>4</v>
      </c>
      <c r="T205" s="8">
        <f t="shared" si="30"/>
        <v>2.8</v>
      </c>
      <c r="U205" s="8">
        <f t="shared" si="30"/>
        <v>1.5999999999999999</v>
      </c>
      <c r="V205" s="8">
        <f t="shared" si="31"/>
        <v>10</v>
      </c>
      <c r="W205" s="8">
        <f t="shared" si="31"/>
        <v>8.8000000000000007</v>
      </c>
      <c r="X205" s="8">
        <f t="shared" si="31"/>
        <v>7.6000000000000005</v>
      </c>
      <c r="Y205" s="8">
        <f t="shared" si="31"/>
        <v>6.4</v>
      </c>
      <c r="Z205" s="8" t="e">
        <f t="shared" si="31"/>
        <v>#N/A</v>
      </c>
      <c r="AA205" s="8" t="e">
        <f t="shared" si="31"/>
        <v>#N/A</v>
      </c>
      <c r="AB205" s="8" t="e">
        <f t="shared" si="31"/>
        <v>#N/A</v>
      </c>
      <c r="AC205" s="8" t="e">
        <f t="shared" si="31"/>
        <v>#N/A</v>
      </c>
    </row>
    <row r="206" spans="13:29">
      <c r="M206" s="14">
        <v>198</v>
      </c>
      <c r="N206" s="8">
        <f t="shared" si="30"/>
        <v>10</v>
      </c>
      <c r="O206" s="8">
        <f t="shared" si="30"/>
        <v>8.8000000000000007</v>
      </c>
      <c r="P206" s="8">
        <f t="shared" si="30"/>
        <v>7.6000000000000005</v>
      </c>
      <c r="Q206" s="8">
        <f t="shared" si="30"/>
        <v>6.4</v>
      </c>
      <c r="R206" s="8">
        <f t="shared" si="30"/>
        <v>5.2</v>
      </c>
      <c r="S206" s="8">
        <f t="shared" si="30"/>
        <v>4</v>
      </c>
      <c r="T206" s="8">
        <f t="shared" si="30"/>
        <v>2.8</v>
      </c>
      <c r="U206" s="8">
        <f t="shared" si="30"/>
        <v>1.5999999999999999</v>
      </c>
      <c r="V206" s="8">
        <f t="shared" si="31"/>
        <v>10</v>
      </c>
      <c r="W206" s="8">
        <f t="shared" si="31"/>
        <v>8.8000000000000007</v>
      </c>
      <c r="X206" s="8">
        <f t="shared" si="31"/>
        <v>7.6000000000000005</v>
      </c>
      <c r="Y206" s="8">
        <f t="shared" si="31"/>
        <v>6.4</v>
      </c>
      <c r="Z206" s="8" t="e">
        <f t="shared" si="31"/>
        <v>#N/A</v>
      </c>
      <c r="AA206" s="8" t="e">
        <f t="shared" si="31"/>
        <v>#N/A</v>
      </c>
      <c r="AB206" s="8" t="e">
        <f t="shared" si="31"/>
        <v>#N/A</v>
      </c>
      <c r="AC206" s="8" t="e">
        <f t="shared" si="31"/>
        <v>#N/A</v>
      </c>
    </row>
    <row r="207" spans="13:29">
      <c r="M207" s="14">
        <v>199</v>
      </c>
      <c r="N207" s="8">
        <f t="shared" si="30"/>
        <v>10</v>
      </c>
      <c r="O207" s="8">
        <f t="shared" si="30"/>
        <v>8.8000000000000007</v>
      </c>
      <c r="P207" s="8">
        <f t="shared" si="30"/>
        <v>7.6000000000000005</v>
      </c>
      <c r="Q207" s="8">
        <f t="shared" si="30"/>
        <v>6.4</v>
      </c>
      <c r="R207" s="8">
        <f t="shared" si="30"/>
        <v>5.2</v>
      </c>
      <c r="S207" s="8">
        <f t="shared" si="30"/>
        <v>4</v>
      </c>
      <c r="T207" s="8">
        <f t="shared" si="30"/>
        <v>2.8</v>
      </c>
      <c r="U207" s="8">
        <f t="shared" si="30"/>
        <v>1.5999999999999999</v>
      </c>
      <c r="V207" s="8">
        <f t="shared" si="31"/>
        <v>10</v>
      </c>
      <c r="W207" s="8">
        <f t="shared" si="31"/>
        <v>8.8000000000000007</v>
      </c>
      <c r="X207" s="8">
        <f t="shared" si="31"/>
        <v>7.6000000000000005</v>
      </c>
      <c r="Y207" s="8" t="e">
        <f t="shared" si="31"/>
        <v>#N/A</v>
      </c>
      <c r="Z207" s="8" t="e">
        <f t="shared" si="31"/>
        <v>#N/A</v>
      </c>
      <c r="AA207" s="8" t="e">
        <f t="shared" si="31"/>
        <v>#N/A</v>
      </c>
      <c r="AB207" s="8" t="e">
        <f t="shared" si="31"/>
        <v>#N/A</v>
      </c>
      <c r="AC207" s="8" t="e">
        <f t="shared" si="31"/>
        <v>#N/A</v>
      </c>
    </row>
    <row r="208" spans="13:29">
      <c r="M208" s="14">
        <v>200</v>
      </c>
      <c r="N208" s="8">
        <f t="shared" si="30"/>
        <v>10</v>
      </c>
      <c r="O208" s="8">
        <f t="shared" si="30"/>
        <v>8.8000000000000007</v>
      </c>
      <c r="P208" s="8">
        <f t="shared" si="30"/>
        <v>7.6000000000000005</v>
      </c>
      <c r="Q208" s="8">
        <f t="shared" si="30"/>
        <v>6.4</v>
      </c>
      <c r="R208" s="8">
        <f t="shared" si="30"/>
        <v>5.2</v>
      </c>
      <c r="S208" s="8">
        <f t="shared" si="30"/>
        <v>4</v>
      </c>
      <c r="T208" s="8">
        <f t="shared" si="30"/>
        <v>2.8</v>
      </c>
      <c r="U208" s="8">
        <f t="shared" si="30"/>
        <v>1.5999999999999999</v>
      </c>
      <c r="V208" s="8">
        <f t="shared" si="31"/>
        <v>10</v>
      </c>
      <c r="W208" s="8">
        <f t="shared" si="31"/>
        <v>8.8000000000000007</v>
      </c>
      <c r="X208" s="8">
        <f t="shared" si="31"/>
        <v>7.6000000000000005</v>
      </c>
      <c r="Y208" s="8" t="e">
        <f t="shared" si="31"/>
        <v>#N/A</v>
      </c>
      <c r="Z208" s="8" t="e">
        <f t="shared" si="31"/>
        <v>#N/A</v>
      </c>
      <c r="AA208" s="8" t="e">
        <f t="shared" si="31"/>
        <v>#N/A</v>
      </c>
      <c r="AB208" s="8" t="e">
        <f t="shared" si="31"/>
        <v>#N/A</v>
      </c>
      <c r="AC208" s="8" t="e">
        <f t="shared" si="31"/>
        <v>#N/A</v>
      </c>
    </row>
    <row r="209" spans="13:29">
      <c r="M209" s="14">
        <v>201</v>
      </c>
      <c r="N209" s="8">
        <f t="shared" si="30"/>
        <v>10</v>
      </c>
      <c r="O209" s="8">
        <f t="shared" si="30"/>
        <v>8.8000000000000007</v>
      </c>
      <c r="P209" s="8">
        <f t="shared" si="30"/>
        <v>7.6000000000000005</v>
      </c>
      <c r="Q209" s="8">
        <f t="shared" si="30"/>
        <v>6.4</v>
      </c>
      <c r="R209" s="8">
        <f t="shared" si="30"/>
        <v>5.2</v>
      </c>
      <c r="S209" s="8">
        <f t="shared" si="30"/>
        <v>4</v>
      </c>
      <c r="T209" s="8">
        <f t="shared" si="30"/>
        <v>2.8</v>
      </c>
      <c r="U209" s="8">
        <f t="shared" si="30"/>
        <v>1.5999999999999999</v>
      </c>
      <c r="V209" s="8">
        <f t="shared" si="31"/>
        <v>10</v>
      </c>
      <c r="W209" s="8">
        <f t="shared" si="31"/>
        <v>8.8000000000000007</v>
      </c>
      <c r="X209" s="8">
        <f t="shared" si="31"/>
        <v>7.6000000000000005</v>
      </c>
      <c r="Y209" s="8" t="e">
        <f t="shared" si="31"/>
        <v>#N/A</v>
      </c>
      <c r="Z209" s="8" t="e">
        <f t="shared" si="31"/>
        <v>#N/A</v>
      </c>
      <c r="AA209" s="8" t="e">
        <f t="shared" si="31"/>
        <v>#N/A</v>
      </c>
      <c r="AB209" s="8" t="e">
        <f t="shared" si="31"/>
        <v>#N/A</v>
      </c>
      <c r="AC209" s="8" t="e">
        <f t="shared" si="31"/>
        <v>#N/A</v>
      </c>
    </row>
    <row r="210" spans="13:29">
      <c r="M210" s="14">
        <v>202</v>
      </c>
      <c r="N210" s="8">
        <f t="shared" si="30"/>
        <v>10</v>
      </c>
      <c r="O210" s="8">
        <f t="shared" si="30"/>
        <v>8.8000000000000007</v>
      </c>
      <c r="P210" s="8">
        <f t="shared" si="30"/>
        <v>7.6000000000000005</v>
      </c>
      <c r="Q210" s="8">
        <f t="shared" si="30"/>
        <v>6.4</v>
      </c>
      <c r="R210" s="8">
        <f t="shared" si="30"/>
        <v>5.2</v>
      </c>
      <c r="S210" s="8">
        <f t="shared" si="30"/>
        <v>4</v>
      </c>
      <c r="T210" s="8">
        <f t="shared" si="30"/>
        <v>2.8</v>
      </c>
      <c r="U210" s="8">
        <f t="shared" si="30"/>
        <v>1.5999999999999999</v>
      </c>
      <c r="V210" s="8">
        <f t="shared" si="31"/>
        <v>10</v>
      </c>
      <c r="W210" s="8">
        <f t="shared" si="31"/>
        <v>8.8000000000000007</v>
      </c>
      <c r="X210" s="8">
        <f t="shared" si="31"/>
        <v>7.6000000000000005</v>
      </c>
      <c r="Y210" s="8" t="e">
        <f t="shared" si="31"/>
        <v>#N/A</v>
      </c>
      <c r="Z210" s="8" t="e">
        <f t="shared" si="31"/>
        <v>#N/A</v>
      </c>
      <c r="AA210" s="8" t="e">
        <f t="shared" si="31"/>
        <v>#N/A</v>
      </c>
      <c r="AB210" s="8" t="e">
        <f t="shared" si="31"/>
        <v>#N/A</v>
      </c>
      <c r="AC210" s="8" t="e">
        <f t="shared" si="31"/>
        <v>#N/A</v>
      </c>
    </row>
    <row r="211" spans="13:29">
      <c r="M211" s="14">
        <v>203</v>
      </c>
      <c r="N211" s="8">
        <f t="shared" si="30"/>
        <v>10</v>
      </c>
      <c r="O211" s="8">
        <f t="shared" si="30"/>
        <v>8.8000000000000007</v>
      </c>
      <c r="P211" s="8">
        <f t="shared" si="30"/>
        <v>7.6000000000000005</v>
      </c>
      <c r="Q211" s="8">
        <f t="shared" si="30"/>
        <v>6.4</v>
      </c>
      <c r="R211" s="8">
        <f t="shared" si="30"/>
        <v>5.2</v>
      </c>
      <c r="S211" s="8">
        <f t="shared" si="30"/>
        <v>4</v>
      </c>
      <c r="T211" s="8">
        <f t="shared" si="30"/>
        <v>2.8</v>
      </c>
      <c r="U211" s="8">
        <f t="shared" si="30"/>
        <v>1.5999999999999999</v>
      </c>
      <c r="V211" s="8">
        <f t="shared" si="31"/>
        <v>10</v>
      </c>
      <c r="W211" s="8">
        <f t="shared" si="31"/>
        <v>8.8000000000000007</v>
      </c>
      <c r="X211" s="8">
        <f t="shared" si="31"/>
        <v>7.6000000000000005</v>
      </c>
      <c r="Y211" s="8" t="e">
        <f t="shared" si="31"/>
        <v>#N/A</v>
      </c>
      <c r="Z211" s="8" t="e">
        <f t="shared" si="31"/>
        <v>#N/A</v>
      </c>
      <c r="AA211" s="8" t="e">
        <f t="shared" si="31"/>
        <v>#N/A</v>
      </c>
      <c r="AB211" s="8" t="e">
        <f t="shared" si="31"/>
        <v>#N/A</v>
      </c>
      <c r="AC211" s="8" t="e">
        <f t="shared" si="31"/>
        <v>#N/A</v>
      </c>
    </row>
    <row r="212" spans="13:29">
      <c r="M212" s="14">
        <v>204</v>
      </c>
      <c r="N212" s="8">
        <f t="shared" si="30"/>
        <v>10</v>
      </c>
      <c r="O212" s="8">
        <f t="shared" si="30"/>
        <v>8.8000000000000007</v>
      </c>
      <c r="P212" s="8">
        <f t="shared" si="30"/>
        <v>7.6000000000000005</v>
      </c>
      <c r="Q212" s="8">
        <f t="shared" si="30"/>
        <v>6.4</v>
      </c>
      <c r="R212" s="8">
        <f t="shared" si="30"/>
        <v>5.2</v>
      </c>
      <c r="S212" s="8">
        <f t="shared" si="30"/>
        <v>4</v>
      </c>
      <c r="T212" s="8">
        <f t="shared" si="30"/>
        <v>2.8</v>
      </c>
      <c r="U212" s="8">
        <f t="shared" si="30"/>
        <v>1.5999999999999999</v>
      </c>
      <c r="V212" s="8">
        <f t="shared" si="31"/>
        <v>10</v>
      </c>
      <c r="W212" s="8">
        <f t="shared" si="31"/>
        <v>8.8000000000000007</v>
      </c>
      <c r="X212" s="8">
        <f t="shared" si="31"/>
        <v>7.6000000000000005</v>
      </c>
      <c r="Y212" s="8" t="e">
        <f t="shared" si="31"/>
        <v>#N/A</v>
      </c>
      <c r="Z212" s="8" t="e">
        <f t="shared" si="31"/>
        <v>#N/A</v>
      </c>
      <c r="AA212" s="8" t="e">
        <f t="shared" si="31"/>
        <v>#N/A</v>
      </c>
      <c r="AB212" s="8" t="e">
        <f t="shared" si="31"/>
        <v>#N/A</v>
      </c>
      <c r="AC212" s="8" t="e">
        <f t="shared" si="31"/>
        <v>#N/A</v>
      </c>
    </row>
    <row r="213" spans="13:29">
      <c r="M213" s="14">
        <v>205</v>
      </c>
      <c r="N213" s="8">
        <f t="shared" si="30"/>
        <v>10</v>
      </c>
      <c r="O213" s="8">
        <f t="shared" si="30"/>
        <v>8.8000000000000007</v>
      </c>
      <c r="P213" s="8">
        <f t="shared" si="30"/>
        <v>7.6000000000000005</v>
      </c>
      <c r="Q213" s="8">
        <f t="shared" si="30"/>
        <v>6.4</v>
      </c>
      <c r="R213" s="8">
        <f t="shared" si="30"/>
        <v>5.2</v>
      </c>
      <c r="S213" s="8">
        <f t="shared" si="30"/>
        <v>4</v>
      </c>
      <c r="T213" s="8">
        <f t="shared" si="30"/>
        <v>2.8</v>
      </c>
      <c r="U213" s="8">
        <f t="shared" si="30"/>
        <v>1.5999999999999999</v>
      </c>
      <c r="V213" s="8">
        <f t="shared" si="31"/>
        <v>10</v>
      </c>
      <c r="W213" s="8">
        <f t="shared" si="31"/>
        <v>8.8000000000000007</v>
      </c>
      <c r="X213" s="8">
        <f t="shared" si="31"/>
        <v>7.6000000000000005</v>
      </c>
      <c r="Y213" s="8" t="e">
        <f t="shared" si="31"/>
        <v>#N/A</v>
      </c>
      <c r="Z213" s="8" t="e">
        <f t="shared" si="31"/>
        <v>#N/A</v>
      </c>
      <c r="AA213" s="8" t="e">
        <f t="shared" si="31"/>
        <v>#N/A</v>
      </c>
      <c r="AB213" s="8" t="e">
        <f t="shared" si="31"/>
        <v>#N/A</v>
      </c>
      <c r="AC213" s="8" t="e">
        <f t="shared" si="31"/>
        <v>#N/A</v>
      </c>
    </row>
    <row r="214" spans="13:29">
      <c r="M214" s="14">
        <v>206</v>
      </c>
      <c r="N214" s="8">
        <f t="shared" si="30"/>
        <v>10</v>
      </c>
      <c r="O214" s="8">
        <f t="shared" si="30"/>
        <v>8.8000000000000007</v>
      </c>
      <c r="P214" s="8">
        <f t="shared" si="30"/>
        <v>7.6000000000000005</v>
      </c>
      <c r="Q214" s="8">
        <f t="shared" si="30"/>
        <v>6.4</v>
      </c>
      <c r="R214" s="8">
        <f t="shared" si="30"/>
        <v>5.2</v>
      </c>
      <c r="S214" s="8">
        <f t="shared" si="30"/>
        <v>4</v>
      </c>
      <c r="T214" s="8">
        <f t="shared" si="30"/>
        <v>2.8</v>
      </c>
      <c r="U214" s="8">
        <f t="shared" si="30"/>
        <v>1.5999999999999999</v>
      </c>
      <c r="V214" s="8">
        <f t="shared" si="31"/>
        <v>10</v>
      </c>
      <c r="W214" s="8">
        <f t="shared" si="31"/>
        <v>8.8000000000000007</v>
      </c>
      <c r="X214" s="8">
        <f t="shared" si="31"/>
        <v>7.6000000000000005</v>
      </c>
      <c r="Y214" s="8" t="e">
        <f t="shared" si="31"/>
        <v>#N/A</v>
      </c>
      <c r="Z214" s="8" t="e">
        <f t="shared" si="31"/>
        <v>#N/A</v>
      </c>
      <c r="AA214" s="8" t="e">
        <f t="shared" si="31"/>
        <v>#N/A</v>
      </c>
      <c r="AB214" s="8" t="e">
        <f t="shared" si="31"/>
        <v>#N/A</v>
      </c>
      <c r="AC214" s="8" t="e">
        <f t="shared" si="31"/>
        <v>#N/A</v>
      </c>
    </row>
    <row r="215" spans="13:29">
      <c r="M215" s="14">
        <v>207</v>
      </c>
      <c r="N215" s="8">
        <f t="shared" si="30"/>
        <v>10</v>
      </c>
      <c r="O215" s="8">
        <f t="shared" si="30"/>
        <v>8.8000000000000007</v>
      </c>
      <c r="P215" s="8">
        <f t="shared" si="30"/>
        <v>7.6000000000000005</v>
      </c>
      <c r="Q215" s="8">
        <f t="shared" si="30"/>
        <v>6.4</v>
      </c>
      <c r="R215" s="8">
        <f t="shared" si="30"/>
        <v>5.2</v>
      </c>
      <c r="S215" s="8">
        <f t="shared" si="30"/>
        <v>4</v>
      </c>
      <c r="T215" s="8">
        <f t="shared" si="30"/>
        <v>2.8</v>
      </c>
      <c r="U215" s="8">
        <f t="shared" si="30"/>
        <v>1.5999999999999999</v>
      </c>
      <c r="V215" s="8">
        <f t="shared" si="31"/>
        <v>10</v>
      </c>
      <c r="W215" s="8">
        <f t="shared" si="31"/>
        <v>8.8000000000000007</v>
      </c>
      <c r="X215" s="8">
        <f t="shared" si="31"/>
        <v>7.6000000000000005</v>
      </c>
      <c r="Y215" s="8" t="e">
        <f t="shared" si="31"/>
        <v>#N/A</v>
      </c>
      <c r="Z215" s="8" t="e">
        <f t="shared" si="31"/>
        <v>#N/A</v>
      </c>
      <c r="AA215" s="8" t="e">
        <f t="shared" si="31"/>
        <v>#N/A</v>
      </c>
      <c r="AB215" s="8" t="e">
        <f t="shared" si="31"/>
        <v>#N/A</v>
      </c>
      <c r="AC215" s="8" t="e">
        <f t="shared" si="31"/>
        <v>#N/A</v>
      </c>
    </row>
    <row r="216" spans="13:29">
      <c r="M216" s="14">
        <v>208</v>
      </c>
      <c r="N216" s="8">
        <f t="shared" si="30"/>
        <v>10</v>
      </c>
      <c r="O216" s="8">
        <f t="shared" si="30"/>
        <v>8.8000000000000007</v>
      </c>
      <c r="P216" s="8">
        <f t="shared" si="30"/>
        <v>7.6000000000000005</v>
      </c>
      <c r="Q216" s="8">
        <f t="shared" si="30"/>
        <v>6.4</v>
      </c>
      <c r="R216" s="8">
        <f t="shared" si="30"/>
        <v>5.2</v>
      </c>
      <c r="S216" s="8">
        <f t="shared" si="30"/>
        <v>4</v>
      </c>
      <c r="T216" s="8">
        <f t="shared" si="30"/>
        <v>2.8</v>
      </c>
      <c r="U216" s="8">
        <f t="shared" si="30"/>
        <v>1.5999999999999999</v>
      </c>
      <c r="V216" s="8">
        <f t="shared" si="31"/>
        <v>10</v>
      </c>
      <c r="W216" s="8">
        <f t="shared" si="31"/>
        <v>8.8000000000000007</v>
      </c>
      <c r="X216" s="8">
        <f t="shared" si="31"/>
        <v>7.6000000000000005</v>
      </c>
      <c r="Y216" s="8" t="e">
        <f t="shared" si="31"/>
        <v>#N/A</v>
      </c>
      <c r="Z216" s="8" t="e">
        <f t="shared" si="31"/>
        <v>#N/A</v>
      </c>
      <c r="AA216" s="8" t="e">
        <f t="shared" si="31"/>
        <v>#N/A</v>
      </c>
      <c r="AB216" s="8" t="e">
        <f t="shared" si="31"/>
        <v>#N/A</v>
      </c>
      <c r="AC216" s="8" t="e">
        <f t="shared" si="31"/>
        <v>#N/A</v>
      </c>
    </row>
    <row r="217" spans="13:29">
      <c r="M217" s="14">
        <v>209</v>
      </c>
      <c r="N217" s="8">
        <f t="shared" ref="N217:U232" si="32">IF($M217&lt;=100/$G$15*$H$15,N$5,NA())</f>
        <v>10</v>
      </c>
      <c r="O217" s="8">
        <f t="shared" si="32"/>
        <v>8.8000000000000007</v>
      </c>
      <c r="P217" s="8">
        <f t="shared" si="32"/>
        <v>7.6000000000000005</v>
      </c>
      <c r="Q217" s="8">
        <f t="shared" si="32"/>
        <v>6.4</v>
      </c>
      <c r="R217" s="8">
        <f t="shared" si="32"/>
        <v>5.2</v>
      </c>
      <c r="S217" s="8">
        <f t="shared" si="32"/>
        <v>4</v>
      </c>
      <c r="T217" s="8">
        <f t="shared" si="32"/>
        <v>2.8</v>
      </c>
      <c r="U217" s="8">
        <f t="shared" si="32"/>
        <v>1.5999999999999999</v>
      </c>
      <c r="V217" s="8">
        <f t="shared" ref="V217:AC232" si="33">IF($M217&lt;=INDEX($K$5:$K$12,V$6)/$G$15*$H$15,V$5,NA())</f>
        <v>10</v>
      </c>
      <c r="W217" s="8">
        <f t="shared" si="33"/>
        <v>8.8000000000000007</v>
      </c>
      <c r="X217" s="8">
        <f t="shared" si="33"/>
        <v>7.6000000000000005</v>
      </c>
      <c r="Y217" s="8" t="e">
        <f t="shared" si="33"/>
        <v>#N/A</v>
      </c>
      <c r="Z217" s="8" t="e">
        <f t="shared" si="33"/>
        <v>#N/A</v>
      </c>
      <c r="AA217" s="8" t="e">
        <f t="shared" si="33"/>
        <v>#N/A</v>
      </c>
      <c r="AB217" s="8" t="e">
        <f t="shared" si="33"/>
        <v>#N/A</v>
      </c>
      <c r="AC217" s="8" t="e">
        <f t="shared" si="33"/>
        <v>#N/A</v>
      </c>
    </row>
    <row r="218" spans="13:29">
      <c r="M218" s="14">
        <v>210</v>
      </c>
      <c r="N218" s="8">
        <f t="shared" si="32"/>
        <v>10</v>
      </c>
      <c r="O218" s="8">
        <f t="shared" si="32"/>
        <v>8.8000000000000007</v>
      </c>
      <c r="P218" s="8">
        <f t="shared" si="32"/>
        <v>7.6000000000000005</v>
      </c>
      <c r="Q218" s="8">
        <f t="shared" si="32"/>
        <v>6.4</v>
      </c>
      <c r="R218" s="8">
        <f t="shared" si="32"/>
        <v>5.2</v>
      </c>
      <c r="S218" s="8">
        <f t="shared" si="32"/>
        <v>4</v>
      </c>
      <c r="T218" s="8">
        <f t="shared" si="32"/>
        <v>2.8</v>
      </c>
      <c r="U218" s="8">
        <f t="shared" si="32"/>
        <v>1.5999999999999999</v>
      </c>
      <c r="V218" s="8">
        <f t="shared" si="33"/>
        <v>10</v>
      </c>
      <c r="W218" s="8">
        <f t="shared" si="33"/>
        <v>8.8000000000000007</v>
      </c>
      <c r="X218" s="8">
        <f t="shared" si="33"/>
        <v>7.6000000000000005</v>
      </c>
      <c r="Y218" s="8" t="e">
        <f t="shared" si="33"/>
        <v>#N/A</v>
      </c>
      <c r="Z218" s="8" t="e">
        <f t="shared" si="33"/>
        <v>#N/A</v>
      </c>
      <c r="AA218" s="8" t="e">
        <f t="shared" si="33"/>
        <v>#N/A</v>
      </c>
      <c r="AB218" s="8" t="e">
        <f t="shared" si="33"/>
        <v>#N/A</v>
      </c>
      <c r="AC218" s="8" t="e">
        <f t="shared" si="33"/>
        <v>#N/A</v>
      </c>
    </row>
    <row r="219" spans="13:29">
      <c r="M219" s="14">
        <v>211</v>
      </c>
      <c r="N219" s="8">
        <f t="shared" si="32"/>
        <v>10</v>
      </c>
      <c r="O219" s="8">
        <f t="shared" si="32"/>
        <v>8.8000000000000007</v>
      </c>
      <c r="P219" s="8">
        <f t="shared" si="32"/>
        <v>7.6000000000000005</v>
      </c>
      <c r="Q219" s="8">
        <f t="shared" si="32"/>
        <v>6.4</v>
      </c>
      <c r="R219" s="8">
        <f t="shared" si="32"/>
        <v>5.2</v>
      </c>
      <c r="S219" s="8">
        <f t="shared" si="32"/>
        <v>4</v>
      </c>
      <c r="T219" s="8">
        <f t="shared" si="32"/>
        <v>2.8</v>
      </c>
      <c r="U219" s="8">
        <f t="shared" si="32"/>
        <v>1.5999999999999999</v>
      </c>
      <c r="V219" s="8">
        <f t="shared" si="33"/>
        <v>10</v>
      </c>
      <c r="W219" s="8">
        <f t="shared" si="33"/>
        <v>8.8000000000000007</v>
      </c>
      <c r="X219" s="8">
        <f t="shared" si="33"/>
        <v>7.6000000000000005</v>
      </c>
      <c r="Y219" s="8" t="e">
        <f t="shared" si="33"/>
        <v>#N/A</v>
      </c>
      <c r="Z219" s="8" t="e">
        <f t="shared" si="33"/>
        <v>#N/A</v>
      </c>
      <c r="AA219" s="8" t="e">
        <f t="shared" si="33"/>
        <v>#N/A</v>
      </c>
      <c r="AB219" s="8" t="e">
        <f t="shared" si="33"/>
        <v>#N/A</v>
      </c>
      <c r="AC219" s="8" t="e">
        <f t="shared" si="33"/>
        <v>#N/A</v>
      </c>
    </row>
    <row r="220" spans="13:29">
      <c r="M220" s="14">
        <v>212</v>
      </c>
      <c r="N220" s="8">
        <f t="shared" si="32"/>
        <v>10</v>
      </c>
      <c r="O220" s="8">
        <f t="shared" si="32"/>
        <v>8.8000000000000007</v>
      </c>
      <c r="P220" s="8">
        <f t="shared" si="32"/>
        <v>7.6000000000000005</v>
      </c>
      <c r="Q220" s="8">
        <f t="shared" si="32"/>
        <v>6.4</v>
      </c>
      <c r="R220" s="8">
        <f t="shared" si="32"/>
        <v>5.2</v>
      </c>
      <c r="S220" s="8">
        <f t="shared" si="32"/>
        <v>4</v>
      </c>
      <c r="T220" s="8">
        <f t="shared" si="32"/>
        <v>2.8</v>
      </c>
      <c r="U220" s="8">
        <f t="shared" si="32"/>
        <v>1.5999999999999999</v>
      </c>
      <c r="V220" s="8">
        <f t="shared" si="33"/>
        <v>10</v>
      </c>
      <c r="W220" s="8">
        <f t="shared" si="33"/>
        <v>8.8000000000000007</v>
      </c>
      <c r="X220" s="8" t="e">
        <f t="shared" si="33"/>
        <v>#N/A</v>
      </c>
      <c r="Y220" s="8" t="e">
        <f t="shared" si="33"/>
        <v>#N/A</v>
      </c>
      <c r="Z220" s="8" t="e">
        <f t="shared" si="33"/>
        <v>#N/A</v>
      </c>
      <c r="AA220" s="8" t="e">
        <f t="shared" si="33"/>
        <v>#N/A</v>
      </c>
      <c r="AB220" s="8" t="e">
        <f t="shared" si="33"/>
        <v>#N/A</v>
      </c>
      <c r="AC220" s="8" t="e">
        <f t="shared" si="33"/>
        <v>#N/A</v>
      </c>
    </row>
    <row r="221" spans="13:29">
      <c r="M221" s="14">
        <v>213</v>
      </c>
      <c r="N221" s="8">
        <f t="shared" si="32"/>
        <v>10</v>
      </c>
      <c r="O221" s="8">
        <f t="shared" si="32"/>
        <v>8.8000000000000007</v>
      </c>
      <c r="P221" s="8">
        <f t="shared" si="32"/>
        <v>7.6000000000000005</v>
      </c>
      <c r="Q221" s="8">
        <f t="shared" si="32"/>
        <v>6.4</v>
      </c>
      <c r="R221" s="8">
        <f t="shared" si="32"/>
        <v>5.2</v>
      </c>
      <c r="S221" s="8">
        <f t="shared" si="32"/>
        <v>4</v>
      </c>
      <c r="T221" s="8">
        <f t="shared" si="32"/>
        <v>2.8</v>
      </c>
      <c r="U221" s="8">
        <f t="shared" si="32"/>
        <v>1.5999999999999999</v>
      </c>
      <c r="V221" s="8">
        <f t="shared" si="33"/>
        <v>10</v>
      </c>
      <c r="W221" s="8">
        <f t="shared" si="33"/>
        <v>8.8000000000000007</v>
      </c>
      <c r="X221" s="8" t="e">
        <f t="shared" si="33"/>
        <v>#N/A</v>
      </c>
      <c r="Y221" s="8" t="e">
        <f t="shared" si="33"/>
        <v>#N/A</v>
      </c>
      <c r="Z221" s="8" t="e">
        <f t="shared" si="33"/>
        <v>#N/A</v>
      </c>
      <c r="AA221" s="8" t="e">
        <f t="shared" si="33"/>
        <v>#N/A</v>
      </c>
      <c r="AB221" s="8" t="e">
        <f t="shared" si="33"/>
        <v>#N/A</v>
      </c>
      <c r="AC221" s="8" t="e">
        <f t="shared" si="33"/>
        <v>#N/A</v>
      </c>
    </row>
    <row r="222" spans="13:29">
      <c r="M222" s="14">
        <v>214</v>
      </c>
      <c r="N222" s="8">
        <f t="shared" si="32"/>
        <v>10</v>
      </c>
      <c r="O222" s="8">
        <f t="shared" si="32"/>
        <v>8.8000000000000007</v>
      </c>
      <c r="P222" s="8">
        <f t="shared" si="32"/>
        <v>7.6000000000000005</v>
      </c>
      <c r="Q222" s="8">
        <f t="shared" si="32"/>
        <v>6.4</v>
      </c>
      <c r="R222" s="8">
        <f t="shared" si="32"/>
        <v>5.2</v>
      </c>
      <c r="S222" s="8">
        <f t="shared" si="32"/>
        <v>4</v>
      </c>
      <c r="T222" s="8">
        <f t="shared" si="32"/>
        <v>2.8</v>
      </c>
      <c r="U222" s="8">
        <f t="shared" si="32"/>
        <v>1.5999999999999999</v>
      </c>
      <c r="V222" s="8">
        <f t="shared" si="33"/>
        <v>10</v>
      </c>
      <c r="W222" s="8">
        <f t="shared" si="33"/>
        <v>8.8000000000000007</v>
      </c>
      <c r="X222" s="8" t="e">
        <f t="shared" si="33"/>
        <v>#N/A</v>
      </c>
      <c r="Y222" s="8" t="e">
        <f t="shared" si="33"/>
        <v>#N/A</v>
      </c>
      <c r="Z222" s="8" t="e">
        <f t="shared" si="33"/>
        <v>#N/A</v>
      </c>
      <c r="AA222" s="8" t="e">
        <f t="shared" si="33"/>
        <v>#N/A</v>
      </c>
      <c r="AB222" s="8" t="e">
        <f t="shared" si="33"/>
        <v>#N/A</v>
      </c>
      <c r="AC222" s="8" t="e">
        <f t="shared" si="33"/>
        <v>#N/A</v>
      </c>
    </row>
    <row r="223" spans="13:29">
      <c r="M223" s="14">
        <v>215</v>
      </c>
      <c r="N223" s="8">
        <f t="shared" si="32"/>
        <v>10</v>
      </c>
      <c r="O223" s="8">
        <f t="shared" si="32"/>
        <v>8.8000000000000007</v>
      </c>
      <c r="P223" s="8">
        <f t="shared" si="32"/>
        <v>7.6000000000000005</v>
      </c>
      <c r="Q223" s="8">
        <f t="shared" si="32"/>
        <v>6.4</v>
      </c>
      <c r="R223" s="8">
        <f t="shared" si="32"/>
        <v>5.2</v>
      </c>
      <c r="S223" s="8">
        <f t="shared" si="32"/>
        <v>4</v>
      </c>
      <c r="T223" s="8">
        <f t="shared" si="32"/>
        <v>2.8</v>
      </c>
      <c r="U223" s="8">
        <f t="shared" si="32"/>
        <v>1.5999999999999999</v>
      </c>
      <c r="V223" s="8">
        <f t="shared" si="33"/>
        <v>10</v>
      </c>
      <c r="W223" s="8">
        <f t="shared" si="33"/>
        <v>8.8000000000000007</v>
      </c>
      <c r="X223" s="8" t="e">
        <f t="shared" si="33"/>
        <v>#N/A</v>
      </c>
      <c r="Y223" s="8" t="e">
        <f t="shared" si="33"/>
        <v>#N/A</v>
      </c>
      <c r="Z223" s="8" t="e">
        <f t="shared" si="33"/>
        <v>#N/A</v>
      </c>
      <c r="AA223" s="8" t="e">
        <f t="shared" si="33"/>
        <v>#N/A</v>
      </c>
      <c r="AB223" s="8" t="e">
        <f t="shared" si="33"/>
        <v>#N/A</v>
      </c>
      <c r="AC223" s="8" t="e">
        <f t="shared" si="33"/>
        <v>#N/A</v>
      </c>
    </row>
    <row r="224" spans="13:29">
      <c r="M224" s="14">
        <v>216</v>
      </c>
      <c r="N224" s="8">
        <f t="shared" si="32"/>
        <v>10</v>
      </c>
      <c r="O224" s="8">
        <f t="shared" si="32"/>
        <v>8.8000000000000007</v>
      </c>
      <c r="P224" s="8">
        <f t="shared" si="32"/>
        <v>7.6000000000000005</v>
      </c>
      <c r="Q224" s="8">
        <f t="shared" si="32"/>
        <v>6.4</v>
      </c>
      <c r="R224" s="8">
        <f t="shared" si="32"/>
        <v>5.2</v>
      </c>
      <c r="S224" s="8">
        <f t="shared" si="32"/>
        <v>4</v>
      </c>
      <c r="T224" s="8">
        <f t="shared" si="32"/>
        <v>2.8</v>
      </c>
      <c r="U224" s="8">
        <f t="shared" si="32"/>
        <v>1.5999999999999999</v>
      </c>
      <c r="V224" s="8">
        <f t="shared" si="33"/>
        <v>10</v>
      </c>
      <c r="W224" s="8">
        <f t="shared" si="33"/>
        <v>8.8000000000000007</v>
      </c>
      <c r="X224" s="8" t="e">
        <f t="shared" si="33"/>
        <v>#N/A</v>
      </c>
      <c r="Y224" s="8" t="e">
        <f t="shared" si="33"/>
        <v>#N/A</v>
      </c>
      <c r="Z224" s="8" t="e">
        <f t="shared" si="33"/>
        <v>#N/A</v>
      </c>
      <c r="AA224" s="8" t="e">
        <f t="shared" si="33"/>
        <v>#N/A</v>
      </c>
      <c r="AB224" s="8" t="e">
        <f t="shared" si="33"/>
        <v>#N/A</v>
      </c>
      <c r="AC224" s="8" t="e">
        <f t="shared" si="33"/>
        <v>#N/A</v>
      </c>
    </row>
    <row r="225" spans="13:29">
      <c r="M225" s="14">
        <v>217</v>
      </c>
      <c r="N225" s="8">
        <f t="shared" si="32"/>
        <v>10</v>
      </c>
      <c r="O225" s="8">
        <f t="shared" si="32"/>
        <v>8.8000000000000007</v>
      </c>
      <c r="P225" s="8">
        <f t="shared" si="32"/>
        <v>7.6000000000000005</v>
      </c>
      <c r="Q225" s="8">
        <f t="shared" si="32"/>
        <v>6.4</v>
      </c>
      <c r="R225" s="8">
        <f t="shared" si="32"/>
        <v>5.2</v>
      </c>
      <c r="S225" s="8">
        <f t="shared" si="32"/>
        <v>4</v>
      </c>
      <c r="T225" s="8">
        <f t="shared" si="32"/>
        <v>2.8</v>
      </c>
      <c r="U225" s="8">
        <f t="shared" si="32"/>
        <v>1.5999999999999999</v>
      </c>
      <c r="V225" s="8">
        <f t="shared" si="33"/>
        <v>10</v>
      </c>
      <c r="W225" s="8">
        <f t="shared" si="33"/>
        <v>8.8000000000000007</v>
      </c>
      <c r="X225" s="8" t="e">
        <f t="shared" si="33"/>
        <v>#N/A</v>
      </c>
      <c r="Y225" s="8" t="e">
        <f t="shared" si="33"/>
        <v>#N/A</v>
      </c>
      <c r="Z225" s="8" t="e">
        <f t="shared" si="33"/>
        <v>#N/A</v>
      </c>
      <c r="AA225" s="8" t="e">
        <f t="shared" si="33"/>
        <v>#N/A</v>
      </c>
      <c r="AB225" s="8" t="e">
        <f t="shared" si="33"/>
        <v>#N/A</v>
      </c>
      <c r="AC225" s="8" t="e">
        <f t="shared" si="33"/>
        <v>#N/A</v>
      </c>
    </row>
    <row r="226" spans="13:29">
      <c r="M226" s="14">
        <v>218</v>
      </c>
      <c r="N226" s="8">
        <f t="shared" si="32"/>
        <v>10</v>
      </c>
      <c r="O226" s="8">
        <f t="shared" si="32"/>
        <v>8.8000000000000007</v>
      </c>
      <c r="P226" s="8">
        <f t="shared" si="32"/>
        <v>7.6000000000000005</v>
      </c>
      <c r="Q226" s="8">
        <f t="shared" si="32"/>
        <v>6.4</v>
      </c>
      <c r="R226" s="8">
        <f t="shared" si="32"/>
        <v>5.2</v>
      </c>
      <c r="S226" s="8">
        <f t="shared" si="32"/>
        <v>4</v>
      </c>
      <c r="T226" s="8">
        <f t="shared" si="32"/>
        <v>2.8</v>
      </c>
      <c r="U226" s="8">
        <f t="shared" si="32"/>
        <v>1.5999999999999999</v>
      </c>
      <c r="V226" s="8">
        <f t="shared" si="33"/>
        <v>10</v>
      </c>
      <c r="W226" s="8" t="e">
        <f t="shared" si="33"/>
        <v>#N/A</v>
      </c>
      <c r="X226" s="8" t="e">
        <f t="shared" si="33"/>
        <v>#N/A</v>
      </c>
      <c r="Y226" s="8" t="e">
        <f t="shared" si="33"/>
        <v>#N/A</v>
      </c>
      <c r="Z226" s="8" t="e">
        <f t="shared" si="33"/>
        <v>#N/A</v>
      </c>
      <c r="AA226" s="8" t="e">
        <f t="shared" si="33"/>
        <v>#N/A</v>
      </c>
      <c r="AB226" s="8" t="e">
        <f t="shared" si="33"/>
        <v>#N/A</v>
      </c>
      <c r="AC226" s="8" t="e">
        <f t="shared" si="33"/>
        <v>#N/A</v>
      </c>
    </row>
    <row r="227" spans="13:29">
      <c r="M227" s="14">
        <v>219</v>
      </c>
      <c r="N227" s="8">
        <f t="shared" si="32"/>
        <v>10</v>
      </c>
      <c r="O227" s="8">
        <f t="shared" si="32"/>
        <v>8.8000000000000007</v>
      </c>
      <c r="P227" s="8">
        <f t="shared" si="32"/>
        <v>7.6000000000000005</v>
      </c>
      <c r="Q227" s="8">
        <f t="shared" si="32"/>
        <v>6.4</v>
      </c>
      <c r="R227" s="8">
        <f t="shared" si="32"/>
        <v>5.2</v>
      </c>
      <c r="S227" s="8">
        <f t="shared" si="32"/>
        <v>4</v>
      </c>
      <c r="T227" s="8">
        <f t="shared" si="32"/>
        <v>2.8</v>
      </c>
      <c r="U227" s="8">
        <f t="shared" si="32"/>
        <v>1.5999999999999999</v>
      </c>
      <c r="V227" s="8">
        <f t="shared" si="33"/>
        <v>10</v>
      </c>
      <c r="W227" s="8" t="e">
        <f t="shared" si="33"/>
        <v>#N/A</v>
      </c>
      <c r="X227" s="8" t="e">
        <f t="shared" si="33"/>
        <v>#N/A</v>
      </c>
      <c r="Y227" s="8" t="e">
        <f t="shared" si="33"/>
        <v>#N/A</v>
      </c>
      <c r="Z227" s="8" t="e">
        <f t="shared" si="33"/>
        <v>#N/A</v>
      </c>
      <c r="AA227" s="8" t="e">
        <f t="shared" si="33"/>
        <v>#N/A</v>
      </c>
      <c r="AB227" s="8" t="e">
        <f t="shared" si="33"/>
        <v>#N/A</v>
      </c>
      <c r="AC227" s="8" t="e">
        <f t="shared" si="33"/>
        <v>#N/A</v>
      </c>
    </row>
    <row r="228" spans="13:29">
      <c r="M228" s="14">
        <v>220</v>
      </c>
      <c r="N228" s="8">
        <f t="shared" si="32"/>
        <v>10</v>
      </c>
      <c r="O228" s="8">
        <f t="shared" si="32"/>
        <v>8.8000000000000007</v>
      </c>
      <c r="P228" s="8">
        <f t="shared" si="32"/>
        <v>7.6000000000000005</v>
      </c>
      <c r="Q228" s="8">
        <f t="shared" si="32"/>
        <v>6.4</v>
      </c>
      <c r="R228" s="8">
        <f t="shared" si="32"/>
        <v>5.2</v>
      </c>
      <c r="S228" s="8">
        <f t="shared" si="32"/>
        <v>4</v>
      </c>
      <c r="T228" s="8">
        <f t="shared" si="32"/>
        <v>2.8</v>
      </c>
      <c r="U228" s="8">
        <f t="shared" si="32"/>
        <v>1.5999999999999999</v>
      </c>
      <c r="V228" s="8">
        <f t="shared" si="33"/>
        <v>10</v>
      </c>
      <c r="W228" s="8" t="e">
        <f t="shared" si="33"/>
        <v>#N/A</v>
      </c>
      <c r="X228" s="8" t="e">
        <f t="shared" si="33"/>
        <v>#N/A</v>
      </c>
      <c r="Y228" s="8" t="e">
        <f t="shared" si="33"/>
        <v>#N/A</v>
      </c>
      <c r="Z228" s="8" t="e">
        <f t="shared" si="33"/>
        <v>#N/A</v>
      </c>
      <c r="AA228" s="8" t="e">
        <f t="shared" si="33"/>
        <v>#N/A</v>
      </c>
      <c r="AB228" s="8" t="e">
        <f t="shared" si="33"/>
        <v>#N/A</v>
      </c>
      <c r="AC228" s="8" t="e">
        <f t="shared" si="33"/>
        <v>#N/A</v>
      </c>
    </row>
    <row r="229" spans="13:29">
      <c r="M229" s="14">
        <v>221</v>
      </c>
      <c r="N229" s="8">
        <f t="shared" si="32"/>
        <v>10</v>
      </c>
      <c r="O229" s="8">
        <f t="shared" si="32"/>
        <v>8.8000000000000007</v>
      </c>
      <c r="P229" s="8">
        <f t="shared" si="32"/>
        <v>7.6000000000000005</v>
      </c>
      <c r="Q229" s="8">
        <f t="shared" si="32"/>
        <v>6.4</v>
      </c>
      <c r="R229" s="8">
        <f t="shared" si="32"/>
        <v>5.2</v>
      </c>
      <c r="S229" s="8">
        <f t="shared" si="32"/>
        <v>4</v>
      </c>
      <c r="T229" s="8">
        <f t="shared" si="32"/>
        <v>2.8</v>
      </c>
      <c r="U229" s="8">
        <f t="shared" si="32"/>
        <v>1.5999999999999999</v>
      </c>
      <c r="V229" s="8" t="e">
        <f t="shared" si="33"/>
        <v>#N/A</v>
      </c>
      <c r="W229" s="8" t="e">
        <f t="shared" si="33"/>
        <v>#N/A</v>
      </c>
      <c r="X229" s="8" t="e">
        <f t="shared" si="33"/>
        <v>#N/A</v>
      </c>
      <c r="Y229" s="8" t="e">
        <f t="shared" si="33"/>
        <v>#N/A</v>
      </c>
      <c r="Z229" s="8" t="e">
        <f t="shared" si="33"/>
        <v>#N/A</v>
      </c>
      <c r="AA229" s="8" t="e">
        <f t="shared" si="33"/>
        <v>#N/A</v>
      </c>
      <c r="AB229" s="8" t="e">
        <f t="shared" si="33"/>
        <v>#N/A</v>
      </c>
      <c r="AC229" s="8" t="e">
        <f t="shared" si="33"/>
        <v>#N/A</v>
      </c>
    </row>
    <row r="230" spans="13:29">
      <c r="M230" s="14">
        <v>222</v>
      </c>
      <c r="N230" s="8">
        <f t="shared" si="32"/>
        <v>10</v>
      </c>
      <c r="O230" s="8">
        <f t="shared" si="32"/>
        <v>8.8000000000000007</v>
      </c>
      <c r="P230" s="8">
        <f t="shared" si="32"/>
        <v>7.6000000000000005</v>
      </c>
      <c r="Q230" s="8">
        <f t="shared" si="32"/>
        <v>6.4</v>
      </c>
      <c r="R230" s="8">
        <f t="shared" si="32"/>
        <v>5.2</v>
      </c>
      <c r="S230" s="8">
        <f t="shared" si="32"/>
        <v>4</v>
      </c>
      <c r="T230" s="8">
        <f t="shared" si="32"/>
        <v>2.8</v>
      </c>
      <c r="U230" s="8">
        <f t="shared" si="32"/>
        <v>1.5999999999999999</v>
      </c>
      <c r="V230" s="8" t="e">
        <f t="shared" si="33"/>
        <v>#N/A</v>
      </c>
      <c r="W230" s="8" t="e">
        <f t="shared" si="33"/>
        <v>#N/A</v>
      </c>
      <c r="X230" s="8" t="e">
        <f t="shared" si="33"/>
        <v>#N/A</v>
      </c>
      <c r="Y230" s="8" t="e">
        <f t="shared" si="33"/>
        <v>#N/A</v>
      </c>
      <c r="Z230" s="8" t="e">
        <f t="shared" si="33"/>
        <v>#N/A</v>
      </c>
      <c r="AA230" s="8" t="e">
        <f t="shared" si="33"/>
        <v>#N/A</v>
      </c>
      <c r="AB230" s="8" t="e">
        <f t="shared" si="33"/>
        <v>#N/A</v>
      </c>
      <c r="AC230" s="8" t="e">
        <f t="shared" si="33"/>
        <v>#N/A</v>
      </c>
    </row>
    <row r="231" spans="13:29">
      <c r="M231" s="14">
        <v>223</v>
      </c>
      <c r="N231" s="8">
        <f t="shared" si="32"/>
        <v>10</v>
      </c>
      <c r="O231" s="8">
        <f t="shared" si="32"/>
        <v>8.8000000000000007</v>
      </c>
      <c r="P231" s="8">
        <f t="shared" si="32"/>
        <v>7.6000000000000005</v>
      </c>
      <c r="Q231" s="8">
        <f t="shared" si="32"/>
        <v>6.4</v>
      </c>
      <c r="R231" s="8">
        <f t="shared" si="32"/>
        <v>5.2</v>
      </c>
      <c r="S231" s="8">
        <f t="shared" si="32"/>
        <v>4</v>
      </c>
      <c r="T231" s="8">
        <f t="shared" si="32"/>
        <v>2.8</v>
      </c>
      <c r="U231" s="8">
        <f t="shared" si="32"/>
        <v>1.5999999999999999</v>
      </c>
      <c r="V231" s="8" t="e">
        <f t="shared" si="33"/>
        <v>#N/A</v>
      </c>
      <c r="W231" s="8" t="e">
        <f t="shared" si="33"/>
        <v>#N/A</v>
      </c>
      <c r="X231" s="8" t="e">
        <f t="shared" si="33"/>
        <v>#N/A</v>
      </c>
      <c r="Y231" s="8" t="e">
        <f t="shared" si="33"/>
        <v>#N/A</v>
      </c>
      <c r="Z231" s="8" t="e">
        <f t="shared" si="33"/>
        <v>#N/A</v>
      </c>
      <c r="AA231" s="8" t="e">
        <f t="shared" si="33"/>
        <v>#N/A</v>
      </c>
      <c r="AB231" s="8" t="e">
        <f t="shared" si="33"/>
        <v>#N/A</v>
      </c>
      <c r="AC231" s="8" t="e">
        <f t="shared" si="33"/>
        <v>#N/A</v>
      </c>
    </row>
    <row r="232" spans="13:29">
      <c r="M232" s="14">
        <v>224</v>
      </c>
      <c r="N232" s="8">
        <f t="shared" si="32"/>
        <v>10</v>
      </c>
      <c r="O232" s="8">
        <f t="shared" si="32"/>
        <v>8.8000000000000007</v>
      </c>
      <c r="P232" s="8">
        <f t="shared" si="32"/>
        <v>7.6000000000000005</v>
      </c>
      <c r="Q232" s="8">
        <f t="shared" si="32"/>
        <v>6.4</v>
      </c>
      <c r="R232" s="8">
        <f t="shared" si="32"/>
        <v>5.2</v>
      </c>
      <c r="S232" s="8">
        <f t="shared" si="32"/>
        <v>4</v>
      </c>
      <c r="T232" s="8">
        <f t="shared" si="32"/>
        <v>2.8</v>
      </c>
      <c r="U232" s="8">
        <f t="shared" si="32"/>
        <v>1.5999999999999999</v>
      </c>
      <c r="V232" s="8" t="e">
        <f t="shared" si="33"/>
        <v>#N/A</v>
      </c>
      <c r="W232" s="8" t="e">
        <f t="shared" si="33"/>
        <v>#N/A</v>
      </c>
      <c r="X232" s="8" t="e">
        <f t="shared" si="33"/>
        <v>#N/A</v>
      </c>
      <c r="Y232" s="8" t="e">
        <f t="shared" si="33"/>
        <v>#N/A</v>
      </c>
      <c r="Z232" s="8" t="e">
        <f t="shared" si="33"/>
        <v>#N/A</v>
      </c>
      <c r="AA232" s="8" t="e">
        <f t="shared" si="33"/>
        <v>#N/A</v>
      </c>
      <c r="AB232" s="8" t="e">
        <f t="shared" si="33"/>
        <v>#N/A</v>
      </c>
      <c r="AC232" s="8" t="e">
        <f t="shared" si="33"/>
        <v>#N/A</v>
      </c>
    </row>
    <row r="233" spans="13:29">
      <c r="M233" s="14">
        <v>225</v>
      </c>
      <c r="N233" s="8">
        <f t="shared" ref="N233:U248" si="34">IF($M233&lt;=100/$G$15*$H$15,N$5,NA())</f>
        <v>10</v>
      </c>
      <c r="O233" s="8">
        <f t="shared" si="34"/>
        <v>8.8000000000000007</v>
      </c>
      <c r="P233" s="8">
        <f t="shared" si="34"/>
        <v>7.6000000000000005</v>
      </c>
      <c r="Q233" s="8">
        <f t="shared" si="34"/>
        <v>6.4</v>
      </c>
      <c r="R233" s="8">
        <f t="shared" si="34"/>
        <v>5.2</v>
      </c>
      <c r="S233" s="8">
        <f t="shared" si="34"/>
        <v>4</v>
      </c>
      <c r="T233" s="8">
        <f t="shared" si="34"/>
        <v>2.8</v>
      </c>
      <c r="U233" s="8">
        <f t="shared" si="34"/>
        <v>1.5999999999999999</v>
      </c>
      <c r="V233" s="8" t="e">
        <f t="shared" ref="V233:AC248" si="35">IF($M233&lt;=INDEX($K$5:$K$12,V$6)/$G$15*$H$15,V$5,NA())</f>
        <v>#N/A</v>
      </c>
      <c r="W233" s="8" t="e">
        <f t="shared" si="35"/>
        <v>#N/A</v>
      </c>
      <c r="X233" s="8" t="e">
        <f t="shared" si="35"/>
        <v>#N/A</v>
      </c>
      <c r="Y233" s="8" t="e">
        <f t="shared" si="35"/>
        <v>#N/A</v>
      </c>
      <c r="Z233" s="8" t="e">
        <f t="shared" si="35"/>
        <v>#N/A</v>
      </c>
      <c r="AA233" s="8" t="e">
        <f t="shared" si="35"/>
        <v>#N/A</v>
      </c>
      <c r="AB233" s="8" t="e">
        <f t="shared" si="35"/>
        <v>#N/A</v>
      </c>
      <c r="AC233" s="8" t="e">
        <f t="shared" si="35"/>
        <v>#N/A</v>
      </c>
    </row>
    <row r="234" spans="13:29">
      <c r="M234" s="14">
        <v>226</v>
      </c>
      <c r="N234" s="8">
        <f t="shared" si="34"/>
        <v>10</v>
      </c>
      <c r="O234" s="8">
        <f t="shared" si="34"/>
        <v>8.8000000000000007</v>
      </c>
      <c r="P234" s="8">
        <f t="shared" si="34"/>
        <v>7.6000000000000005</v>
      </c>
      <c r="Q234" s="8">
        <f t="shared" si="34"/>
        <v>6.4</v>
      </c>
      <c r="R234" s="8">
        <f t="shared" si="34"/>
        <v>5.2</v>
      </c>
      <c r="S234" s="8">
        <f t="shared" si="34"/>
        <v>4</v>
      </c>
      <c r="T234" s="8">
        <f t="shared" si="34"/>
        <v>2.8</v>
      </c>
      <c r="U234" s="8">
        <f t="shared" si="34"/>
        <v>1.5999999999999999</v>
      </c>
      <c r="V234" s="8" t="e">
        <f t="shared" si="35"/>
        <v>#N/A</v>
      </c>
      <c r="W234" s="8" t="e">
        <f t="shared" si="35"/>
        <v>#N/A</v>
      </c>
      <c r="X234" s="8" t="e">
        <f t="shared" si="35"/>
        <v>#N/A</v>
      </c>
      <c r="Y234" s="8" t="e">
        <f t="shared" si="35"/>
        <v>#N/A</v>
      </c>
      <c r="Z234" s="8" t="e">
        <f t="shared" si="35"/>
        <v>#N/A</v>
      </c>
      <c r="AA234" s="8" t="e">
        <f t="shared" si="35"/>
        <v>#N/A</v>
      </c>
      <c r="AB234" s="8" t="e">
        <f t="shared" si="35"/>
        <v>#N/A</v>
      </c>
      <c r="AC234" s="8" t="e">
        <f t="shared" si="35"/>
        <v>#N/A</v>
      </c>
    </row>
    <row r="235" spans="13:29">
      <c r="M235" s="14">
        <v>227</v>
      </c>
      <c r="N235" s="8">
        <f t="shared" si="34"/>
        <v>10</v>
      </c>
      <c r="O235" s="8">
        <f t="shared" si="34"/>
        <v>8.8000000000000007</v>
      </c>
      <c r="P235" s="8">
        <f t="shared" si="34"/>
        <v>7.6000000000000005</v>
      </c>
      <c r="Q235" s="8">
        <f t="shared" si="34"/>
        <v>6.4</v>
      </c>
      <c r="R235" s="8">
        <f t="shared" si="34"/>
        <v>5.2</v>
      </c>
      <c r="S235" s="8">
        <f t="shared" si="34"/>
        <v>4</v>
      </c>
      <c r="T235" s="8">
        <f t="shared" si="34"/>
        <v>2.8</v>
      </c>
      <c r="U235" s="8">
        <f t="shared" si="34"/>
        <v>1.5999999999999999</v>
      </c>
      <c r="V235" s="8" t="e">
        <f t="shared" si="35"/>
        <v>#N/A</v>
      </c>
      <c r="W235" s="8" t="e">
        <f t="shared" si="35"/>
        <v>#N/A</v>
      </c>
      <c r="X235" s="8" t="e">
        <f t="shared" si="35"/>
        <v>#N/A</v>
      </c>
      <c r="Y235" s="8" t="e">
        <f t="shared" si="35"/>
        <v>#N/A</v>
      </c>
      <c r="Z235" s="8" t="e">
        <f t="shared" si="35"/>
        <v>#N/A</v>
      </c>
      <c r="AA235" s="8" t="e">
        <f t="shared" si="35"/>
        <v>#N/A</v>
      </c>
      <c r="AB235" s="8" t="e">
        <f t="shared" si="35"/>
        <v>#N/A</v>
      </c>
      <c r="AC235" s="8" t="e">
        <f t="shared" si="35"/>
        <v>#N/A</v>
      </c>
    </row>
    <row r="236" spans="13:29">
      <c r="M236" s="14">
        <v>228</v>
      </c>
      <c r="N236" s="8">
        <f t="shared" si="34"/>
        <v>10</v>
      </c>
      <c r="O236" s="8">
        <f t="shared" si="34"/>
        <v>8.8000000000000007</v>
      </c>
      <c r="P236" s="8">
        <f t="shared" si="34"/>
        <v>7.6000000000000005</v>
      </c>
      <c r="Q236" s="8">
        <f t="shared" si="34"/>
        <v>6.4</v>
      </c>
      <c r="R236" s="8">
        <f t="shared" si="34"/>
        <v>5.2</v>
      </c>
      <c r="S236" s="8">
        <f t="shared" si="34"/>
        <v>4</v>
      </c>
      <c r="T236" s="8">
        <f t="shared" si="34"/>
        <v>2.8</v>
      </c>
      <c r="U236" s="8">
        <f t="shared" si="34"/>
        <v>1.5999999999999999</v>
      </c>
      <c r="V236" s="8" t="e">
        <f t="shared" si="35"/>
        <v>#N/A</v>
      </c>
      <c r="W236" s="8" t="e">
        <f t="shared" si="35"/>
        <v>#N/A</v>
      </c>
      <c r="X236" s="8" t="e">
        <f t="shared" si="35"/>
        <v>#N/A</v>
      </c>
      <c r="Y236" s="8" t="e">
        <f t="shared" si="35"/>
        <v>#N/A</v>
      </c>
      <c r="Z236" s="8" t="e">
        <f t="shared" si="35"/>
        <v>#N/A</v>
      </c>
      <c r="AA236" s="8" t="e">
        <f t="shared" si="35"/>
        <v>#N/A</v>
      </c>
      <c r="AB236" s="8" t="e">
        <f t="shared" si="35"/>
        <v>#N/A</v>
      </c>
      <c r="AC236" s="8" t="e">
        <f t="shared" si="35"/>
        <v>#N/A</v>
      </c>
    </row>
    <row r="237" spans="13:29">
      <c r="M237" s="14">
        <v>229</v>
      </c>
      <c r="N237" s="8">
        <f t="shared" si="34"/>
        <v>10</v>
      </c>
      <c r="O237" s="8">
        <f t="shared" si="34"/>
        <v>8.8000000000000007</v>
      </c>
      <c r="P237" s="8">
        <f t="shared" si="34"/>
        <v>7.6000000000000005</v>
      </c>
      <c r="Q237" s="8">
        <f t="shared" si="34"/>
        <v>6.4</v>
      </c>
      <c r="R237" s="8">
        <f t="shared" si="34"/>
        <v>5.2</v>
      </c>
      <c r="S237" s="8">
        <f t="shared" si="34"/>
        <v>4</v>
      </c>
      <c r="T237" s="8">
        <f t="shared" si="34"/>
        <v>2.8</v>
      </c>
      <c r="U237" s="8">
        <f t="shared" si="34"/>
        <v>1.5999999999999999</v>
      </c>
      <c r="V237" s="8" t="e">
        <f t="shared" si="35"/>
        <v>#N/A</v>
      </c>
      <c r="W237" s="8" t="e">
        <f t="shared" si="35"/>
        <v>#N/A</v>
      </c>
      <c r="X237" s="8" t="e">
        <f t="shared" si="35"/>
        <v>#N/A</v>
      </c>
      <c r="Y237" s="8" t="e">
        <f t="shared" si="35"/>
        <v>#N/A</v>
      </c>
      <c r="Z237" s="8" t="e">
        <f t="shared" si="35"/>
        <v>#N/A</v>
      </c>
      <c r="AA237" s="8" t="e">
        <f t="shared" si="35"/>
        <v>#N/A</v>
      </c>
      <c r="AB237" s="8" t="e">
        <f t="shared" si="35"/>
        <v>#N/A</v>
      </c>
      <c r="AC237" s="8" t="e">
        <f t="shared" si="35"/>
        <v>#N/A</v>
      </c>
    </row>
    <row r="238" spans="13:29">
      <c r="M238" s="14">
        <v>230</v>
      </c>
      <c r="N238" s="8">
        <f t="shared" si="34"/>
        <v>10</v>
      </c>
      <c r="O238" s="8">
        <f t="shared" si="34"/>
        <v>8.8000000000000007</v>
      </c>
      <c r="P238" s="8">
        <f t="shared" si="34"/>
        <v>7.6000000000000005</v>
      </c>
      <c r="Q238" s="8">
        <f t="shared" si="34"/>
        <v>6.4</v>
      </c>
      <c r="R238" s="8">
        <f t="shared" si="34"/>
        <v>5.2</v>
      </c>
      <c r="S238" s="8">
        <f t="shared" si="34"/>
        <v>4</v>
      </c>
      <c r="T238" s="8">
        <f t="shared" si="34"/>
        <v>2.8</v>
      </c>
      <c r="U238" s="8">
        <f t="shared" si="34"/>
        <v>1.5999999999999999</v>
      </c>
      <c r="V238" s="8" t="e">
        <f t="shared" si="35"/>
        <v>#N/A</v>
      </c>
      <c r="W238" s="8" t="e">
        <f t="shared" si="35"/>
        <v>#N/A</v>
      </c>
      <c r="X238" s="8" t="e">
        <f t="shared" si="35"/>
        <v>#N/A</v>
      </c>
      <c r="Y238" s="8" t="e">
        <f t="shared" si="35"/>
        <v>#N/A</v>
      </c>
      <c r="Z238" s="8" t="e">
        <f t="shared" si="35"/>
        <v>#N/A</v>
      </c>
      <c r="AA238" s="8" t="e">
        <f t="shared" si="35"/>
        <v>#N/A</v>
      </c>
      <c r="AB238" s="8" t="e">
        <f t="shared" si="35"/>
        <v>#N/A</v>
      </c>
      <c r="AC238" s="8" t="e">
        <f t="shared" si="35"/>
        <v>#N/A</v>
      </c>
    </row>
    <row r="239" spans="13:29">
      <c r="M239" s="14">
        <v>231</v>
      </c>
      <c r="N239" s="8">
        <f t="shared" si="34"/>
        <v>10</v>
      </c>
      <c r="O239" s="8">
        <f t="shared" si="34"/>
        <v>8.8000000000000007</v>
      </c>
      <c r="P239" s="8">
        <f t="shared" si="34"/>
        <v>7.6000000000000005</v>
      </c>
      <c r="Q239" s="8">
        <f t="shared" si="34"/>
        <v>6.4</v>
      </c>
      <c r="R239" s="8">
        <f t="shared" si="34"/>
        <v>5.2</v>
      </c>
      <c r="S239" s="8">
        <f t="shared" si="34"/>
        <v>4</v>
      </c>
      <c r="T239" s="8">
        <f t="shared" si="34"/>
        <v>2.8</v>
      </c>
      <c r="U239" s="8">
        <f t="shared" si="34"/>
        <v>1.5999999999999999</v>
      </c>
      <c r="V239" s="8" t="e">
        <f t="shared" si="35"/>
        <v>#N/A</v>
      </c>
      <c r="W239" s="8" t="e">
        <f t="shared" si="35"/>
        <v>#N/A</v>
      </c>
      <c r="X239" s="8" t="e">
        <f t="shared" si="35"/>
        <v>#N/A</v>
      </c>
      <c r="Y239" s="8" t="e">
        <f t="shared" si="35"/>
        <v>#N/A</v>
      </c>
      <c r="Z239" s="8" t="e">
        <f t="shared" si="35"/>
        <v>#N/A</v>
      </c>
      <c r="AA239" s="8" t="e">
        <f t="shared" si="35"/>
        <v>#N/A</v>
      </c>
      <c r="AB239" s="8" t="e">
        <f t="shared" si="35"/>
        <v>#N/A</v>
      </c>
      <c r="AC239" s="8" t="e">
        <f t="shared" si="35"/>
        <v>#N/A</v>
      </c>
    </row>
    <row r="240" spans="13:29">
      <c r="M240" s="14">
        <v>232</v>
      </c>
      <c r="N240" s="8">
        <f t="shared" si="34"/>
        <v>10</v>
      </c>
      <c r="O240" s="8">
        <f t="shared" si="34"/>
        <v>8.8000000000000007</v>
      </c>
      <c r="P240" s="8">
        <f t="shared" si="34"/>
        <v>7.6000000000000005</v>
      </c>
      <c r="Q240" s="8">
        <f t="shared" si="34"/>
        <v>6.4</v>
      </c>
      <c r="R240" s="8">
        <f t="shared" si="34"/>
        <v>5.2</v>
      </c>
      <c r="S240" s="8">
        <f t="shared" si="34"/>
        <v>4</v>
      </c>
      <c r="T240" s="8">
        <f t="shared" si="34"/>
        <v>2.8</v>
      </c>
      <c r="U240" s="8">
        <f t="shared" si="34"/>
        <v>1.5999999999999999</v>
      </c>
      <c r="V240" s="8" t="e">
        <f t="shared" si="35"/>
        <v>#N/A</v>
      </c>
      <c r="W240" s="8" t="e">
        <f t="shared" si="35"/>
        <v>#N/A</v>
      </c>
      <c r="X240" s="8" t="e">
        <f t="shared" si="35"/>
        <v>#N/A</v>
      </c>
      <c r="Y240" s="8" t="e">
        <f t="shared" si="35"/>
        <v>#N/A</v>
      </c>
      <c r="Z240" s="8" t="e">
        <f t="shared" si="35"/>
        <v>#N/A</v>
      </c>
      <c r="AA240" s="8" t="e">
        <f t="shared" si="35"/>
        <v>#N/A</v>
      </c>
      <c r="AB240" s="8" t="e">
        <f t="shared" si="35"/>
        <v>#N/A</v>
      </c>
      <c r="AC240" s="8" t="e">
        <f t="shared" si="35"/>
        <v>#N/A</v>
      </c>
    </row>
    <row r="241" spans="13:29">
      <c r="M241" s="14">
        <v>233</v>
      </c>
      <c r="N241" s="8">
        <f t="shared" si="34"/>
        <v>10</v>
      </c>
      <c r="O241" s="8">
        <f t="shared" si="34"/>
        <v>8.8000000000000007</v>
      </c>
      <c r="P241" s="8">
        <f t="shared" si="34"/>
        <v>7.6000000000000005</v>
      </c>
      <c r="Q241" s="8">
        <f t="shared" si="34"/>
        <v>6.4</v>
      </c>
      <c r="R241" s="8">
        <f t="shared" si="34"/>
        <v>5.2</v>
      </c>
      <c r="S241" s="8">
        <f t="shared" si="34"/>
        <v>4</v>
      </c>
      <c r="T241" s="8">
        <f t="shared" si="34"/>
        <v>2.8</v>
      </c>
      <c r="U241" s="8">
        <f t="shared" si="34"/>
        <v>1.5999999999999999</v>
      </c>
      <c r="V241" s="8" t="e">
        <f t="shared" si="35"/>
        <v>#N/A</v>
      </c>
      <c r="W241" s="8" t="e">
        <f t="shared" si="35"/>
        <v>#N/A</v>
      </c>
      <c r="X241" s="8" t="e">
        <f t="shared" si="35"/>
        <v>#N/A</v>
      </c>
      <c r="Y241" s="8" t="e">
        <f t="shared" si="35"/>
        <v>#N/A</v>
      </c>
      <c r="Z241" s="8" t="e">
        <f t="shared" si="35"/>
        <v>#N/A</v>
      </c>
      <c r="AA241" s="8" t="e">
        <f t="shared" si="35"/>
        <v>#N/A</v>
      </c>
      <c r="AB241" s="8" t="e">
        <f t="shared" si="35"/>
        <v>#N/A</v>
      </c>
      <c r="AC241" s="8" t="e">
        <f t="shared" si="35"/>
        <v>#N/A</v>
      </c>
    </row>
    <row r="242" spans="13:29">
      <c r="M242" s="14">
        <v>234</v>
      </c>
      <c r="N242" s="8">
        <f t="shared" si="34"/>
        <v>10</v>
      </c>
      <c r="O242" s="8">
        <f t="shared" si="34"/>
        <v>8.8000000000000007</v>
      </c>
      <c r="P242" s="8">
        <f t="shared" si="34"/>
        <v>7.6000000000000005</v>
      </c>
      <c r="Q242" s="8">
        <f t="shared" si="34"/>
        <v>6.4</v>
      </c>
      <c r="R242" s="8">
        <f t="shared" si="34"/>
        <v>5.2</v>
      </c>
      <c r="S242" s="8">
        <f t="shared" si="34"/>
        <v>4</v>
      </c>
      <c r="T242" s="8">
        <f t="shared" si="34"/>
        <v>2.8</v>
      </c>
      <c r="U242" s="8">
        <f t="shared" si="34"/>
        <v>1.5999999999999999</v>
      </c>
      <c r="V242" s="8" t="e">
        <f t="shared" si="35"/>
        <v>#N/A</v>
      </c>
      <c r="W242" s="8" t="e">
        <f t="shared" si="35"/>
        <v>#N/A</v>
      </c>
      <c r="X242" s="8" t="e">
        <f t="shared" si="35"/>
        <v>#N/A</v>
      </c>
      <c r="Y242" s="8" t="e">
        <f t="shared" si="35"/>
        <v>#N/A</v>
      </c>
      <c r="Z242" s="8" t="e">
        <f t="shared" si="35"/>
        <v>#N/A</v>
      </c>
      <c r="AA242" s="8" t="e">
        <f t="shared" si="35"/>
        <v>#N/A</v>
      </c>
      <c r="AB242" s="8" t="e">
        <f t="shared" si="35"/>
        <v>#N/A</v>
      </c>
      <c r="AC242" s="8" t="e">
        <f t="shared" si="35"/>
        <v>#N/A</v>
      </c>
    </row>
    <row r="243" spans="13:29">
      <c r="M243" s="14">
        <v>235</v>
      </c>
      <c r="N243" s="8">
        <f t="shared" si="34"/>
        <v>10</v>
      </c>
      <c r="O243" s="8">
        <f t="shared" si="34"/>
        <v>8.8000000000000007</v>
      </c>
      <c r="P243" s="8">
        <f t="shared" si="34"/>
        <v>7.6000000000000005</v>
      </c>
      <c r="Q243" s="8">
        <f t="shared" si="34"/>
        <v>6.4</v>
      </c>
      <c r="R243" s="8">
        <f t="shared" si="34"/>
        <v>5.2</v>
      </c>
      <c r="S243" s="8">
        <f t="shared" si="34"/>
        <v>4</v>
      </c>
      <c r="T243" s="8">
        <f t="shared" si="34"/>
        <v>2.8</v>
      </c>
      <c r="U243" s="8">
        <f t="shared" si="34"/>
        <v>1.5999999999999999</v>
      </c>
      <c r="V243" s="8" t="e">
        <f t="shared" si="35"/>
        <v>#N/A</v>
      </c>
      <c r="W243" s="8" t="e">
        <f t="shared" si="35"/>
        <v>#N/A</v>
      </c>
      <c r="X243" s="8" t="e">
        <f t="shared" si="35"/>
        <v>#N/A</v>
      </c>
      <c r="Y243" s="8" t="e">
        <f t="shared" si="35"/>
        <v>#N/A</v>
      </c>
      <c r="Z243" s="8" t="e">
        <f t="shared" si="35"/>
        <v>#N/A</v>
      </c>
      <c r="AA243" s="8" t="e">
        <f t="shared" si="35"/>
        <v>#N/A</v>
      </c>
      <c r="AB243" s="8" t="e">
        <f t="shared" si="35"/>
        <v>#N/A</v>
      </c>
      <c r="AC243" s="8" t="e">
        <f t="shared" si="35"/>
        <v>#N/A</v>
      </c>
    </row>
    <row r="244" spans="13:29">
      <c r="M244" s="14">
        <v>236</v>
      </c>
      <c r="N244" s="8">
        <f t="shared" si="34"/>
        <v>10</v>
      </c>
      <c r="O244" s="8">
        <f t="shared" si="34"/>
        <v>8.8000000000000007</v>
      </c>
      <c r="P244" s="8">
        <f t="shared" si="34"/>
        <v>7.6000000000000005</v>
      </c>
      <c r="Q244" s="8">
        <f t="shared" si="34"/>
        <v>6.4</v>
      </c>
      <c r="R244" s="8">
        <f t="shared" si="34"/>
        <v>5.2</v>
      </c>
      <c r="S244" s="8">
        <f t="shared" si="34"/>
        <v>4</v>
      </c>
      <c r="T244" s="8">
        <f t="shared" si="34"/>
        <v>2.8</v>
      </c>
      <c r="U244" s="8">
        <f t="shared" si="34"/>
        <v>1.5999999999999999</v>
      </c>
      <c r="V244" s="8" t="e">
        <f t="shared" si="35"/>
        <v>#N/A</v>
      </c>
      <c r="W244" s="8" t="e">
        <f t="shared" si="35"/>
        <v>#N/A</v>
      </c>
      <c r="X244" s="8" t="e">
        <f t="shared" si="35"/>
        <v>#N/A</v>
      </c>
      <c r="Y244" s="8" t="e">
        <f t="shared" si="35"/>
        <v>#N/A</v>
      </c>
      <c r="Z244" s="8" t="e">
        <f t="shared" si="35"/>
        <v>#N/A</v>
      </c>
      <c r="AA244" s="8" t="e">
        <f t="shared" si="35"/>
        <v>#N/A</v>
      </c>
      <c r="AB244" s="8" t="e">
        <f t="shared" si="35"/>
        <v>#N/A</v>
      </c>
      <c r="AC244" s="8" t="e">
        <f t="shared" si="35"/>
        <v>#N/A</v>
      </c>
    </row>
    <row r="245" spans="13:29">
      <c r="M245" s="14">
        <v>237</v>
      </c>
      <c r="N245" s="8">
        <f t="shared" si="34"/>
        <v>10</v>
      </c>
      <c r="O245" s="8">
        <f t="shared" si="34"/>
        <v>8.8000000000000007</v>
      </c>
      <c r="P245" s="8">
        <f t="shared" si="34"/>
        <v>7.6000000000000005</v>
      </c>
      <c r="Q245" s="8">
        <f t="shared" si="34"/>
        <v>6.4</v>
      </c>
      <c r="R245" s="8">
        <f t="shared" si="34"/>
        <v>5.2</v>
      </c>
      <c r="S245" s="8">
        <f t="shared" si="34"/>
        <v>4</v>
      </c>
      <c r="T245" s="8">
        <f t="shared" si="34"/>
        <v>2.8</v>
      </c>
      <c r="U245" s="8">
        <f t="shared" si="34"/>
        <v>1.5999999999999999</v>
      </c>
      <c r="V245" s="8" t="e">
        <f t="shared" si="35"/>
        <v>#N/A</v>
      </c>
      <c r="W245" s="8" t="e">
        <f t="shared" si="35"/>
        <v>#N/A</v>
      </c>
      <c r="X245" s="8" t="e">
        <f t="shared" si="35"/>
        <v>#N/A</v>
      </c>
      <c r="Y245" s="8" t="e">
        <f t="shared" si="35"/>
        <v>#N/A</v>
      </c>
      <c r="Z245" s="8" t="e">
        <f t="shared" si="35"/>
        <v>#N/A</v>
      </c>
      <c r="AA245" s="8" t="e">
        <f t="shared" si="35"/>
        <v>#N/A</v>
      </c>
      <c r="AB245" s="8" t="e">
        <f t="shared" si="35"/>
        <v>#N/A</v>
      </c>
      <c r="AC245" s="8" t="e">
        <f t="shared" si="35"/>
        <v>#N/A</v>
      </c>
    </row>
    <row r="246" spans="13:29">
      <c r="M246" s="14">
        <v>238</v>
      </c>
      <c r="N246" s="8">
        <f t="shared" si="34"/>
        <v>10</v>
      </c>
      <c r="O246" s="8">
        <f t="shared" si="34"/>
        <v>8.8000000000000007</v>
      </c>
      <c r="P246" s="8">
        <f t="shared" si="34"/>
        <v>7.6000000000000005</v>
      </c>
      <c r="Q246" s="8">
        <f t="shared" si="34"/>
        <v>6.4</v>
      </c>
      <c r="R246" s="8">
        <f t="shared" si="34"/>
        <v>5.2</v>
      </c>
      <c r="S246" s="8">
        <f t="shared" si="34"/>
        <v>4</v>
      </c>
      <c r="T246" s="8">
        <f t="shared" si="34"/>
        <v>2.8</v>
      </c>
      <c r="U246" s="8">
        <f t="shared" si="34"/>
        <v>1.5999999999999999</v>
      </c>
      <c r="V246" s="8" t="e">
        <f t="shared" si="35"/>
        <v>#N/A</v>
      </c>
      <c r="W246" s="8" t="e">
        <f t="shared" si="35"/>
        <v>#N/A</v>
      </c>
      <c r="X246" s="8" t="e">
        <f t="shared" si="35"/>
        <v>#N/A</v>
      </c>
      <c r="Y246" s="8" t="e">
        <f t="shared" si="35"/>
        <v>#N/A</v>
      </c>
      <c r="Z246" s="8" t="e">
        <f t="shared" si="35"/>
        <v>#N/A</v>
      </c>
      <c r="AA246" s="8" t="e">
        <f t="shared" si="35"/>
        <v>#N/A</v>
      </c>
      <c r="AB246" s="8" t="e">
        <f t="shared" si="35"/>
        <v>#N/A</v>
      </c>
      <c r="AC246" s="8" t="e">
        <f t="shared" si="35"/>
        <v>#N/A</v>
      </c>
    </row>
    <row r="247" spans="13:29">
      <c r="M247" s="14">
        <v>239</v>
      </c>
      <c r="N247" s="8">
        <f t="shared" si="34"/>
        <v>10</v>
      </c>
      <c r="O247" s="8">
        <f t="shared" si="34"/>
        <v>8.8000000000000007</v>
      </c>
      <c r="P247" s="8">
        <f t="shared" si="34"/>
        <v>7.6000000000000005</v>
      </c>
      <c r="Q247" s="8">
        <f t="shared" si="34"/>
        <v>6.4</v>
      </c>
      <c r="R247" s="8">
        <f t="shared" si="34"/>
        <v>5.2</v>
      </c>
      <c r="S247" s="8">
        <f t="shared" si="34"/>
        <v>4</v>
      </c>
      <c r="T247" s="8">
        <f t="shared" si="34"/>
        <v>2.8</v>
      </c>
      <c r="U247" s="8">
        <f t="shared" si="34"/>
        <v>1.5999999999999999</v>
      </c>
      <c r="V247" s="8" t="e">
        <f t="shared" si="35"/>
        <v>#N/A</v>
      </c>
      <c r="W247" s="8" t="e">
        <f t="shared" si="35"/>
        <v>#N/A</v>
      </c>
      <c r="X247" s="8" t="e">
        <f t="shared" si="35"/>
        <v>#N/A</v>
      </c>
      <c r="Y247" s="8" t="e">
        <f t="shared" si="35"/>
        <v>#N/A</v>
      </c>
      <c r="Z247" s="8" t="e">
        <f t="shared" si="35"/>
        <v>#N/A</v>
      </c>
      <c r="AA247" s="8" t="e">
        <f t="shared" si="35"/>
        <v>#N/A</v>
      </c>
      <c r="AB247" s="8" t="e">
        <f t="shared" si="35"/>
        <v>#N/A</v>
      </c>
      <c r="AC247" s="8" t="e">
        <f t="shared" si="35"/>
        <v>#N/A</v>
      </c>
    </row>
    <row r="248" spans="13:29">
      <c r="M248" s="14">
        <v>240</v>
      </c>
      <c r="N248" s="8">
        <f t="shared" si="34"/>
        <v>10</v>
      </c>
      <c r="O248" s="8">
        <f t="shared" si="34"/>
        <v>8.8000000000000007</v>
      </c>
      <c r="P248" s="8">
        <f t="shared" si="34"/>
        <v>7.6000000000000005</v>
      </c>
      <c r="Q248" s="8">
        <f t="shared" si="34"/>
        <v>6.4</v>
      </c>
      <c r="R248" s="8">
        <f t="shared" si="34"/>
        <v>5.2</v>
      </c>
      <c r="S248" s="8">
        <f t="shared" si="34"/>
        <v>4</v>
      </c>
      <c r="T248" s="8">
        <f t="shared" si="34"/>
        <v>2.8</v>
      </c>
      <c r="U248" s="8">
        <f t="shared" si="34"/>
        <v>1.5999999999999999</v>
      </c>
      <c r="V248" s="8" t="e">
        <f t="shared" si="35"/>
        <v>#N/A</v>
      </c>
      <c r="W248" s="8" t="e">
        <f t="shared" si="35"/>
        <v>#N/A</v>
      </c>
      <c r="X248" s="8" t="e">
        <f t="shared" si="35"/>
        <v>#N/A</v>
      </c>
      <c r="Y248" s="8" t="e">
        <f t="shared" si="35"/>
        <v>#N/A</v>
      </c>
      <c r="Z248" s="8" t="e">
        <f t="shared" si="35"/>
        <v>#N/A</v>
      </c>
      <c r="AA248" s="8" t="e">
        <f t="shared" si="35"/>
        <v>#N/A</v>
      </c>
      <c r="AB248" s="8" t="e">
        <f t="shared" si="35"/>
        <v>#N/A</v>
      </c>
      <c r="AC248" s="8" t="e">
        <f t="shared" si="35"/>
        <v>#N/A</v>
      </c>
    </row>
    <row r="249" spans="13:29">
      <c r="M249" s="14">
        <v>241</v>
      </c>
      <c r="N249" s="8">
        <f t="shared" ref="N249:U264" si="36">IF($M249&lt;=100/$G$15*$H$15,N$5,NA())</f>
        <v>10</v>
      </c>
      <c r="O249" s="8">
        <f t="shared" si="36"/>
        <v>8.8000000000000007</v>
      </c>
      <c r="P249" s="8">
        <f t="shared" si="36"/>
        <v>7.6000000000000005</v>
      </c>
      <c r="Q249" s="8">
        <f t="shared" si="36"/>
        <v>6.4</v>
      </c>
      <c r="R249" s="8">
        <f t="shared" si="36"/>
        <v>5.2</v>
      </c>
      <c r="S249" s="8">
        <f t="shared" si="36"/>
        <v>4</v>
      </c>
      <c r="T249" s="8">
        <f t="shared" si="36"/>
        <v>2.8</v>
      </c>
      <c r="U249" s="8">
        <f t="shared" si="36"/>
        <v>1.5999999999999999</v>
      </c>
      <c r="V249" s="8" t="e">
        <f t="shared" ref="V249:AC264" si="37">IF($M249&lt;=INDEX($K$5:$K$12,V$6)/$G$15*$H$15,V$5,NA())</f>
        <v>#N/A</v>
      </c>
      <c r="W249" s="8" t="e">
        <f t="shared" si="37"/>
        <v>#N/A</v>
      </c>
      <c r="X249" s="8" t="e">
        <f t="shared" si="37"/>
        <v>#N/A</v>
      </c>
      <c r="Y249" s="8" t="e">
        <f t="shared" si="37"/>
        <v>#N/A</v>
      </c>
      <c r="Z249" s="8" t="e">
        <f t="shared" si="37"/>
        <v>#N/A</v>
      </c>
      <c r="AA249" s="8" t="e">
        <f t="shared" si="37"/>
        <v>#N/A</v>
      </c>
      <c r="AB249" s="8" t="e">
        <f t="shared" si="37"/>
        <v>#N/A</v>
      </c>
      <c r="AC249" s="8" t="e">
        <f t="shared" si="37"/>
        <v>#N/A</v>
      </c>
    </row>
    <row r="250" spans="13:29">
      <c r="M250" s="14">
        <v>242</v>
      </c>
      <c r="N250" s="8">
        <f t="shared" si="36"/>
        <v>10</v>
      </c>
      <c r="O250" s="8">
        <f t="shared" si="36"/>
        <v>8.8000000000000007</v>
      </c>
      <c r="P250" s="8">
        <f t="shared" si="36"/>
        <v>7.6000000000000005</v>
      </c>
      <c r="Q250" s="8">
        <f t="shared" si="36"/>
        <v>6.4</v>
      </c>
      <c r="R250" s="8">
        <f t="shared" si="36"/>
        <v>5.2</v>
      </c>
      <c r="S250" s="8">
        <f t="shared" si="36"/>
        <v>4</v>
      </c>
      <c r="T250" s="8">
        <f t="shared" si="36"/>
        <v>2.8</v>
      </c>
      <c r="U250" s="8">
        <f t="shared" si="36"/>
        <v>1.5999999999999999</v>
      </c>
      <c r="V250" s="8" t="e">
        <f t="shared" si="37"/>
        <v>#N/A</v>
      </c>
      <c r="W250" s="8" t="e">
        <f t="shared" si="37"/>
        <v>#N/A</v>
      </c>
      <c r="X250" s="8" t="e">
        <f t="shared" si="37"/>
        <v>#N/A</v>
      </c>
      <c r="Y250" s="8" t="e">
        <f t="shared" si="37"/>
        <v>#N/A</v>
      </c>
      <c r="Z250" s="8" t="e">
        <f t="shared" si="37"/>
        <v>#N/A</v>
      </c>
      <c r="AA250" s="8" t="e">
        <f t="shared" si="37"/>
        <v>#N/A</v>
      </c>
      <c r="AB250" s="8" t="e">
        <f t="shared" si="37"/>
        <v>#N/A</v>
      </c>
      <c r="AC250" s="8" t="e">
        <f t="shared" si="37"/>
        <v>#N/A</v>
      </c>
    </row>
    <row r="251" spans="13:29">
      <c r="M251" s="14">
        <v>243</v>
      </c>
      <c r="N251" s="8">
        <f t="shared" si="36"/>
        <v>10</v>
      </c>
      <c r="O251" s="8">
        <f t="shared" si="36"/>
        <v>8.8000000000000007</v>
      </c>
      <c r="P251" s="8">
        <f t="shared" si="36"/>
        <v>7.6000000000000005</v>
      </c>
      <c r="Q251" s="8">
        <f t="shared" si="36"/>
        <v>6.4</v>
      </c>
      <c r="R251" s="8">
        <f t="shared" si="36"/>
        <v>5.2</v>
      </c>
      <c r="S251" s="8">
        <f t="shared" si="36"/>
        <v>4</v>
      </c>
      <c r="T251" s="8">
        <f t="shared" si="36"/>
        <v>2.8</v>
      </c>
      <c r="U251" s="8">
        <f t="shared" si="36"/>
        <v>1.5999999999999999</v>
      </c>
      <c r="V251" s="8" t="e">
        <f t="shared" si="37"/>
        <v>#N/A</v>
      </c>
      <c r="W251" s="8" t="e">
        <f t="shared" si="37"/>
        <v>#N/A</v>
      </c>
      <c r="X251" s="8" t="e">
        <f t="shared" si="37"/>
        <v>#N/A</v>
      </c>
      <c r="Y251" s="8" t="e">
        <f t="shared" si="37"/>
        <v>#N/A</v>
      </c>
      <c r="Z251" s="8" t="e">
        <f t="shared" si="37"/>
        <v>#N/A</v>
      </c>
      <c r="AA251" s="8" t="e">
        <f t="shared" si="37"/>
        <v>#N/A</v>
      </c>
      <c r="AB251" s="8" t="e">
        <f t="shared" si="37"/>
        <v>#N/A</v>
      </c>
      <c r="AC251" s="8" t="e">
        <f t="shared" si="37"/>
        <v>#N/A</v>
      </c>
    </row>
    <row r="252" spans="13:29">
      <c r="M252" s="14">
        <v>244</v>
      </c>
      <c r="N252" s="8">
        <f t="shared" si="36"/>
        <v>10</v>
      </c>
      <c r="O252" s="8">
        <f t="shared" si="36"/>
        <v>8.8000000000000007</v>
      </c>
      <c r="P252" s="8">
        <f t="shared" si="36"/>
        <v>7.6000000000000005</v>
      </c>
      <c r="Q252" s="8">
        <f t="shared" si="36"/>
        <v>6.4</v>
      </c>
      <c r="R252" s="8">
        <f t="shared" si="36"/>
        <v>5.2</v>
      </c>
      <c r="S252" s="8">
        <f t="shared" si="36"/>
        <v>4</v>
      </c>
      <c r="T252" s="8">
        <f t="shared" si="36"/>
        <v>2.8</v>
      </c>
      <c r="U252" s="8">
        <f t="shared" si="36"/>
        <v>1.5999999999999999</v>
      </c>
      <c r="V252" s="8" t="e">
        <f t="shared" si="37"/>
        <v>#N/A</v>
      </c>
      <c r="W252" s="8" t="e">
        <f t="shared" si="37"/>
        <v>#N/A</v>
      </c>
      <c r="X252" s="8" t="e">
        <f t="shared" si="37"/>
        <v>#N/A</v>
      </c>
      <c r="Y252" s="8" t="e">
        <f t="shared" si="37"/>
        <v>#N/A</v>
      </c>
      <c r="Z252" s="8" t="e">
        <f t="shared" si="37"/>
        <v>#N/A</v>
      </c>
      <c r="AA252" s="8" t="e">
        <f t="shared" si="37"/>
        <v>#N/A</v>
      </c>
      <c r="AB252" s="8" t="e">
        <f t="shared" si="37"/>
        <v>#N/A</v>
      </c>
      <c r="AC252" s="8" t="e">
        <f t="shared" si="37"/>
        <v>#N/A</v>
      </c>
    </row>
    <row r="253" spans="13:29">
      <c r="M253" s="14">
        <v>245</v>
      </c>
      <c r="N253" s="8">
        <f t="shared" si="36"/>
        <v>10</v>
      </c>
      <c r="O253" s="8">
        <f t="shared" si="36"/>
        <v>8.8000000000000007</v>
      </c>
      <c r="P253" s="8">
        <f t="shared" si="36"/>
        <v>7.6000000000000005</v>
      </c>
      <c r="Q253" s="8">
        <f t="shared" si="36"/>
        <v>6.4</v>
      </c>
      <c r="R253" s="8">
        <f t="shared" si="36"/>
        <v>5.2</v>
      </c>
      <c r="S253" s="8">
        <f t="shared" si="36"/>
        <v>4</v>
      </c>
      <c r="T253" s="8">
        <f t="shared" si="36"/>
        <v>2.8</v>
      </c>
      <c r="U253" s="8">
        <f t="shared" si="36"/>
        <v>1.5999999999999999</v>
      </c>
      <c r="V253" s="8" t="e">
        <f t="shared" si="37"/>
        <v>#N/A</v>
      </c>
      <c r="W253" s="8" t="e">
        <f t="shared" si="37"/>
        <v>#N/A</v>
      </c>
      <c r="X253" s="8" t="e">
        <f t="shared" si="37"/>
        <v>#N/A</v>
      </c>
      <c r="Y253" s="8" t="e">
        <f t="shared" si="37"/>
        <v>#N/A</v>
      </c>
      <c r="Z253" s="8" t="e">
        <f t="shared" si="37"/>
        <v>#N/A</v>
      </c>
      <c r="AA253" s="8" t="e">
        <f t="shared" si="37"/>
        <v>#N/A</v>
      </c>
      <c r="AB253" s="8" t="e">
        <f t="shared" si="37"/>
        <v>#N/A</v>
      </c>
      <c r="AC253" s="8" t="e">
        <f t="shared" si="37"/>
        <v>#N/A</v>
      </c>
    </row>
    <row r="254" spans="13:29">
      <c r="M254" s="14">
        <v>246</v>
      </c>
      <c r="N254" s="8">
        <f t="shared" si="36"/>
        <v>10</v>
      </c>
      <c r="O254" s="8">
        <f t="shared" si="36"/>
        <v>8.8000000000000007</v>
      </c>
      <c r="P254" s="8">
        <f t="shared" si="36"/>
        <v>7.6000000000000005</v>
      </c>
      <c r="Q254" s="8">
        <f t="shared" si="36"/>
        <v>6.4</v>
      </c>
      <c r="R254" s="8">
        <f t="shared" si="36"/>
        <v>5.2</v>
      </c>
      <c r="S254" s="8">
        <f t="shared" si="36"/>
        <v>4</v>
      </c>
      <c r="T254" s="8">
        <f t="shared" si="36"/>
        <v>2.8</v>
      </c>
      <c r="U254" s="8">
        <f t="shared" si="36"/>
        <v>1.5999999999999999</v>
      </c>
      <c r="V254" s="8" t="e">
        <f t="shared" si="37"/>
        <v>#N/A</v>
      </c>
      <c r="W254" s="8" t="e">
        <f t="shared" si="37"/>
        <v>#N/A</v>
      </c>
      <c r="X254" s="8" t="e">
        <f t="shared" si="37"/>
        <v>#N/A</v>
      </c>
      <c r="Y254" s="8" t="e">
        <f t="shared" si="37"/>
        <v>#N/A</v>
      </c>
      <c r="Z254" s="8" t="e">
        <f t="shared" si="37"/>
        <v>#N/A</v>
      </c>
      <c r="AA254" s="8" t="e">
        <f t="shared" si="37"/>
        <v>#N/A</v>
      </c>
      <c r="AB254" s="8" t="e">
        <f t="shared" si="37"/>
        <v>#N/A</v>
      </c>
      <c r="AC254" s="8" t="e">
        <f t="shared" si="37"/>
        <v>#N/A</v>
      </c>
    </row>
    <row r="255" spans="13:29">
      <c r="M255" s="14">
        <v>247</v>
      </c>
      <c r="N255" s="8">
        <f t="shared" si="36"/>
        <v>10</v>
      </c>
      <c r="O255" s="8">
        <f t="shared" si="36"/>
        <v>8.8000000000000007</v>
      </c>
      <c r="P255" s="8">
        <f t="shared" si="36"/>
        <v>7.6000000000000005</v>
      </c>
      <c r="Q255" s="8">
        <f t="shared" si="36"/>
        <v>6.4</v>
      </c>
      <c r="R255" s="8">
        <f t="shared" si="36"/>
        <v>5.2</v>
      </c>
      <c r="S255" s="8">
        <f t="shared" si="36"/>
        <v>4</v>
      </c>
      <c r="T255" s="8">
        <f t="shared" si="36"/>
        <v>2.8</v>
      </c>
      <c r="U255" s="8">
        <f t="shared" si="36"/>
        <v>1.5999999999999999</v>
      </c>
      <c r="V255" s="8" t="e">
        <f t="shared" si="37"/>
        <v>#N/A</v>
      </c>
      <c r="W255" s="8" t="e">
        <f t="shared" si="37"/>
        <v>#N/A</v>
      </c>
      <c r="X255" s="8" t="e">
        <f t="shared" si="37"/>
        <v>#N/A</v>
      </c>
      <c r="Y255" s="8" t="e">
        <f t="shared" si="37"/>
        <v>#N/A</v>
      </c>
      <c r="Z255" s="8" t="e">
        <f t="shared" si="37"/>
        <v>#N/A</v>
      </c>
      <c r="AA255" s="8" t="e">
        <f t="shared" si="37"/>
        <v>#N/A</v>
      </c>
      <c r="AB255" s="8" t="e">
        <f t="shared" si="37"/>
        <v>#N/A</v>
      </c>
      <c r="AC255" s="8" t="e">
        <f t="shared" si="37"/>
        <v>#N/A</v>
      </c>
    </row>
    <row r="256" spans="13:29">
      <c r="M256" s="14">
        <v>248</v>
      </c>
      <c r="N256" s="8">
        <f t="shared" si="36"/>
        <v>10</v>
      </c>
      <c r="O256" s="8">
        <f t="shared" si="36"/>
        <v>8.8000000000000007</v>
      </c>
      <c r="P256" s="8">
        <f t="shared" si="36"/>
        <v>7.6000000000000005</v>
      </c>
      <c r="Q256" s="8">
        <f t="shared" si="36"/>
        <v>6.4</v>
      </c>
      <c r="R256" s="8">
        <f t="shared" si="36"/>
        <v>5.2</v>
      </c>
      <c r="S256" s="8">
        <f t="shared" si="36"/>
        <v>4</v>
      </c>
      <c r="T256" s="8">
        <f t="shared" si="36"/>
        <v>2.8</v>
      </c>
      <c r="U256" s="8">
        <f t="shared" si="36"/>
        <v>1.5999999999999999</v>
      </c>
      <c r="V256" s="8" t="e">
        <f t="shared" si="37"/>
        <v>#N/A</v>
      </c>
      <c r="W256" s="8" t="e">
        <f t="shared" si="37"/>
        <v>#N/A</v>
      </c>
      <c r="X256" s="8" t="e">
        <f t="shared" si="37"/>
        <v>#N/A</v>
      </c>
      <c r="Y256" s="8" t="e">
        <f t="shared" si="37"/>
        <v>#N/A</v>
      </c>
      <c r="Z256" s="8" t="e">
        <f t="shared" si="37"/>
        <v>#N/A</v>
      </c>
      <c r="AA256" s="8" t="e">
        <f t="shared" si="37"/>
        <v>#N/A</v>
      </c>
      <c r="AB256" s="8" t="e">
        <f t="shared" si="37"/>
        <v>#N/A</v>
      </c>
      <c r="AC256" s="8" t="e">
        <f t="shared" si="37"/>
        <v>#N/A</v>
      </c>
    </row>
    <row r="257" spans="13:29">
      <c r="M257" s="14">
        <v>249</v>
      </c>
      <c r="N257" s="8">
        <f t="shared" si="36"/>
        <v>10</v>
      </c>
      <c r="O257" s="8">
        <f t="shared" si="36"/>
        <v>8.8000000000000007</v>
      </c>
      <c r="P257" s="8">
        <f t="shared" si="36"/>
        <v>7.6000000000000005</v>
      </c>
      <c r="Q257" s="8">
        <f t="shared" si="36"/>
        <v>6.4</v>
      </c>
      <c r="R257" s="8">
        <f t="shared" si="36"/>
        <v>5.2</v>
      </c>
      <c r="S257" s="8">
        <f t="shared" si="36"/>
        <v>4</v>
      </c>
      <c r="T257" s="8">
        <f t="shared" si="36"/>
        <v>2.8</v>
      </c>
      <c r="U257" s="8">
        <f t="shared" si="36"/>
        <v>1.5999999999999999</v>
      </c>
      <c r="V257" s="8" t="e">
        <f t="shared" si="37"/>
        <v>#N/A</v>
      </c>
      <c r="W257" s="8" t="e">
        <f t="shared" si="37"/>
        <v>#N/A</v>
      </c>
      <c r="X257" s="8" t="e">
        <f t="shared" si="37"/>
        <v>#N/A</v>
      </c>
      <c r="Y257" s="8" t="e">
        <f t="shared" si="37"/>
        <v>#N/A</v>
      </c>
      <c r="Z257" s="8" t="e">
        <f t="shared" si="37"/>
        <v>#N/A</v>
      </c>
      <c r="AA257" s="8" t="e">
        <f t="shared" si="37"/>
        <v>#N/A</v>
      </c>
      <c r="AB257" s="8" t="e">
        <f t="shared" si="37"/>
        <v>#N/A</v>
      </c>
      <c r="AC257" s="8" t="e">
        <f t="shared" si="37"/>
        <v>#N/A</v>
      </c>
    </row>
    <row r="258" spans="13:29">
      <c r="M258" s="14">
        <v>250</v>
      </c>
      <c r="N258" s="8">
        <f t="shared" si="36"/>
        <v>10</v>
      </c>
      <c r="O258" s="8">
        <f t="shared" si="36"/>
        <v>8.8000000000000007</v>
      </c>
      <c r="P258" s="8">
        <f t="shared" si="36"/>
        <v>7.6000000000000005</v>
      </c>
      <c r="Q258" s="8">
        <f t="shared" si="36"/>
        <v>6.4</v>
      </c>
      <c r="R258" s="8">
        <f t="shared" si="36"/>
        <v>5.2</v>
      </c>
      <c r="S258" s="8">
        <f t="shared" si="36"/>
        <v>4</v>
      </c>
      <c r="T258" s="8">
        <f t="shared" si="36"/>
        <v>2.8</v>
      </c>
      <c r="U258" s="8">
        <f t="shared" si="36"/>
        <v>1.5999999999999999</v>
      </c>
      <c r="V258" s="8" t="e">
        <f t="shared" si="37"/>
        <v>#N/A</v>
      </c>
      <c r="W258" s="8" t="e">
        <f t="shared" si="37"/>
        <v>#N/A</v>
      </c>
      <c r="X258" s="8" t="e">
        <f t="shared" si="37"/>
        <v>#N/A</v>
      </c>
      <c r="Y258" s="8" t="e">
        <f t="shared" si="37"/>
        <v>#N/A</v>
      </c>
      <c r="Z258" s="8" t="e">
        <f t="shared" si="37"/>
        <v>#N/A</v>
      </c>
      <c r="AA258" s="8" t="e">
        <f t="shared" si="37"/>
        <v>#N/A</v>
      </c>
      <c r="AB258" s="8" t="e">
        <f t="shared" si="37"/>
        <v>#N/A</v>
      </c>
      <c r="AC258" s="8" t="e">
        <f t="shared" si="37"/>
        <v>#N/A</v>
      </c>
    </row>
    <row r="259" spans="13:29">
      <c r="M259" s="14">
        <v>251</v>
      </c>
      <c r="N259" s="8">
        <f t="shared" si="36"/>
        <v>10</v>
      </c>
      <c r="O259" s="8">
        <f t="shared" si="36"/>
        <v>8.8000000000000007</v>
      </c>
      <c r="P259" s="8">
        <f t="shared" si="36"/>
        <v>7.6000000000000005</v>
      </c>
      <c r="Q259" s="8">
        <f t="shared" si="36"/>
        <v>6.4</v>
      </c>
      <c r="R259" s="8">
        <f t="shared" si="36"/>
        <v>5.2</v>
      </c>
      <c r="S259" s="8">
        <f t="shared" si="36"/>
        <v>4</v>
      </c>
      <c r="T259" s="8">
        <f t="shared" si="36"/>
        <v>2.8</v>
      </c>
      <c r="U259" s="8">
        <f t="shared" si="36"/>
        <v>1.5999999999999999</v>
      </c>
      <c r="V259" s="8" t="e">
        <f t="shared" si="37"/>
        <v>#N/A</v>
      </c>
      <c r="W259" s="8" t="e">
        <f t="shared" si="37"/>
        <v>#N/A</v>
      </c>
      <c r="X259" s="8" t="e">
        <f t="shared" si="37"/>
        <v>#N/A</v>
      </c>
      <c r="Y259" s="8" t="e">
        <f t="shared" si="37"/>
        <v>#N/A</v>
      </c>
      <c r="Z259" s="8" t="e">
        <f t="shared" si="37"/>
        <v>#N/A</v>
      </c>
      <c r="AA259" s="8" t="e">
        <f t="shared" si="37"/>
        <v>#N/A</v>
      </c>
      <c r="AB259" s="8" t="e">
        <f t="shared" si="37"/>
        <v>#N/A</v>
      </c>
      <c r="AC259" s="8" t="e">
        <f t="shared" si="37"/>
        <v>#N/A</v>
      </c>
    </row>
    <row r="260" spans="13:29">
      <c r="M260" s="14">
        <v>252</v>
      </c>
      <c r="N260" s="8">
        <f t="shared" si="36"/>
        <v>10</v>
      </c>
      <c r="O260" s="8">
        <f t="shared" si="36"/>
        <v>8.8000000000000007</v>
      </c>
      <c r="P260" s="8">
        <f t="shared" si="36"/>
        <v>7.6000000000000005</v>
      </c>
      <c r="Q260" s="8">
        <f t="shared" si="36"/>
        <v>6.4</v>
      </c>
      <c r="R260" s="8">
        <f t="shared" si="36"/>
        <v>5.2</v>
      </c>
      <c r="S260" s="8">
        <f t="shared" si="36"/>
        <v>4</v>
      </c>
      <c r="T260" s="8">
        <f t="shared" si="36"/>
        <v>2.8</v>
      </c>
      <c r="U260" s="8">
        <f t="shared" si="36"/>
        <v>1.5999999999999999</v>
      </c>
      <c r="V260" s="8" t="e">
        <f t="shared" si="37"/>
        <v>#N/A</v>
      </c>
      <c r="W260" s="8" t="e">
        <f t="shared" si="37"/>
        <v>#N/A</v>
      </c>
      <c r="X260" s="8" t="e">
        <f t="shared" si="37"/>
        <v>#N/A</v>
      </c>
      <c r="Y260" s="8" t="e">
        <f t="shared" si="37"/>
        <v>#N/A</v>
      </c>
      <c r="Z260" s="8" t="e">
        <f t="shared" si="37"/>
        <v>#N/A</v>
      </c>
      <c r="AA260" s="8" t="e">
        <f t="shared" si="37"/>
        <v>#N/A</v>
      </c>
      <c r="AB260" s="8" t="e">
        <f t="shared" si="37"/>
        <v>#N/A</v>
      </c>
      <c r="AC260" s="8" t="e">
        <f t="shared" si="37"/>
        <v>#N/A</v>
      </c>
    </row>
    <row r="261" spans="13:29">
      <c r="M261" s="14">
        <v>253</v>
      </c>
      <c r="N261" s="8">
        <f t="shared" si="36"/>
        <v>10</v>
      </c>
      <c r="O261" s="8">
        <f t="shared" si="36"/>
        <v>8.8000000000000007</v>
      </c>
      <c r="P261" s="8">
        <f t="shared" si="36"/>
        <v>7.6000000000000005</v>
      </c>
      <c r="Q261" s="8">
        <f t="shared" si="36"/>
        <v>6.4</v>
      </c>
      <c r="R261" s="8">
        <f t="shared" si="36"/>
        <v>5.2</v>
      </c>
      <c r="S261" s="8">
        <f t="shared" si="36"/>
        <v>4</v>
      </c>
      <c r="T261" s="8">
        <f t="shared" si="36"/>
        <v>2.8</v>
      </c>
      <c r="U261" s="8">
        <f t="shared" si="36"/>
        <v>1.5999999999999999</v>
      </c>
      <c r="V261" s="8" t="e">
        <f t="shared" si="37"/>
        <v>#N/A</v>
      </c>
      <c r="W261" s="8" t="e">
        <f t="shared" si="37"/>
        <v>#N/A</v>
      </c>
      <c r="X261" s="8" t="e">
        <f t="shared" si="37"/>
        <v>#N/A</v>
      </c>
      <c r="Y261" s="8" t="e">
        <f t="shared" si="37"/>
        <v>#N/A</v>
      </c>
      <c r="Z261" s="8" t="e">
        <f t="shared" si="37"/>
        <v>#N/A</v>
      </c>
      <c r="AA261" s="8" t="e">
        <f t="shared" si="37"/>
        <v>#N/A</v>
      </c>
      <c r="AB261" s="8" t="e">
        <f t="shared" si="37"/>
        <v>#N/A</v>
      </c>
      <c r="AC261" s="8" t="e">
        <f t="shared" si="37"/>
        <v>#N/A</v>
      </c>
    </row>
    <row r="262" spans="13:29">
      <c r="M262" s="14">
        <v>254</v>
      </c>
      <c r="N262" s="8">
        <f t="shared" si="36"/>
        <v>10</v>
      </c>
      <c r="O262" s="8">
        <f t="shared" si="36"/>
        <v>8.8000000000000007</v>
      </c>
      <c r="P262" s="8">
        <f t="shared" si="36"/>
        <v>7.6000000000000005</v>
      </c>
      <c r="Q262" s="8">
        <f t="shared" si="36"/>
        <v>6.4</v>
      </c>
      <c r="R262" s="8">
        <f t="shared" si="36"/>
        <v>5.2</v>
      </c>
      <c r="S262" s="8">
        <f t="shared" si="36"/>
        <v>4</v>
      </c>
      <c r="T262" s="8">
        <f t="shared" si="36"/>
        <v>2.8</v>
      </c>
      <c r="U262" s="8">
        <f t="shared" si="36"/>
        <v>1.5999999999999999</v>
      </c>
      <c r="V262" s="8" t="e">
        <f t="shared" si="37"/>
        <v>#N/A</v>
      </c>
      <c r="W262" s="8" t="e">
        <f t="shared" si="37"/>
        <v>#N/A</v>
      </c>
      <c r="X262" s="8" t="e">
        <f t="shared" si="37"/>
        <v>#N/A</v>
      </c>
      <c r="Y262" s="8" t="e">
        <f t="shared" si="37"/>
        <v>#N/A</v>
      </c>
      <c r="Z262" s="8" t="e">
        <f t="shared" si="37"/>
        <v>#N/A</v>
      </c>
      <c r="AA262" s="8" t="e">
        <f t="shared" si="37"/>
        <v>#N/A</v>
      </c>
      <c r="AB262" s="8" t="e">
        <f t="shared" si="37"/>
        <v>#N/A</v>
      </c>
      <c r="AC262" s="8" t="e">
        <f t="shared" si="37"/>
        <v>#N/A</v>
      </c>
    </row>
    <row r="263" spans="13:29">
      <c r="M263" s="14">
        <v>255</v>
      </c>
      <c r="N263" s="8">
        <f t="shared" si="36"/>
        <v>10</v>
      </c>
      <c r="O263" s="8">
        <f t="shared" si="36"/>
        <v>8.8000000000000007</v>
      </c>
      <c r="P263" s="8">
        <f t="shared" si="36"/>
        <v>7.6000000000000005</v>
      </c>
      <c r="Q263" s="8">
        <f t="shared" si="36"/>
        <v>6.4</v>
      </c>
      <c r="R263" s="8">
        <f t="shared" si="36"/>
        <v>5.2</v>
      </c>
      <c r="S263" s="8">
        <f t="shared" si="36"/>
        <v>4</v>
      </c>
      <c r="T263" s="8">
        <f t="shared" si="36"/>
        <v>2.8</v>
      </c>
      <c r="U263" s="8">
        <f t="shared" si="36"/>
        <v>1.5999999999999999</v>
      </c>
      <c r="V263" s="8" t="e">
        <f t="shared" si="37"/>
        <v>#N/A</v>
      </c>
      <c r="W263" s="8" t="e">
        <f t="shared" si="37"/>
        <v>#N/A</v>
      </c>
      <c r="X263" s="8" t="e">
        <f t="shared" si="37"/>
        <v>#N/A</v>
      </c>
      <c r="Y263" s="8" t="e">
        <f t="shared" si="37"/>
        <v>#N/A</v>
      </c>
      <c r="Z263" s="8" t="e">
        <f t="shared" si="37"/>
        <v>#N/A</v>
      </c>
      <c r="AA263" s="8" t="e">
        <f t="shared" si="37"/>
        <v>#N/A</v>
      </c>
      <c r="AB263" s="8" t="e">
        <f t="shared" si="37"/>
        <v>#N/A</v>
      </c>
      <c r="AC263" s="8" t="e">
        <f t="shared" si="37"/>
        <v>#N/A</v>
      </c>
    </row>
    <row r="264" spans="13:29">
      <c r="M264" s="14">
        <v>256</v>
      </c>
      <c r="N264" s="8">
        <f t="shared" si="36"/>
        <v>10</v>
      </c>
      <c r="O264" s="8">
        <f t="shared" si="36"/>
        <v>8.8000000000000007</v>
      </c>
      <c r="P264" s="8">
        <f t="shared" si="36"/>
        <v>7.6000000000000005</v>
      </c>
      <c r="Q264" s="8">
        <f t="shared" si="36"/>
        <v>6.4</v>
      </c>
      <c r="R264" s="8">
        <f t="shared" si="36"/>
        <v>5.2</v>
      </c>
      <c r="S264" s="8">
        <f t="shared" si="36"/>
        <v>4</v>
      </c>
      <c r="T264" s="8">
        <f t="shared" si="36"/>
        <v>2.8</v>
      </c>
      <c r="U264" s="8">
        <f t="shared" si="36"/>
        <v>1.5999999999999999</v>
      </c>
      <c r="V264" s="8" t="e">
        <f t="shared" si="37"/>
        <v>#N/A</v>
      </c>
      <c r="W264" s="8" t="e">
        <f t="shared" si="37"/>
        <v>#N/A</v>
      </c>
      <c r="X264" s="8" t="e">
        <f t="shared" si="37"/>
        <v>#N/A</v>
      </c>
      <c r="Y264" s="8" t="e">
        <f t="shared" si="37"/>
        <v>#N/A</v>
      </c>
      <c r="Z264" s="8" t="e">
        <f t="shared" si="37"/>
        <v>#N/A</v>
      </c>
      <c r="AA264" s="8" t="e">
        <f t="shared" si="37"/>
        <v>#N/A</v>
      </c>
      <c r="AB264" s="8" t="e">
        <f t="shared" si="37"/>
        <v>#N/A</v>
      </c>
      <c r="AC264" s="8" t="e">
        <f t="shared" si="37"/>
        <v>#N/A</v>
      </c>
    </row>
    <row r="265" spans="13:29">
      <c r="M265" s="14">
        <v>257</v>
      </c>
      <c r="N265" s="8">
        <f t="shared" ref="N265:U280" si="38">IF($M265&lt;=100/$G$15*$H$15,N$5,NA())</f>
        <v>10</v>
      </c>
      <c r="O265" s="8">
        <f t="shared" si="38"/>
        <v>8.8000000000000007</v>
      </c>
      <c r="P265" s="8">
        <f t="shared" si="38"/>
        <v>7.6000000000000005</v>
      </c>
      <c r="Q265" s="8">
        <f t="shared" si="38"/>
        <v>6.4</v>
      </c>
      <c r="R265" s="8">
        <f t="shared" si="38"/>
        <v>5.2</v>
      </c>
      <c r="S265" s="8">
        <f t="shared" si="38"/>
        <v>4</v>
      </c>
      <c r="T265" s="8">
        <f t="shared" si="38"/>
        <v>2.8</v>
      </c>
      <c r="U265" s="8">
        <f t="shared" si="38"/>
        <v>1.5999999999999999</v>
      </c>
      <c r="V265" s="8" t="e">
        <f t="shared" ref="V265:AC280" si="39">IF($M265&lt;=INDEX($K$5:$K$12,V$6)/$G$15*$H$15,V$5,NA())</f>
        <v>#N/A</v>
      </c>
      <c r="W265" s="8" t="e">
        <f t="shared" si="39"/>
        <v>#N/A</v>
      </c>
      <c r="X265" s="8" t="e">
        <f t="shared" si="39"/>
        <v>#N/A</v>
      </c>
      <c r="Y265" s="8" t="e">
        <f t="shared" si="39"/>
        <v>#N/A</v>
      </c>
      <c r="Z265" s="8" t="e">
        <f t="shared" si="39"/>
        <v>#N/A</v>
      </c>
      <c r="AA265" s="8" t="e">
        <f t="shared" si="39"/>
        <v>#N/A</v>
      </c>
      <c r="AB265" s="8" t="e">
        <f t="shared" si="39"/>
        <v>#N/A</v>
      </c>
      <c r="AC265" s="8" t="e">
        <f t="shared" si="39"/>
        <v>#N/A</v>
      </c>
    </row>
    <row r="266" spans="13:29">
      <c r="M266" s="14">
        <v>258</v>
      </c>
      <c r="N266" s="8">
        <f t="shared" si="38"/>
        <v>10</v>
      </c>
      <c r="O266" s="8">
        <f t="shared" si="38"/>
        <v>8.8000000000000007</v>
      </c>
      <c r="P266" s="8">
        <f t="shared" si="38"/>
        <v>7.6000000000000005</v>
      </c>
      <c r="Q266" s="8">
        <f t="shared" si="38"/>
        <v>6.4</v>
      </c>
      <c r="R266" s="8">
        <f t="shared" si="38"/>
        <v>5.2</v>
      </c>
      <c r="S266" s="8">
        <f t="shared" si="38"/>
        <v>4</v>
      </c>
      <c r="T266" s="8">
        <f t="shared" si="38"/>
        <v>2.8</v>
      </c>
      <c r="U266" s="8">
        <f t="shared" si="38"/>
        <v>1.5999999999999999</v>
      </c>
      <c r="V266" s="8" t="e">
        <f t="shared" si="39"/>
        <v>#N/A</v>
      </c>
      <c r="W266" s="8" t="e">
        <f t="shared" si="39"/>
        <v>#N/A</v>
      </c>
      <c r="X266" s="8" t="e">
        <f t="shared" si="39"/>
        <v>#N/A</v>
      </c>
      <c r="Y266" s="8" t="e">
        <f t="shared" si="39"/>
        <v>#N/A</v>
      </c>
      <c r="Z266" s="8" t="e">
        <f t="shared" si="39"/>
        <v>#N/A</v>
      </c>
      <c r="AA266" s="8" t="e">
        <f t="shared" si="39"/>
        <v>#N/A</v>
      </c>
      <c r="AB266" s="8" t="e">
        <f t="shared" si="39"/>
        <v>#N/A</v>
      </c>
      <c r="AC266" s="8" t="e">
        <f t="shared" si="39"/>
        <v>#N/A</v>
      </c>
    </row>
    <row r="267" spans="13:29">
      <c r="M267" s="14">
        <v>259</v>
      </c>
      <c r="N267" s="8">
        <f t="shared" si="38"/>
        <v>10</v>
      </c>
      <c r="O267" s="8">
        <f t="shared" si="38"/>
        <v>8.8000000000000007</v>
      </c>
      <c r="P267" s="8">
        <f t="shared" si="38"/>
        <v>7.6000000000000005</v>
      </c>
      <c r="Q267" s="8">
        <f t="shared" si="38"/>
        <v>6.4</v>
      </c>
      <c r="R267" s="8">
        <f t="shared" si="38"/>
        <v>5.2</v>
      </c>
      <c r="S267" s="8">
        <f t="shared" si="38"/>
        <v>4</v>
      </c>
      <c r="T267" s="8">
        <f t="shared" si="38"/>
        <v>2.8</v>
      </c>
      <c r="U267" s="8">
        <f t="shared" si="38"/>
        <v>1.5999999999999999</v>
      </c>
      <c r="V267" s="8" t="e">
        <f t="shared" si="39"/>
        <v>#N/A</v>
      </c>
      <c r="W267" s="8" t="e">
        <f t="shared" si="39"/>
        <v>#N/A</v>
      </c>
      <c r="X267" s="8" t="e">
        <f t="shared" si="39"/>
        <v>#N/A</v>
      </c>
      <c r="Y267" s="8" t="e">
        <f t="shared" si="39"/>
        <v>#N/A</v>
      </c>
      <c r="Z267" s="8" t="e">
        <f t="shared" si="39"/>
        <v>#N/A</v>
      </c>
      <c r="AA267" s="8" t="e">
        <f t="shared" si="39"/>
        <v>#N/A</v>
      </c>
      <c r="AB267" s="8" t="e">
        <f t="shared" si="39"/>
        <v>#N/A</v>
      </c>
      <c r="AC267" s="8" t="e">
        <f t="shared" si="39"/>
        <v>#N/A</v>
      </c>
    </row>
    <row r="268" spans="13:29">
      <c r="M268" s="14">
        <v>260</v>
      </c>
      <c r="N268" s="8">
        <f t="shared" si="38"/>
        <v>10</v>
      </c>
      <c r="O268" s="8">
        <f t="shared" si="38"/>
        <v>8.8000000000000007</v>
      </c>
      <c r="P268" s="8">
        <f t="shared" si="38"/>
        <v>7.6000000000000005</v>
      </c>
      <c r="Q268" s="8">
        <f t="shared" si="38"/>
        <v>6.4</v>
      </c>
      <c r="R268" s="8">
        <f t="shared" si="38"/>
        <v>5.2</v>
      </c>
      <c r="S268" s="8">
        <f t="shared" si="38"/>
        <v>4</v>
      </c>
      <c r="T268" s="8">
        <f t="shared" si="38"/>
        <v>2.8</v>
      </c>
      <c r="U268" s="8">
        <f t="shared" si="38"/>
        <v>1.5999999999999999</v>
      </c>
      <c r="V268" s="8" t="e">
        <f t="shared" si="39"/>
        <v>#N/A</v>
      </c>
      <c r="W268" s="8" t="e">
        <f t="shared" si="39"/>
        <v>#N/A</v>
      </c>
      <c r="X268" s="8" t="e">
        <f t="shared" si="39"/>
        <v>#N/A</v>
      </c>
      <c r="Y268" s="8" t="e">
        <f t="shared" si="39"/>
        <v>#N/A</v>
      </c>
      <c r="Z268" s="8" t="e">
        <f t="shared" si="39"/>
        <v>#N/A</v>
      </c>
      <c r="AA268" s="8" t="e">
        <f t="shared" si="39"/>
        <v>#N/A</v>
      </c>
      <c r="AB268" s="8" t="e">
        <f t="shared" si="39"/>
        <v>#N/A</v>
      </c>
      <c r="AC268" s="8" t="e">
        <f t="shared" si="39"/>
        <v>#N/A</v>
      </c>
    </row>
    <row r="269" spans="13:29">
      <c r="M269" s="14">
        <v>261</v>
      </c>
      <c r="N269" s="8">
        <f t="shared" si="38"/>
        <v>10</v>
      </c>
      <c r="O269" s="8">
        <f t="shared" si="38"/>
        <v>8.8000000000000007</v>
      </c>
      <c r="P269" s="8">
        <f t="shared" si="38"/>
        <v>7.6000000000000005</v>
      </c>
      <c r="Q269" s="8">
        <f t="shared" si="38"/>
        <v>6.4</v>
      </c>
      <c r="R269" s="8">
        <f t="shared" si="38"/>
        <v>5.2</v>
      </c>
      <c r="S269" s="8">
        <f t="shared" si="38"/>
        <v>4</v>
      </c>
      <c r="T269" s="8">
        <f t="shared" si="38"/>
        <v>2.8</v>
      </c>
      <c r="U269" s="8">
        <f t="shared" si="38"/>
        <v>1.5999999999999999</v>
      </c>
      <c r="V269" s="8" t="e">
        <f t="shared" si="39"/>
        <v>#N/A</v>
      </c>
      <c r="W269" s="8" t="e">
        <f t="shared" si="39"/>
        <v>#N/A</v>
      </c>
      <c r="X269" s="8" t="e">
        <f t="shared" si="39"/>
        <v>#N/A</v>
      </c>
      <c r="Y269" s="8" t="e">
        <f t="shared" si="39"/>
        <v>#N/A</v>
      </c>
      <c r="Z269" s="8" t="e">
        <f t="shared" si="39"/>
        <v>#N/A</v>
      </c>
      <c r="AA269" s="8" t="e">
        <f t="shared" si="39"/>
        <v>#N/A</v>
      </c>
      <c r="AB269" s="8" t="e">
        <f t="shared" si="39"/>
        <v>#N/A</v>
      </c>
      <c r="AC269" s="8" t="e">
        <f t="shared" si="39"/>
        <v>#N/A</v>
      </c>
    </row>
    <row r="270" spans="13:29">
      <c r="M270" s="14">
        <v>262</v>
      </c>
      <c r="N270" s="8">
        <f t="shared" si="38"/>
        <v>10</v>
      </c>
      <c r="O270" s="8">
        <f t="shared" si="38"/>
        <v>8.8000000000000007</v>
      </c>
      <c r="P270" s="8">
        <f t="shared" si="38"/>
        <v>7.6000000000000005</v>
      </c>
      <c r="Q270" s="8">
        <f t="shared" si="38"/>
        <v>6.4</v>
      </c>
      <c r="R270" s="8">
        <f t="shared" si="38"/>
        <v>5.2</v>
      </c>
      <c r="S270" s="8">
        <f t="shared" si="38"/>
        <v>4</v>
      </c>
      <c r="T270" s="8">
        <f t="shared" si="38"/>
        <v>2.8</v>
      </c>
      <c r="U270" s="8">
        <f t="shared" si="38"/>
        <v>1.5999999999999999</v>
      </c>
      <c r="V270" s="8" t="e">
        <f t="shared" si="39"/>
        <v>#N/A</v>
      </c>
      <c r="W270" s="8" t="e">
        <f t="shared" si="39"/>
        <v>#N/A</v>
      </c>
      <c r="X270" s="8" t="e">
        <f t="shared" si="39"/>
        <v>#N/A</v>
      </c>
      <c r="Y270" s="8" t="e">
        <f t="shared" si="39"/>
        <v>#N/A</v>
      </c>
      <c r="Z270" s="8" t="e">
        <f t="shared" si="39"/>
        <v>#N/A</v>
      </c>
      <c r="AA270" s="8" t="e">
        <f t="shared" si="39"/>
        <v>#N/A</v>
      </c>
      <c r="AB270" s="8" t="e">
        <f t="shared" si="39"/>
        <v>#N/A</v>
      </c>
      <c r="AC270" s="8" t="e">
        <f t="shared" si="39"/>
        <v>#N/A</v>
      </c>
    </row>
    <row r="271" spans="13:29">
      <c r="M271" s="14">
        <v>263</v>
      </c>
      <c r="N271" s="8">
        <f t="shared" si="38"/>
        <v>10</v>
      </c>
      <c r="O271" s="8">
        <f t="shared" si="38"/>
        <v>8.8000000000000007</v>
      </c>
      <c r="P271" s="8">
        <f t="shared" si="38"/>
        <v>7.6000000000000005</v>
      </c>
      <c r="Q271" s="8">
        <f t="shared" si="38"/>
        <v>6.4</v>
      </c>
      <c r="R271" s="8">
        <f t="shared" si="38"/>
        <v>5.2</v>
      </c>
      <c r="S271" s="8">
        <f t="shared" si="38"/>
        <v>4</v>
      </c>
      <c r="T271" s="8">
        <f t="shared" si="38"/>
        <v>2.8</v>
      </c>
      <c r="U271" s="8">
        <f t="shared" si="38"/>
        <v>1.5999999999999999</v>
      </c>
      <c r="V271" s="8" t="e">
        <f t="shared" si="39"/>
        <v>#N/A</v>
      </c>
      <c r="W271" s="8" t="e">
        <f t="shared" si="39"/>
        <v>#N/A</v>
      </c>
      <c r="X271" s="8" t="e">
        <f t="shared" si="39"/>
        <v>#N/A</v>
      </c>
      <c r="Y271" s="8" t="e">
        <f t="shared" si="39"/>
        <v>#N/A</v>
      </c>
      <c r="Z271" s="8" t="e">
        <f t="shared" si="39"/>
        <v>#N/A</v>
      </c>
      <c r="AA271" s="8" t="e">
        <f t="shared" si="39"/>
        <v>#N/A</v>
      </c>
      <c r="AB271" s="8" t="e">
        <f t="shared" si="39"/>
        <v>#N/A</v>
      </c>
      <c r="AC271" s="8" t="e">
        <f t="shared" si="39"/>
        <v>#N/A</v>
      </c>
    </row>
    <row r="272" spans="13:29">
      <c r="M272" s="14">
        <v>264</v>
      </c>
      <c r="N272" s="8">
        <f t="shared" si="38"/>
        <v>10</v>
      </c>
      <c r="O272" s="8">
        <f t="shared" si="38"/>
        <v>8.8000000000000007</v>
      </c>
      <c r="P272" s="8">
        <f t="shared" si="38"/>
        <v>7.6000000000000005</v>
      </c>
      <c r="Q272" s="8">
        <f t="shared" si="38"/>
        <v>6.4</v>
      </c>
      <c r="R272" s="8">
        <f t="shared" si="38"/>
        <v>5.2</v>
      </c>
      <c r="S272" s="8">
        <f t="shared" si="38"/>
        <v>4</v>
      </c>
      <c r="T272" s="8">
        <f t="shared" si="38"/>
        <v>2.8</v>
      </c>
      <c r="U272" s="8">
        <f t="shared" si="38"/>
        <v>1.5999999999999999</v>
      </c>
      <c r="V272" s="8" t="e">
        <f t="shared" si="39"/>
        <v>#N/A</v>
      </c>
      <c r="W272" s="8" t="e">
        <f t="shared" si="39"/>
        <v>#N/A</v>
      </c>
      <c r="X272" s="8" t="e">
        <f t="shared" si="39"/>
        <v>#N/A</v>
      </c>
      <c r="Y272" s="8" t="e">
        <f t="shared" si="39"/>
        <v>#N/A</v>
      </c>
      <c r="Z272" s="8" t="e">
        <f t="shared" si="39"/>
        <v>#N/A</v>
      </c>
      <c r="AA272" s="8" t="e">
        <f t="shared" si="39"/>
        <v>#N/A</v>
      </c>
      <c r="AB272" s="8" t="e">
        <f t="shared" si="39"/>
        <v>#N/A</v>
      </c>
      <c r="AC272" s="8" t="e">
        <f t="shared" si="39"/>
        <v>#N/A</v>
      </c>
    </row>
    <row r="273" spans="13:29">
      <c r="M273" s="14">
        <v>265</v>
      </c>
      <c r="N273" s="8">
        <f t="shared" si="38"/>
        <v>10</v>
      </c>
      <c r="O273" s="8">
        <f t="shared" si="38"/>
        <v>8.8000000000000007</v>
      </c>
      <c r="P273" s="8">
        <f t="shared" si="38"/>
        <v>7.6000000000000005</v>
      </c>
      <c r="Q273" s="8">
        <f t="shared" si="38"/>
        <v>6.4</v>
      </c>
      <c r="R273" s="8">
        <f t="shared" si="38"/>
        <v>5.2</v>
      </c>
      <c r="S273" s="8">
        <f t="shared" si="38"/>
        <v>4</v>
      </c>
      <c r="T273" s="8">
        <f t="shared" si="38"/>
        <v>2.8</v>
      </c>
      <c r="U273" s="8">
        <f t="shared" si="38"/>
        <v>1.5999999999999999</v>
      </c>
      <c r="V273" s="8" t="e">
        <f t="shared" si="39"/>
        <v>#N/A</v>
      </c>
      <c r="W273" s="8" t="e">
        <f t="shared" si="39"/>
        <v>#N/A</v>
      </c>
      <c r="X273" s="8" t="e">
        <f t="shared" si="39"/>
        <v>#N/A</v>
      </c>
      <c r="Y273" s="8" t="e">
        <f t="shared" si="39"/>
        <v>#N/A</v>
      </c>
      <c r="Z273" s="8" t="e">
        <f t="shared" si="39"/>
        <v>#N/A</v>
      </c>
      <c r="AA273" s="8" t="e">
        <f t="shared" si="39"/>
        <v>#N/A</v>
      </c>
      <c r="AB273" s="8" t="e">
        <f t="shared" si="39"/>
        <v>#N/A</v>
      </c>
      <c r="AC273" s="8" t="e">
        <f t="shared" si="39"/>
        <v>#N/A</v>
      </c>
    </row>
    <row r="274" spans="13:29">
      <c r="M274" s="14">
        <v>266</v>
      </c>
      <c r="N274" s="8">
        <f t="shared" si="38"/>
        <v>10</v>
      </c>
      <c r="O274" s="8">
        <f t="shared" si="38"/>
        <v>8.8000000000000007</v>
      </c>
      <c r="P274" s="8">
        <f t="shared" si="38"/>
        <v>7.6000000000000005</v>
      </c>
      <c r="Q274" s="8">
        <f t="shared" si="38"/>
        <v>6.4</v>
      </c>
      <c r="R274" s="8">
        <f t="shared" si="38"/>
        <v>5.2</v>
      </c>
      <c r="S274" s="8">
        <f t="shared" si="38"/>
        <v>4</v>
      </c>
      <c r="T274" s="8">
        <f t="shared" si="38"/>
        <v>2.8</v>
      </c>
      <c r="U274" s="8">
        <f t="shared" si="38"/>
        <v>1.5999999999999999</v>
      </c>
      <c r="V274" s="8" t="e">
        <f t="shared" si="39"/>
        <v>#N/A</v>
      </c>
      <c r="W274" s="8" t="e">
        <f t="shared" si="39"/>
        <v>#N/A</v>
      </c>
      <c r="X274" s="8" t="e">
        <f t="shared" si="39"/>
        <v>#N/A</v>
      </c>
      <c r="Y274" s="8" t="e">
        <f t="shared" si="39"/>
        <v>#N/A</v>
      </c>
      <c r="Z274" s="8" t="e">
        <f t="shared" si="39"/>
        <v>#N/A</v>
      </c>
      <c r="AA274" s="8" t="e">
        <f t="shared" si="39"/>
        <v>#N/A</v>
      </c>
      <c r="AB274" s="8" t="e">
        <f t="shared" si="39"/>
        <v>#N/A</v>
      </c>
      <c r="AC274" s="8" t="e">
        <f t="shared" si="39"/>
        <v>#N/A</v>
      </c>
    </row>
    <row r="275" spans="13:29">
      <c r="M275" s="14">
        <v>267</v>
      </c>
      <c r="N275" s="8">
        <f t="shared" si="38"/>
        <v>10</v>
      </c>
      <c r="O275" s="8">
        <f t="shared" si="38"/>
        <v>8.8000000000000007</v>
      </c>
      <c r="P275" s="8">
        <f t="shared" si="38"/>
        <v>7.6000000000000005</v>
      </c>
      <c r="Q275" s="8">
        <f t="shared" si="38"/>
        <v>6.4</v>
      </c>
      <c r="R275" s="8">
        <f t="shared" si="38"/>
        <v>5.2</v>
      </c>
      <c r="S275" s="8">
        <f t="shared" si="38"/>
        <v>4</v>
      </c>
      <c r="T275" s="8">
        <f t="shared" si="38"/>
        <v>2.8</v>
      </c>
      <c r="U275" s="8">
        <f t="shared" si="38"/>
        <v>1.5999999999999999</v>
      </c>
      <c r="V275" s="8" t="e">
        <f t="shared" si="39"/>
        <v>#N/A</v>
      </c>
      <c r="W275" s="8" t="e">
        <f t="shared" si="39"/>
        <v>#N/A</v>
      </c>
      <c r="X275" s="8" t="e">
        <f t="shared" si="39"/>
        <v>#N/A</v>
      </c>
      <c r="Y275" s="8" t="e">
        <f t="shared" si="39"/>
        <v>#N/A</v>
      </c>
      <c r="Z275" s="8" t="e">
        <f t="shared" si="39"/>
        <v>#N/A</v>
      </c>
      <c r="AA275" s="8" t="e">
        <f t="shared" si="39"/>
        <v>#N/A</v>
      </c>
      <c r="AB275" s="8" t="e">
        <f t="shared" si="39"/>
        <v>#N/A</v>
      </c>
      <c r="AC275" s="8" t="e">
        <f t="shared" si="39"/>
        <v>#N/A</v>
      </c>
    </row>
    <row r="276" spans="13:29">
      <c r="M276" s="14">
        <v>268</v>
      </c>
      <c r="N276" s="8">
        <f t="shared" si="38"/>
        <v>10</v>
      </c>
      <c r="O276" s="8">
        <f t="shared" si="38"/>
        <v>8.8000000000000007</v>
      </c>
      <c r="P276" s="8">
        <f t="shared" si="38"/>
        <v>7.6000000000000005</v>
      </c>
      <c r="Q276" s="8">
        <f t="shared" si="38"/>
        <v>6.4</v>
      </c>
      <c r="R276" s="8">
        <f t="shared" si="38"/>
        <v>5.2</v>
      </c>
      <c r="S276" s="8">
        <f t="shared" si="38"/>
        <v>4</v>
      </c>
      <c r="T276" s="8">
        <f t="shared" si="38"/>
        <v>2.8</v>
      </c>
      <c r="U276" s="8">
        <f t="shared" si="38"/>
        <v>1.5999999999999999</v>
      </c>
      <c r="V276" s="8" t="e">
        <f t="shared" si="39"/>
        <v>#N/A</v>
      </c>
      <c r="W276" s="8" t="e">
        <f t="shared" si="39"/>
        <v>#N/A</v>
      </c>
      <c r="X276" s="8" t="e">
        <f t="shared" si="39"/>
        <v>#N/A</v>
      </c>
      <c r="Y276" s="8" t="e">
        <f t="shared" si="39"/>
        <v>#N/A</v>
      </c>
      <c r="Z276" s="8" t="e">
        <f t="shared" si="39"/>
        <v>#N/A</v>
      </c>
      <c r="AA276" s="8" t="e">
        <f t="shared" si="39"/>
        <v>#N/A</v>
      </c>
      <c r="AB276" s="8" t="e">
        <f t="shared" si="39"/>
        <v>#N/A</v>
      </c>
      <c r="AC276" s="8" t="e">
        <f t="shared" si="39"/>
        <v>#N/A</v>
      </c>
    </row>
    <row r="277" spans="13:29">
      <c r="M277" s="14">
        <v>269</v>
      </c>
      <c r="N277" s="8">
        <f t="shared" si="38"/>
        <v>10</v>
      </c>
      <c r="O277" s="8">
        <f t="shared" si="38"/>
        <v>8.8000000000000007</v>
      </c>
      <c r="P277" s="8">
        <f t="shared" si="38"/>
        <v>7.6000000000000005</v>
      </c>
      <c r="Q277" s="8">
        <f t="shared" si="38"/>
        <v>6.4</v>
      </c>
      <c r="R277" s="8">
        <f t="shared" si="38"/>
        <v>5.2</v>
      </c>
      <c r="S277" s="8">
        <f t="shared" si="38"/>
        <v>4</v>
      </c>
      <c r="T277" s="8">
        <f t="shared" si="38"/>
        <v>2.8</v>
      </c>
      <c r="U277" s="8">
        <f t="shared" si="38"/>
        <v>1.5999999999999999</v>
      </c>
      <c r="V277" s="8" t="e">
        <f t="shared" si="39"/>
        <v>#N/A</v>
      </c>
      <c r="W277" s="8" t="e">
        <f t="shared" si="39"/>
        <v>#N/A</v>
      </c>
      <c r="X277" s="8" t="e">
        <f t="shared" si="39"/>
        <v>#N/A</v>
      </c>
      <c r="Y277" s="8" t="e">
        <f t="shared" si="39"/>
        <v>#N/A</v>
      </c>
      <c r="Z277" s="8" t="e">
        <f t="shared" si="39"/>
        <v>#N/A</v>
      </c>
      <c r="AA277" s="8" t="e">
        <f t="shared" si="39"/>
        <v>#N/A</v>
      </c>
      <c r="AB277" s="8" t="e">
        <f t="shared" si="39"/>
        <v>#N/A</v>
      </c>
      <c r="AC277" s="8" t="e">
        <f t="shared" si="39"/>
        <v>#N/A</v>
      </c>
    </row>
    <row r="278" spans="13:29">
      <c r="M278" s="14">
        <v>270</v>
      </c>
      <c r="N278" s="8">
        <f t="shared" si="38"/>
        <v>10</v>
      </c>
      <c r="O278" s="8">
        <f t="shared" si="38"/>
        <v>8.8000000000000007</v>
      </c>
      <c r="P278" s="8">
        <f t="shared" si="38"/>
        <v>7.6000000000000005</v>
      </c>
      <c r="Q278" s="8">
        <f t="shared" si="38"/>
        <v>6.4</v>
      </c>
      <c r="R278" s="8">
        <f t="shared" si="38"/>
        <v>5.2</v>
      </c>
      <c r="S278" s="8">
        <f t="shared" si="38"/>
        <v>4</v>
      </c>
      <c r="T278" s="8">
        <f t="shared" si="38"/>
        <v>2.8</v>
      </c>
      <c r="U278" s="8">
        <f t="shared" si="38"/>
        <v>1.5999999999999999</v>
      </c>
      <c r="V278" s="8" t="e">
        <f t="shared" si="39"/>
        <v>#N/A</v>
      </c>
      <c r="W278" s="8" t="e">
        <f t="shared" si="39"/>
        <v>#N/A</v>
      </c>
      <c r="X278" s="8" t="e">
        <f t="shared" si="39"/>
        <v>#N/A</v>
      </c>
      <c r="Y278" s="8" t="e">
        <f t="shared" si="39"/>
        <v>#N/A</v>
      </c>
      <c r="Z278" s="8" t="e">
        <f t="shared" si="39"/>
        <v>#N/A</v>
      </c>
      <c r="AA278" s="8" t="e">
        <f t="shared" si="39"/>
        <v>#N/A</v>
      </c>
      <c r="AB278" s="8" t="e">
        <f t="shared" si="39"/>
        <v>#N/A</v>
      </c>
      <c r="AC278" s="8" t="e">
        <f t="shared" si="39"/>
        <v>#N/A</v>
      </c>
    </row>
    <row r="279" spans="13:29">
      <c r="M279" s="14">
        <v>271</v>
      </c>
      <c r="N279" s="8">
        <f t="shared" si="38"/>
        <v>10</v>
      </c>
      <c r="O279" s="8">
        <f t="shared" si="38"/>
        <v>8.8000000000000007</v>
      </c>
      <c r="P279" s="8">
        <f t="shared" si="38"/>
        <v>7.6000000000000005</v>
      </c>
      <c r="Q279" s="8">
        <f t="shared" si="38"/>
        <v>6.4</v>
      </c>
      <c r="R279" s="8">
        <f t="shared" si="38"/>
        <v>5.2</v>
      </c>
      <c r="S279" s="8">
        <f t="shared" si="38"/>
        <v>4</v>
      </c>
      <c r="T279" s="8">
        <f t="shared" si="38"/>
        <v>2.8</v>
      </c>
      <c r="U279" s="8">
        <f t="shared" si="38"/>
        <v>1.5999999999999999</v>
      </c>
      <c r="V279" s="8" t="e">
        <f t="shared" si="39"/>
        <v>#N/A</v>
      </c>
      <c r="W279" s="8" t="e">
        <f t="shared" si="39"/>
        <v>#N/A</v>
      </c>
      <c r="X279" s="8" t="e">
        <f t="shared" si="39"/>
        <v>#N/A</v>
      </c>
      <c r="Y279" s="8" t="e">
        <f t="shared" si="39"/>
        <v>#N/A</v>
      </c>
      <c r="Z279" s="8" t="e">
        <f t="shared" si="39"/>
        <v>#N/A</v>
      </c>
      <c r="AA279" s="8" t="e">
        <f t="shared" si="39"/>
        <v>#N/A</v>
      </c>
      <c r="AB279" s="8" t="e">
        <f t="shared" si="39"/>
        <v>#N/A</v>
      </c>
      <c r="AC279" s="8" t="e">
        <f t="shared" si="39"/>
        <v>#N/A</v>
      </c>
    </row>
    <row r="280" spans="13:29">
      <c r="M280" s="14">
        <v>272</v>
      </c>
      <c r="N280" s="8" t="e">
        <f t="shared" si="38"/>
        <v>#N/A</v>
      </c>
      <c r="O280" s="8" t="e">
        <f t="shared" si="38"/>
        <v>#N/A</v>
      </c>
      <c r="P280" s="8" t="e">
        <f t="shared" si="38"/>
        <v>#N/A</v>
      </c>
      <c r="Q280" s="8" t="e">
        <f t="shared" si="38"/>
        <v>#N/A</v>
      </c>
      <c r="R280" s="8" t="e">
        <f t="shared" si="38"/>
        <v>#N/A</v>
      </c>
      <c r="S280" s="8" t="e">
        <f t="shared" si="38"/>
        <v>#N/A</v>
      </c>
      <c r="T280" s="8" t="e">
        <f t="shared" si="38"/>
        <v>#N/A</v>
      </c>
      <c r="U280" s="8" t="e">
        <f t="shared" si="38"/>
        <v>#N/A</v>
      </c>
      <c r="V280" s="8" t="e">
        <f t="shared" si="39"/>
        <v>#N/A</v>
      </c>
      <c r="W280" s="8" t="e">
        <f t="shared" si="39"/>
        <v>#N/A</v>
      </c>
      <c r="X280" s="8" t="e">
        <f t="shared" si="39"/>
        <v>#N/A</v>
      </c>
      <c r="Y280" s="8" t="e">
        <f t="shared" si="39"/>
        <v>#N/A</v>
      </c>
      <c r="Z280" s="8" t="e">
        <f t="shared" si="39"/>
        <v>#N/A</v>
      </c>
      <c r="AA280" s="8" t="e">
        <f t="shared" si="39"/>
        <v>#N/A</v>
      </c>
      <c r="AB280" s="8" t="e">
        <f t="shared" si="39"/>
        <v>#N/A</v>
      </c>
      <c r="AC280" s="8" t="e">
        <f t="shared" si="39"/>
        <v>#N/A</v>
      </c>
    </row>
    <row r="281" spans="13:29">
      <c r="M281" s="14">
        <v>273</v>
      </c>
      <c r="N281" s="8" t="e">
        <f t="shared" ref="N281:U296" si="40">IF($M281&lt;=100/$G$15*$H$15,N$5,NA())</f>
        <v>#N/A</v>
      </c>
      <c r="O281" s="8" t="e">
        <f t="shared" si="40"/>
        <v>#N/A</v>
      </c>
      <c r="P281" s="8" t="e">
        <f t="shared" si="40"/>
        <v>#N/A</v>
      </c>
      <c r="Q281" s="8" t="e">
        <f t="shared" si="40"/>
        <v>#N/A</v>
      </c>
      <c r="R281" s="8" t="e">
        <f t="shared" si="40"/>
        <v>#N/A</v>
      </c>
      <c r="S281" s="8" t="e">
        <f t="shared" si="40"/>
        <v>#N/A</v>
      </c>
      <c r="T281" s="8" t="e">
        <f t="shared" si="40"/>
        <v>#N/A</v>
      </c>
      <c r="U281" s="8" t="e">
        <f t="shared" si="40"/>
        <v>#N/A</v>
      </c>
      <c r="V281" s="8" t="e">
        <f t="shared" ref="V281:AC296" si="41">IF($M281&lt;=INDEX($K$5:$K$12,V$6)/$G$15*$H$15,V$5,NA())</f>
        <v>#N/A</v>
      </c>
      <c r="W281" s="8" t="e">
        <f t="shared" si="41"/>
        <v>#N/A</v>
      </c>
      <c r="X281" s="8" t="e">
        <f t="shared" si="41"/>
        <v>#N/A</v>
      </c>
      <c r="Y281" s="8" t="e">
        <f t="shared" si="41"/>
        <v>#N/A</v>
      </c>
      <c r="Z281" s="8" t="e">
        <f t="shared" si="41"/>
        <v>#N/A</v>
      </c>
      <c r="AA281" s="8" t="e">
        <f t="shared" si="41"/>
        <v>#N/A</v>
      </c>
      <c r="AB281" s="8" t="e">
        <f t="shared" si="41"/>
        <v>#N/A</v>
      </c>
      <c r="AC281" s="8" t="e">
        <f t="shared" si="41"/>
        <v>#N/A</v>
      </c>
    </row>
    <row r="282" spans="13:29">
      <c r="M282" s="14">
        <v>274</v>
      </c>
      <c r="N282" s="8" t="e">
        <f t="shared" si="40"/>
        <v>#N/A</v>
      </c>
      <c r="O282" s="8" t="e">
        <f t="shared" si="40"/>
        <v>#N/A</v>
      </c>
      <c r="P282" s="8" t="e">
        <f t="shared" si="40"/>
        <v>#N/A</v>
      </c>
      <c r="Q282" s="8" t="e">
        <f t="shared" si="40"/>
        <v>#N/A</v>
      </c>
      <c r="R282" s="8" t="e">
        <f t="shared" si="40"/>
        <v>#N/A</v>
      </c>
      <c r="S282" s="8" t="e">
        <f t="shared" si="40"/>
        <v>#N/A</v>
      </c>
      <c r="T282" s="8" t="e">
        <f t="shared" si="40"/>
        <v>#N/A</v>
      </c>
      <c r="U282" s="8" t="e">
        <f t="shared" si="40"/>
        <v>#N/A</v>
      </c>
      <c r="V282" s="8" t="e">
        <f t="shared" si="41"/>
        <v>#N/A</v>
      </c>
      <c r="W282" s="8" t="e">
        <f t="shared" si="41"/>
        <v>#N/A</v>
      </c>
      <c r="X282" s="8" t="e">
        <f t="shared" si="41"/>
        <v>#N/A</v>
      </c>
      <c r="Y282" s="8" t="e">
        <f t="shared" si="41"/>
        <v>#N/A</v>
      </c>
      <c r="Z282" s="8" t="e">
        <f t="shared" si="41"/>
        <v>#N/A</v>
      </c>
      <c r="AA282" s="8" t="e">
        <f t="shared" si="41"/>
        <v>#N/A</v>
      </c>
      <c r="AB282" s="8" t="e">
        <f t="shared" si="41"/>
        <v>#N/A</v>
      </c>
      <c r="AC282" s="8" t="e">
        <f t="shared" si="41"/>
        <v>#N/A</v>
      </c>
    </row>
    <row r="283" spans="13:29">
      <c r="M283" s="14">
        <v>275</v>
      </c>
      <c r="N283" s="8" t="e">
        <f t="shared" si="40"/>
        <v>#N/A</v>
      </c>
      <c r="O283" s="8" t="e">
        <f t="shared" si="40"/>
        <v>#N/A</v>
      </c>
      <c r="P283" s="8" t="e">
        <f t="shared" si="40"/>
        <v>#N/A</v>
      </c>
      <c r="Q283" s="8" t="e">
        <f t="shared" si="40"/>
        <v>#N/A</v>
      </c>
      <c r="R283" s="8" t="e">
        <f t="shared" si="40"/>
        <v>#N/A</v>
      </c>
      <c r="S283" s="8" t="e">
        <f t="shared" si="40"/>
        <v>#N/A</v>
      </c>
      <c r="T283" s="8" t="e">
        <f t="shared" si="40"/>
        <v>#N/A</v>
      </c>
      <c r="U283" s="8" t="e">
        <f t="shared" si="40"/>
        <v>#N/A</v>
      </c>
      <c r="V283" s="8" t="e">
        <f t="shared" si="41"/>
        <v>#N/A</v>
      </c>
      <c r="W283" s="8" t="e">
        <f t="shared" si="41"/>
        <v>#N/A</v>
      </c>
      <c r="X283" s="8" t="e">
        <f t="shared" si="41"/>
        <v>#N/A</v>
      </c>
      <c r="Y283" s="8" t="e">
        <f t="shared" si="41"/>
        <v>#N/A</v>
      </c>
      <c r="Z283" s="8" t="e">
        <f t="shared" si="41"/>
        <v>#N/A</v>
      </c>
      <c r="AA283" s="8" t="e">
        <f t="shared" si="41"/>
        <v>#N/A</v>
      </c>
      <c r="AB283" s="8" t="e">
        <f t="shared" si="41"/>
        <v>#N/A</v>
      </c>
      <c r="AC283" s="8" t="e">
        <f t="shared" si="41"/>
        <v>#N/A</v>
      </c>
    </row>
    <row r="284" spans="13:29">
      <c r="M284" s="14">
        <v>276</v>
      </c>
      <c r="N284" s="8" t="e">
        <f t="shared" si="40"/>
        <v>#N/A</v>
      </c>
      <c r="O284" s="8" t="e">
        <f t="shared" si="40"/>
        <v>#N/A</v>
      </c>
      <c r="P284" s="8" t="e">
        <f t="shared" si="40"/>
        <v>#N/A</v>
      </c>
      <c r="Q284" s="8" t="e">
        <f t="shared" si="40"/>
        <v>#N/A</v>
      </c>
      <c r="R284" s="8" t="e">
        <f t="shared" si="40"/>
        <v>#N/A</v>
      </c>
      <c r="S284" s="8" t="e">
        <f t="shared" si="40"/>
        <v>#N/A</v>
      </c>
      <c r="T284" s="8" t="e">
        <f t="shared" si="40"/>
        <v>#N/A</v>
      </c>
      <c r="U284" s="8" t="e">
        <f t="shared" si="40"/>
        <v>#N/A</v>
      </c>
      <c r="V284" s="8" t="e">
        <f t="shared" si="41"/>
        <v>#N/A</v>
      </c>
      <c r="W284" s="8" t="e">
        <f t="shared" si="41"/>
        <v>#N/A</v>
      </c>
      <c r="X284" s="8" t="e">
        <f t="shared" si="41"/>
        <v>#N/A</v>
      </c>
      <c r="Y284" s="8" t="e">
        <f t="shared" si="41"/>
        <v>#N/A</v>
      </c>
      <c r="Z284" s="8" t="e">
        <f t="shared" si="41"/>
        <v>#N/A</v>
      </c>
      <c r="AA284" s="8" t="e">
        <f t="shared" si="41"/>
        <v>#N/A</v>
      </c>
      <c r="AB284" s="8" t="e">
        <f t="shared" si="41"/>
        <v>#N/A</v>
      </c>
      <c r="AC284" s="8" t="e">
        <f t="shared" si="41"/>
        <v>#N/A</v>
      </c>
    </row>
    <row r="285" spans="13:29">
      <c r="M285" s="14">
        <v>277</v>
      </c>
      <c r="N285" s="8" t="e">
        <f t="shared" si="40"/>
        <v>#N/A</v>
      </c>
      <c r="O285" s="8" t="e">
        <f t="shared" si="40"/>
        <v>#N/A</v>
      </c>
      <c r="P285" s="8" t="e">
        <f t="shared" si="40"/>
        <v>#N/A</v>
      </c>
      <c r="Q285" s="8" t="e">
        <f t="shared" si="40"/>
        <v>#N/A</v>
      </c>
      <c r="R285" s="8" t="e">
        <f t="shared" si="40"/>
        <v>#N/A</v>
      </c>
      <c r="S285" s="8" t="e">
        <f t="shared" si="40"/>
        <v>#N/A</v>
      </c>
      <c r="T285" s="8" t="e">
        <f t="shared" si="40"/>
        <v>#N/A</v>
      </c>
      <c r="U285" s="8" t="e">
        <f t="shared" si="40"/>
        <v>#N/A</v>
      </c>
      <c r="V285" s="8" t="e">
        <f t="shared" si="41"/>
        <v>#N/A</v>
      </c>
      <c r="W285" s="8" t="e">
        <f t="shared" si="41"/>
        <v>#N/A</v>
      </c>
      <c r="X285" s="8" t="e">
        <f t="shared" si="41"/>
        <v>#N/A</v>
      </c>
      <c r="Y285" s="8" t="e">
        <f t="shared" si="41"/>
        <v>#N/A</v>
      </c>
      <c r="Z285" s="8" t="e">
        <f t="shared" si="41"/>
        <v>#N/A</v>
      </c>
      <c r="AA285" s="8" t="e">
        <f t="shared" si="41"/>
        <v>#N/A</v>
      </c>
      <c r="AB285" s="8" t="e">
        <f t="shared" si="41"/>
        <v>#N/A</v>
      </c>
      <c r="AC285" s="8" t="e">
        <f t="shared" si="41"/>
        <v>#N/A</v>
      </c>
    </row>
    <row r="286" spans="13:29">
      <c r="M286" s="14">
        <v>278</v>
      </c>
      <c r="N286" s="8" t="e">
        <f t="shared" si="40"/>
        <v>#N/A</v>
      </c>
      <c r="O286" s="8" t="e">
        <f t="shared" si="40"/>
        <v>#N/A</v>
      </c>
      <c r="P286" s="8" t="e">
        <f t="shared" si="40"/>
        <v>#N/A</v>
      </c>
      <c r="Q286" s="8" t="e">
        <f t="shared" si="40"/>
        <v>#N/A</v>
      </c>
      <c r="R286" s="8" t="e">
        <f t="shared" si="40"/>
        <v>#N/A</v>
      </c>
      <c r="S286" s="8" t="e">
        <f t="shared" si="40"/>
        <v>#N/A</v>
      </c>
      <c r="T286" s="8" t="e">
        <f t="shared" si="40"/>
        <v>#N/A</v>
      </c>
      <c r="U286" s="8" t="e">
        <f t="shared" si="40"/>
        <v>#N/A</v>
      </c>
      <c r="V286" s="8" t="e">
        <f t="shared" si="41"/>
        <v>#N/A</v>
      </c>
      <c r="W286" s="8" t="e">
        <f t="shared" si="41"/>
        <v>#N/A</v>
      </c>
      <c r="X286" s="8" t="e">
        <f t="shared" si="41"/>
        <v>#N/A</v>
      </c>
      <c r="Y286" s="8" t="e">
        <f t="shared" si="41"/>
        <v>#N/A</v>
      </c>
      <c r="Z286" s="8" t="e">
        <f t="shared" si="41"/>
        <v>#N/A</v>
      </c>
      <c r="AA286" s="8" t="e">
        <f t="shared" si="41"/>
        <v>#N/A</v>
      </c>
      <c r="AB286" s="8" t="e">
        <f t="shared" si="41"/>
        <v>#N/A</v>
      </c>
      <c r="AC286" s="8" t="e">
        <f t="shared" si="41"/>
        <v>#N/A</v>
      </c>
    </row>
    <row r="287" spans="13:29">
      <c r="M287" s="14">
        <v>279</v>
      </c>
      <c r="N287" s="8" t="e">
        <f t="shared" si="40"/>
        <v>#N/A</v>
      </c>
      <c r="O287" s="8" t="e">
        <f t="shared" si="40"/>
        <v>#N/A</v>
      </c>
      <c r="P287" s="8" t="e">
        <f t="shared" si="40"/>
        <v>#N/A</v>
      </c>
      <c r="Q287" s="8" t="e">
        <f t="shared" si="40"/>
        <v>#N/A</v>
      </c>
      <c r="R287" s="8" t="e">
        <f t="shared" si="40"/>
        <v>#N/A</v>
      </c>
      <c r="S287" s="8" t="e">
        <f t="shared" si="40"/>
        <v>#N/A</v>
      </c>
      <c r="T287" s="8" t="e">
        <f t="shared" si="40"/>
        <v>#N/A</v>
      </c>
      <c r="U287" s="8" t="e">
        <f t="shared" si="40"/>
        <v>#N/A</v>
      </c>
      <c r="V287" s="8" t="e">
        <f t="shared" si="41"/>
        <v>#N/A</v>
      </c>
      <c r="W287" s="8" t="e">
        <f t="shared" si="41"/>
        <v>#N/A</v>
      </c>
      <c r="X287" s="8" t="e">
        <f t="shared" si="41"/>
        <v>#N/A</v>
      </c>
      <c r="Y287" s="8" t="e">
        <f t="shared" si="41"/>
        <v>#N/A</v>
      </c>
      <c r="Z287" s="8" t="e">
        <f t="shared" si="41"/>
        <v>#N/A</v>
      </c>
      <c r="AA287" s="8" t="e">
        <f t="shared" si="41"/>
        <v>#N/A</v>
      </c>
      <c r="AB287" s="8" t="e">
        <f t="shared" si="41"/>
        <v>#N/A</v>
      </c>
      <c r="AC287" s="8" t="e">
        <f t="shared" si="41"/>
        <v>#N/A</v>
      </c>
    </row>
    <row r="288" spans="13:29">
      <c r="M288" s="14">
        <v>280</v>
      </c>
      <c r="N288" s="8" t="e">
        <f t="shared" si="40"/>
        <v>#N/A</v>
      </c>
      <c r="O288" s="8" t="e">
        <f t="shared" si="40"/>
        <v>#N/A</v>
      </c>
      <c r="P288" s="8" t="e">
        <f t="shared" si="40"/>
        <v>#N/A</v>
      </c>
      <c r="Q288" s="8" t="e">
        <f t="shared" si="40"/>
        <v>#N/A</v>
      </c>
      <c r="R288" s="8" t="e">
        <f t="shared" si="40"/>
        <v>#N/A</v>
      </c>
      <c r="S288" s="8" t="e">
        <f t="shared" si="40"/>
        <v>#N/A</v>
      </c>
      <c r="T288" s="8" t="e">
        <f t="shared" si="40"/>
        <v>#N/A</v>
      </c>
      <c r="U288" s="8" t="e">
        <f t="shared" si="40"/>
        <v>#N/A</v>
      </c>
      <c r="V288" s="8" t="e">
        <f t="shared" si="41"/>
        <v>#N/A</v>
      </c>
      <c r="W288" s="8" t="e">
        <f t="shared" si="41"/>
        <v>#N/A</v>
      </c>
      <c r="X288" s="8" t="e">
        <f t="shared" si="41"/>
        <v>#N/A</v>
      </c>
      <c r="Y288" s="8" t="e">
        <f t="shared" si="41"/>
        <v>#N/A</v>
      </c>
      <c r="Z288" s="8" t="e">
        <f t="shared" si="41"/>
        <v>#N/A</v>
      </c>
      <c r="AA288" s="8" t="e">
        <f t="shared" si="41"/>
        <v>#N/A</v>
      </c>
      <c r="AB288" s="8" t="e">
        <f t="shared" si="41"/>
        <v>#N/A</v>
      </c>
      <c r="AC288" s="8" t="e">
        <f t="shared" si="41"/>
        <v>#N/A</v>
      </c>
    </row>
    <row r="289" spans="13:29">
      <c r="M289" s="14">
        <v>281</v>
      </c>
      <c r="N289" s="8" t="e">
        <f t="shared" si="40"/>
        <v>#N/A</v>
      </c>
      <c r="O289" s="8" t="e">
        <f t="shared" si="40"/>
        <v>#N/A</v>
      </c>
      <c r="P289" s="8" t="e">
        <f t="shared" si="40"/>
        <v>#N/A</v>
      </c>
      <c r="Q289" s="8" t="e">
        <f t="shared" si="40"/>
        <v>#N/A</v>
      </c>
      <c r="R289" s="8" t="e">
        <f t="shared" si="40"/>
        <v>#N/A</v>
      </c>
      <c r="S289" s="8" t="e">
        <f t="shared" si="40"/>
        <v>#N/A</v>
      </c>
      <c r="T289" s="8" t="e">
        <f t="shared" si="40"/>
        <v>#N/A</v>
      </c>
      <c r="U289" s="8" t="e">
        <f t="shared" si="40"/>
        <v>#N/A</v>
      </c>
      <c r="V289" s="8" t="e">
        <f t="shared" si="41"/>
        <v>#N/A</v>
      </c>
      <c r="W289" s="8" t="e">
        <f t="shared" si="41"/>
        <v>#N/A</v>
      </c>
      <c r="X289" s="8" t="e">
        <f t="shared" si="41"/>
        <v>#N/A</v>
      </c>
      <c r="Y289" s="8" t="e">
        <f t="shared" si="41"/>
        <v>#N/A</v>
      </c>
      <c r="Z289" s="8" t="e">
        <f t="shared" si="41"/>
        <v>#N/A</v>
      </c>
      <c r="AA289" s="8" t="e">
        <f t="shared" si="41"/>
        <v>#N/A</v>
      </c>
      <c r="AB289" s="8" t="e">
        <f t="shared" si="41"/>
        <v>#N/A</v>
      </c>
      <c r="AC289" s="8" t="e">
        <f t="shared" si="41"/>
        <v>#N/A</v>
      </c>
    </row>
    <row r="290" spans="13:29">
      <c r="M290" s="14">
        <v>282</v>
      </c>
      <c r="N290" s="8" t="e">
        <f t="shared" si="40"/>
        <v>#N/A</v>
      </c>
      <c r="O290" s="8" t="e">
        <f t="shared" si="40"/>
        <v>#N/A</v>
      </c>
      <c r="P290" s="8" t="e">
        <f t="shared" si="40"/>
        <v>#N/A</v>
      </c>
      <c r="Q290" s="8" t="e">
        <f t="shared" si="40"/>
        <v>#N/A</v>
      </c>
      <c r="R290" s="8" t="e">
        <f t="shared" si="40"/>
        <v>#N/A</v>
      </c>
      <c r="S290" s="8" t="e">
        <f t="shared" si="40"/>
        <v>#N/A</v>
      </c>
      <c r="T290" s="8" t="e">
        <f t="shared" si="40"/>
        <v>#N/A</v>
      </c>
      <c r="U290" s="8" t="e">
        <f t="shared" si="40"/>
        <v>#N/A</v>
      </c>
      <c r="V290" s="8" t="e">
        <f t="shared" si="41"/>
        <v>#N/A</v>
      </c>
      <c r="W290" s="8" t="e">
        <f t="shared" si="41"/>
        <v>#N/A</v>
      </c>
      <c r="X290" s="8" t="e">
        <f t="shared" si="41"/>
        <v>#N/A</v>
      </c>
      <c r="Y290" s="8" t="e">
        <f t="shared" si="41"/>
        <v>#N/A</v>
      </c>
      <c r="Z290" s="8" t="e">
        <f t="shared" si="41"/>
        <v>#N/A</v>
      </c>
      <c r="AA290" s="8" t="e">
        <f t="shared" si="41"/>
        <v>#N/A</v>
      </c>
      <c r="AB290" s="8" t="e">
        <f t="shared" si="41"/>
        <v>#N/A</v>
      </c>
      <c r="AC290" s="8" t="e">
        <f t="shared" si="41"/>
        <v>#N/A</v>
      </c>
    </row>
    <row r="291" spans="13:29">
      <c r="M291" s="14">
        <v>283</v>
      </c>
      <c r="N291" s="8" t="e">
        <f t="shared" si="40"/>
        <v>#N/A</v>
      </c>
      <c r="O291" s="8" t="e">
        <f t="shared" si="40"/>
        <v>#N/A</v>
      </c>
      <c r="P291" s="8" t="e">
        <f t="shared" si="40"/>
        <v>#N/A</v>
      </c>
      <c r="Q291" s="8" t="e">
        <f t="shared" si="40"/>
        <v>#N/A</v>
      </c>
      <c r="R291" s="8" t="e">
        <f t="shared" si="40"/>
        <v>#N/A</v>
      </c>
      <c r="S291" s="8" t="e">
        <f t="shared" si="40"/>
        <v>#N/A</v>
      </c>
      <c r="T291" s="8" t="e">
        <f t="shared" si="40"/>
        <v>#N/A</v>
      </c>
      <c r="U291" s="8" t="e">
        <f t="shared" si="40"/>
        <v>#N/A</v>
      </c>
      <c r="V291" s="8" t="e">
        <f t="shared" si="41"/>
        <v>#N/A</v>
      </c>
      <c r="W291" s="8" t="e">
        <f t="shared" si="41"/>
        <v>#N/A</v>
      </c>
      <c r="X291" s="8" t="e">
        <f t="shared" si="41"/>
        <v>#N/A</v>
      </c>
      <c r="Y291" s="8" t="e">
        <f t="shared" si="41"/>
        <v>#N/A</v>
      </c>
      <c r="Z291" s="8" t="e">
        <f t="shared" si="41"/>
        <v>#N/A</v>
      </c>
      <c r="AA291" s="8" t="e">
        <f t="shared" si="41"/>
        <v>#N/A</v>
      </c>
      <c r="AB291" s="8" t="e">
        <f t="shared" si="41"/>
        <v>#N/A</v>
      </c>
      <c r="AC291" s="8" t="e">
        <f t="shared" si="41"/>
        <v>#N/A</v>
      </c>
    </row>
    <row r="292" spans="13:29">
      <c r="M292" s="14">
        <v>284</v>
      </c>
      <c r="N292" s="8" t="e">
        <f t="shared" si="40"/>
        <v>#N/A</v>
      </c>
      <c r="O292" s="8" t="e">
        <f t="shared" si="40"/>
        <v>#N/A</v>
      </c>
      <c r="P292" s="8" t="e">
        <f t="shared" si="40"/>
        <v>#N/A</v>
      </c>
      <c r="Q292" s="8" t="e">
        <f t="shared" si="40"/>
        <v>#N/A</v>
      </c>
      <c r="R292" s="8" t="e">
        <f t="shared" si="40"/>
        <v>#N/A</v>
      </c>
      <c r="S292" s="8" t="e">
        <f t="shared" si="40"/>
        <v>#N/A</v>
      </c>
      <c r="T292" s="8" t="e">
        <f t="shared" si="40"/>
        <v>#N/A</v>
      </c>
      <c r="U292" s="8" t="e">
        <f t="shared" si="40"/>
        <v>#N/A</v>
      </c>
      <c r="V292" s="8" t="e">
        <f t="shared" si="41"/>
        <v>#N/A</v>
      </c>
      <c r="W292" s="8" t="e">
        <f t="shared" si="41"/>
        <v>#N/A</v>
      </c>
      <c r="X292" s="8" t="e">
        <f t="shared" si="41"/>
        <v>#N/A</v>
      </c>
      <c r="Y292" s="8" t="e">
        <f t="shared" si="41"/>
        <v>#N/A</v>
      </c>
      <c r="Z292" s="8" t="e">
        <f t="shared" si="41"/>
        <v>#N/A</v>
      </c>
      <c r="AA292" s="8" t="e">
        <f t="shared" si="41"/>
        <v>#N/A</v>
      </c>
      <c r="AB292" s="8" t="e">
        <f t="shared" si="41"/>
        <v>#N/A</v>
      </c>
      <c r="AC292" s="8" t="e">
        <f t="shared" si="41"/>
        <v>#N/A</v>
      </c>
    </row>
    <row r="293" spans="13:29">
      <c r="M293" s="14">
        <v>285</v>
      </c>
      <c r="N293" s="8" t="e">
        <f t="shared" si="40"/>
        <v>#N/A</v>
      </c>
      <c r="O293" s="8" t="e">
        <f t="shared" si="40"/>
        <v>#N/A</v>
      </c>
      <c r="P293" s="8" t="e">
        <f t="shared" si="40"/>
        <v>#N/A</v>
      </c>
      <c r="Q293" s="8" t="e">
        <f t="shared" si="40"/>
        <v>#N/A</v>
      </c>
      <c r="R293" s="8" t="e">
        <f t="shared" si="40"/>
        <v>#N/A</v>
      </c>
      <c r="S293" s="8" t="e">
        <f t="shared" si="40"/>
        <v>#N/A</v>
      </c>
      <c r="T293" s="8" t="e">
        <f t="shared" si="40"/>
        <v>#N/A</v>
      </c>
      <c r="U293" s="8" t="e">
        <f t="shared" si="40"/>
        <v>#N/A</v>
      </c>
      <c r="V293" s="8" t="e">
        <f t="shared" si="41"/>
        <v>#N/A</v>
      </c>
      <c r="W293" s="8" t="e">
        <f t="shared" si="41"/>
        <v>#N/A</v>
      </c>
      <c r="X293" s="8" t="e">
        <f t="shared" si="41"/>
        <v>#N/A</v>
      </c>
      <c r="Y293" s="8" t="e">
        <f t="shared" si="41"/>
        <v>#N/A</v>
      </c>
      <c r="Z293" s="8" t="e">
        <f t="shared" si="41"/>
        <v>#N/A</v>
      </c>
      <c r="AA293" s="8" t="e">
        <f t="shared" si="41"/>
        <v>#N/A</v>
      </c>
      <c r="AB293" s="8" t="e">
        <f t="shared" si="41"/>
        <v>#N/A</v>
      </c>
      <c r="AC293" s="8" t="e">
        <f t="shared" si="41"/>
        <v>#N/A</v>
      </c>
    </row>
    <row r="294" spans="13:29">
      <c r="M294" s="14">
        <v>286</v>
      </c>
      <c r="N294" s="8" t="e">
        <f t="shared" si="40"/>
        <v>#N/A</v>
      </c>
      <c r="O294" s="8" t="e">
        <f t="shared" si="40"/>
        <v>#N/A</v>
      </c>
      <c r="P294" s="8" t="e">
        <f t="shared" si="40"/>
        <v>#N/A</v>
      </c>
      <c r="Q294" s="8" t="e">
        <f t="shared" si="40"/>
        <v>#N/A</v>
      </c>
      <c r="R294" s="8" t="e">
        <f t="shared" si="40"/>
        <v>#N/A</v>
      </c>
      <c r="S294" s="8" t="e">
        <f t="shared" si="40"/>
        <v>#N/A</v>
      </c>
      <c r="T294" s="8" t="e">
        <f t="shared" si="40"/>
        <v>#N/A</v>
      </c>
      <c r="U294" s="8" t="e">
        <f t="shared" si="40"/>
        <v>#N/A</v>
      </c>
      <c r="V294" s="8" t="e">
        <f t="shared" si="41"/>
        <v>#N/A</v>
      </c>
      <c r="W294" s="8" t="e">
        <f t="shared" si="41"/>
        <v>#N/A</v>
      </c>
      <c r="X294" s="8" t="e">
        <f t="shared" si="41"/>
        <v>#N/A</v>
      </c>
      <c r="Y294" s="8" t="e">
        <f t="shared" si="41"/>
        <v>#N/A</v>
      </c>
      <c r="Z294" s="8" t="e">
        <f t="shared" si="41"/>
        <v>#N/A</v>
      </c>
      <c r="AA294" s="8" t="e">
        <f t="shared" si="41"/>
        <v>#N/A</v>
      </c>
      <c r="AB294" s="8" t="e">
        <f t="shared" si="41"/>
        <v>#N/A</v>
      </c>
      <c r="AC294" s="8" t="e">
        <f t="shared" si="41"/>
        <v>#N/A</v>
      </c>
    </row>
    <row r="295" spans="13:29">
      <c r="M295" s="14">
        <v>287</v>
      </c>
      <c r="N295" s="8" t="e">
        <f t="shared" si="40"/>
        <v>#N/A</v>
      </c>
      <c r="O295" s="8" t="e">
        <f t="shared" si="40"/>
        <v>#N/A</v>
      </c>
      <c r="P295" s="8" t="e">
        <f t="shared" si="40"/>
        <v>#N/A</v>
      </c>
      <c r="Q295" s="8" t="e">
        <f t="shared" si="40"/>
        <v>#N/A</v>
      </c>
      <c r="R295" s="8" t="e">
        <f t="shared" si="40"/>
        <v>#N/A</v>
      </c>
      <c r="S295" s="8" t="e">
        <f t="shared" si="40"/>
        <v>#N/A</v>
      </c>
      <c r="T295" s="8" t="e">
        <f t="shared" si="40"/>
        <v>#N/A</v>
      </c>
      <c r="U295" s="8" t="e">
        <f t="shared" si="40"/>
        <v>#N/A</v>
      </c>
      <c r="V295" s="8" t="e">
        <f t="shared" si="41"/>
        <v>#N/A</v>
      </c>
      <c r="W295" s="8" t="e">
        <f t="shared" si="41"/>
        <v>#N/A</v>
      </c>
      <c r="X295" s="8" t="e">
        <f t="shared" si="41"/>
        <v>#N/A</v>
      </c>
      <c r="Y295" s="8" t="e">
        <f t="shared" si="41"/>
        <v>#N/A</v>
      </c>
      <c r="Z295" s="8" t="e">
        <f t="shared" si="41"/>
        <v>#N/A</v>
      </c>
      <c r="AA295" s="8" t="e">
        <f t="shared" si="41"/>
        <v>#N/A</v>
      </c>
      <c r="AB295" s="8" t="e">
        <f t="shared" si="41"/>
        <v>#N/A</v>
      </c>
      <c r="AC295" s="8" t="e">
        <f t="shared" si="41"/>
        <v>#N/A</v>
      </c>
    </row>
    <row r="296" spans="13:29">
      <c r="M296" s="14">
        <v>288</v>
      </c>
      <c r="N296" s="8" t="e">
        <f t="shared" si="40"/>
        <v>#N/A</v>
      </c>
      <c r="O296" s="8" t="e">
        <f t="shared" si="40"/>
        <v>#N/A</v>
      </c>
      <c r="P296" s="8" t="e">
        <f t="shared" si="40"/>
        <v>#N/A</v>
      </c>
      <c r="Q296" s="8" t="e">
        <f t="shared" si="40"/>
        <v>#N/A</v>
      </c>
      <c r="R296" s="8" t="e">
        <f t="shared" si="40"/>
        <v>#N/A</v>
      </c>
      <c r="S296" s="8" t="e">
        <f t="shared" si="40"/>
        <v>#N/A</v>
      </c>
      <c r="T296" s="8" t="e">
        <f t="shared" si="40"/>
        <v>#N/A</v>
      </c>
      <c r="U296" s="8" t="e">
        <f t="shared" si="40"/>
        <v>#N/A</v>
      </c>
      <c r="V296" s="8" t="e">
        <f t="shared" si="41"/>
        <v>#N/A</v>
      </c>
      <c r="W296" s="8" t="e">
        <f t="shared" si="41"/>
        <v>#N/A</v>
      </c>
      <c r="X296" s="8" t="e">
        <f t="shared" si="41"/>
        <v>#N/A</v>
      </c>
      <c r="Y296" s="8" t="e">
        <f t="shared" si="41"/>
        <v>#N/A</v>
      </c>
      <c r="Z296" s="8" t="e">
        <f t="shared" si="41"/>
        <v>#N/A</v>
      </c>
      <c r="AA296" s="8" t="e">
        <f t="shared" si="41"/>
        <v>#N/A</v>
      </c>
      <c r="AB296" s="8" t="e">
        <f t="shared" si="41"/>
        <v>#N/A</v>
      </c>
      <c r="AC296" s="8" t="e">
        <f t="shared" si="41"/>
        <v>#N/A</v>
      </c>
    </row>
    <row r="297" spans="13:29">
      <c r="M297" s="14">
        <v>289</v>
      </c>
      <c r="N297" s="8" t="e">
        <f t="shared" ref="N297:U312" si="42">IF($M297&lt;=100/$G$15*$H$15,N$5,NA())</f>
        <v>#N/A</v>
      </c>
      <c r="O297" s="8" t="e">
        <f t="shared" si="42"/>
        <v>#N/A</v>
      </c>
      <c r="P297" s="8" t="e">
        <f t="shared" si="42"/>
        <v>#N/A</v>
      </c>
      <c r="Q297" s="8" t="e">
        <f t="shared" si="42"/>
        <v>#N/A</v>
      </c>
      <c r="R297" s="8" t="e">
        <f t="shared" si="42"/>
        <v>#N/A</v>
      </c>
      <c r="S297" s="8" t="e">
        <f t="shared" si="42"/>
        <v>#N/A</v>
      </c>
      <c r="T297" s="8" t="e">
        <f t="shared" si="42"/>
        <v>#N/A</v>
      </c>
      <c r="U297" s="8" t="e">
        <f t="shared" si="42"/>
        <v>#N/A</v>
      </c>
      <c r="V297" s="8" t="e">
        <f t="shared" ref="V297:AC312" si="43">IF($M297&lt;=INDEX($K$5:$K$12,V$6)/$G$15*$H$15,V$5,NA())</f>
        <v>#N/A</v>
      </c>
      <c r="W297" s="8" t="e">
        <f t="shared" si="43"/>
        <v>#N/A</v>
      </c>
      <c r="X297" s="8" t="e">
        <f t="shared" si="43"/>
        <v>#N/A</v>
      </c>
      <c r="Y297" s="8" t="e">
        <f t="shared" si="43"/>
        <v>#N/A</v>
      </c>
      <c r="Z297" s="8" t="e">
        <f t="shared" si="43"/>
        <v>#N/A</v>
      </c>
      <c r="AA297" s="8" t="e">
        <f t="shared" si="43"/>
        <v>#N/A</v>
      </c>
      <c r="AB297" s="8" t="e">
        <f t="shared" si="43"/>
        <v>#N/A</v>
      </c>
      <c r="AC297" s="8" t="e">
        <f t="shared" si="43"/>
        <v>#N/A</v>
      </c>
    </row>
    <row r="298" spans="13:29">
      <c r="M298" s="14">
        <v>290</v>
      </c>
      <c r="N298" s="8" t="e">
        <f t="shared" si="42"/>
        <v>#N/A</v>
      </c>
      <c r="O298" s="8" t="e">
        <f t="shared" si="42"/>
        <v>#N/A</v>
      </c>
      <c r="P298" s="8" t="e">
        <f t="shared" si="42"/>
        <v>#N/A</v>
      </c>
      <c r="Q298" s="8" t="e">
        <f t="shared" si="42"/>
        <v>#N/A</v>
      </c>
      <c r="R298" s="8" t="e">
        <f t="shared" si="42"/>
        <v>#N/A</v>
      </c>
      <c r="S298" s="8" t="e">
        <f t="shared" si="42"/>
        <v>#N/A</v>
      </c>
      <c r="T298" s="8" t="e">
        <f t="shared" si="42"/>
        <v>#N/A</v>
      </c>
      <c r="U298" s="8" t="e">
        <f t="shared" si="42"/>
        <v>#N/A</v>
      </c>
      <c r="V298" s="8" t="e">
        <f t="shared" si="43"/>
        <v>#N/A</v>
      </c>
      <c r="W298" s="8" t="e">
        <f t="shared" si="43"/>
        <v>#N/A</v>
      </c>
      <c r="X298" s="8" t="e">
        <f t="shared" si="43"/>
        <v>#N/A</v>
      </c>
      <c r="Y298" s="8" t="e">
        <f t="shared" si="43"/>
        <v>#N/A</v>
      </c>
      <c r="Z298" s="8" t="e">
        <f t="shared" si="43"/>
        <v>#N/A</v>
      </c>
      <c r="AA298" s="8" t="e">
        <f t="shared" si="43"/>
        <v>#N/A</v>
      </c>
      <c r="AB298" s="8" t="e">
        <f t="shared" si="43"/>
        <v>#N/A</v>
      </c>
      <c r="AC298" s="8" t="e">
        <f t="shared" si="43"/>
        <v>#N/A</v>
      </c>
    </row>
    <row r="299" spans="13:29">
      <c r="M299" s="14">
        <v>291</v>
      </c>
      <c r="N299" s="8" t="e">
        <f t="shared" si="42"/>
        <v>#N/A</v>
      </c>
      <c r="O299" s="8" t="e">
        <f t="shared" si="42"/>
        <v>#N/A</v>
      </c>
      <c r="P299" s="8" t="e">
        <f t="shared" si="42"/>
        <v>#N/A</v>
      </c>
      <c r="Q299" s="8" t="e">
        <f t="shared" si="42"/>
        <v>#N/A</v>
      </c>
      <c r="R299" s="8" t="e">
        <f t="shared" si="42"/>
        <v>#N/A</v>
      </c>
      <c r="S299" s="8" t="e">
        <f t="shared" si="42"/>
        <v>#N/A</v>
      </c>
      <c r="T299" s="8" t="e">
        <f t="shared" si="42"/>
        <v>#N/A</v>
      </c>
      <c r="U299" s="8" t="e">
        <f t="shared" si="42"/>
        <v>#N/A</v>
      </c>
      <c r="V299" s="8" t="e">
        <f t="shared" si="43"/>
        <v>#N/A</v>
      </c>
      <c r="W299" s="8" t="e">
        <f t="shared" si="43"/>
        <v>#N/A</v>
      </c>
      <c r="X299" s="8" t="e">
        <f t="shared" si="43"/>
        <v>#N/A</v>
      </c>
      <c r="Y299" s="8" t="e">
        <f t="shared" si="43"/>
        <v>#N/A</v>
      </c>
      <c r="Z299" s="8" t="e">
        <f t="shared" si="43"/>
        <v>#N/A</v>
      </c>
      <c r="AA299" s="8" t="e">
        <f t="shared" si="43"/>
        <v>#N/A</v>
      </c>
      <c r="AB299" s="8" t="e">
        <f t="shared" si="43"/>
        <v>#N/A</v>
      </c>
      <c r="AC299" s="8" t="e">
        <f t="shared" si="43"/>
        <v>#N/A</v>
      </c>
    </row>
    <row r="300" spans="13:29">
      <c r="M300" s="14">
        <v>292</v>
      </c>
      <c r="N300" s="8" t="e">
        <f t="shared" si="42"/>
        <v>#N/A</v>
      </c>
      <c r="O300" s="8" t="e">
        <f t="shared" si="42"/>
        <v>#N/A</v>
      </c>
      <c r="P300" s="8" t="e">
        <f t="shared" si="42"/>
        <v>#N/A</v>
      </c>
      <c r="Q300" s="8" t="e">
        <f t="shared" si="42"/>
        <v>#N/A</v>
      </c>
      <c r="R300" s="8" t="e">
        <f t="shared" si="42"/>
        <v>#N/A</v>
      </c>
      <c r="S300" s="8" t="e">
        <f t="shared" si="42"/>
        <v>#N/A</v>
      </c>
      <c r="T300" s="8" t="e">
        <f t="shared" si="42"/>
        <v>#N/A</v>
      </c>
      <c r="U300" s="8" t="e">
        <f t="shared" si="42"/>
        <v>#N/A</v>
      </c>
      <c r="V300" s="8" t="e">
        <f t="shared" si="43"/>
        <v>#N/A</v>
      </c>
      <c r="W300" s="8" t="e">
        <f t="shared" si="43"/>
        <v>#N/A</v>
      </c>
      <c r="X300" s="8" t="e">
        <f t="shared" si="43"/>
        <v>#N/A</v>
      </c>
      <c r="Y300" s="8" t="e">
        <f t="shared" si="43"/>
        <v>#N/A</v>
      </c>
      <c r="Z300" s="8" t="e">
        <f t="shared" si="43"/>
        <v>#N/A</v>
      </c>
      <c r="AA300" s="8" t="e">
        <f t="shared" si="43"/>
        <v>#N/A</v>
      </c>
      <c r="AB300" s="8" t="e">
        <f t="shared" si="43"/>
        <v>#N/A</v>
      </c>
      <c r="AC300" s="8" t="e">
        <f t="shared" si="43"/>
        <v>#N/A</v>
      </c>
    </row>
    <row r="301" spans="13:29">
      <c r="M301" s="14">
        <v>293</v>
      </c>
      <c r="N301" s="8" t="e">
        <f t="shared" si="42"/>
        <v>#N/A</v>
      </c>
      <c r="O301" s="8" t="e">
        <f t="shared" si="42"/>
        <v>#N/A</v>
      </c>
      <c r="P301" s="8" t="e">
        <f t="shared" si="42"/>
        <v>#N/A</v>
      </c>
      <c r="Q301" s="8" t="e">
        <f t="shared" si="42"/>
        <v>#N/A</v>
      </c>
      <c r="R301" s="8" t="e">
        <f t="shared" si="42"/>
        <v>#N/A</v>
      </c>
      <c r="S301" s="8" t="e">
        <f t="shared" si="42"/>
        <v>#N/A</v>
      </c>
      <c r="T301" s="8" t="e">
        <f t="shared" si="42"/>
        <v>#N/A</v>
      </c>
      <c r="U301" s="8" t="e">
        <f t="shared" si="42"/>
        <v>#N/A</v>
      </c>
      <c r="V301" s="8" t="e">
        <f t="shared" si="43"/>
        <v>#N/A</v>
      </c>
      <c r="W301" s="8" t="e">
        <f t="shared" si="43"/>
        <v>#N/A</v>
      </c>
      <c r="X301" s="8" t="e">
        <f t="shared" si="43"/>
        <v>#N/A</v>
      </c>
      <c r="Y301" s="8" t="e">
        <f t="shared" si="43"/>
        <v>#N/A</v>
      </c>
      <c r="Z301" s="8" t="e">
        <f t="shared" si="43"/>
        <v>#N/A</v>
      </c>
      <c r="AA301" s="8" t="e">
        <f t="shared" si="43"/>
        <v>#N/A</v>
      </c>
      <c r="AB301" s="8" t="e">
        <f t="shared" si="43"/>
        <v>#N/A</v>
      </c>
      <c r="AC301" s="8" t="e">
        <f t="shared" si="43"/>
        <v>#N/A</v>
      </c>
    </row>
    <row r="302" spans="13:29">
      <c r="M302" s="14">
        <v>294</v>
      </c>
      <c r="N302" s="8" t="e">
        <f t="shared" si="42"/>
        <v>#N/A</v>
      </c>
      <c r="O302" s="8" t="e">
        <f t="shared" si="42"/>
        <v>#N/A</v>
      </c>
      <c r="P302" s="8" t="e">
        <f t="shared" si="42"/>
        <v>#N/A</v>
      </c>
      <c r="Q302" s="8" t="e">
        <f t="shared" si="42"/>
        <v>#N/A</v>
      </c>
      <c r="R302" s="8" t="e">
        <f t="shared" si="42"/>
        <v>#N/A</v>
      </c>
      <c r="S302" s="8" t="e">
        <f t="shared" si="42"/>
        <v>#N/A</v>
      </c>
      <c r="T302" s="8" t="e">
        <f t="shared" si="42"/>
        <v>#N/A</v>
      </c>
      <c r="U302" s="8" t="e">
        <f t="shared" si="42"/>
        <v>#N/A</v>
      </c>
      <c r="V302" s="8" t="e">
        <f t="shared" si="43"/>
        <v>#N/A</v>
      </c>
      <c r="W302" s="8" t="e">
        <f t="shared" si="43"/>
        <v>#N/A</v>
      </c>
      <c r="X302" s="8" t="e">
        <f t="shared" si="43"/>
        <v>#N/A</v>
      </c>
      <c r="Y302" s="8" t="e">
        <f t="shared" si="43"/>
        <v>#N/A</v>
      </c>
      <c r="Z302" s="8" t="e">
        <f t="shared" si="43"/>
        <v>#N/A</v>
      </c>
      <c r="AA302" s="8" t="e">
        <f t="shared" si="43"/>
        <v>#N/A</v>
      </c>
      <c r="AB302" s="8" t="e">
        <f t="shared" si="43"/>
        <v>#N/A</v>
      </c>
      <c r="AC302" s="8" t="e">
        <f t="shared" si="43"/>
        <v>#N/A</v>
      </c>
    </row>
    <row r="303" spans="13:29">
      <c r="M303" s="14">
        <v>295</v>
      </c>
      <c r="N303" s="8" t="e">
        <f t="shared" si="42"/>
        <v>#N/A</v>
      </c>
      <c r="O303" s="8" t="e">
        <f t="shared" si="42"/>
        <v>#N/A</v>
      </c>
      <c r="P303" s="8" t="e">
        <f t="shared" si="42"/>
        <v>#N/A</v>
      </c>
      <c r="Q303" s="8" t="e">
        <f t="shared" si="42"/>
        <v>#N/A</v>
      </c>
      <c r="R303" s="8" t="e">
        <f t="shared" si="42"/>
        <v>#N/A</v>
      </c>
      <c r="S303" s="8" t="e">
        <f t="shared" si="42"/>
        <v>#N/A</v>
      </c>
      <c r="T303" s="8" t="e">
        <f t="shared" si="42"/>
        <v>#N/A</v>
      </c>
      <c r="U303" s="8" t="e">
        <f t="shared" si="42"/>
        <v>#N/A</v>
      </c>
      <c r="V303" s="8" t="e">
        <f t="shared" si="43"/>
        <v>#N/A</v>
      </c>
      <c r="W303" s="8" t="e">
        <f t="shared" si="43"/>
        <v>#N/A</v>
      </c>
      <c r="X303" s="8" t="e">
        <f t="shared" si="43"/>
        <v>#N/A</v>
      </c>
      <c r="Y303" s="8" t="e">
        <f t="shared" si="43"/>
        <v>#N/A</v>
      </c>
      <c r="Z303" s="8" t="e">
        <f t="shared" si="43"/>
        <v>#N/A</v>
      </c>
      <c r="AA303" s="8" t="e">
        <f t="shared" si="43"/>
        <v>#N/A</v>
      </c>
      <c r="AB303" s="8" t="e">
        <f t="shared" si="43"/>
        <v>#N/A</v>
      </c>
      <c r="AC303" s="8" t="e">
        <f t="shared" si="43"/>
        <v>#N/A</v>
      </c>
    </row>
    <row r="304" spans="13:29">
      <c r="M304" s="14">
        <v>296</v>
      </c>
      <c r="N304" s="8" t="e">
        <f t="shared" si="42"/>
        <v>#N/A</v>
      </c>
      <c r="O304" s="8" t="e">
        <f t="shared" si="42"/>
        <v>#N/A</v>
      </c>
      <c r="P304" s="8" t="e">
        <f t="shared" si="42"/>
        <v>#N/A</v>
      </c>
      <c r="Q304" s="8" t="e">
        <f t="shared" si="42"/>
        <v>#N/A</v>
      </c>
      <c r="R304" s="8" t="e">
        <f t="shared" si="42"/>
        <v>#N/A</v>
      </c>
      <c r="S304" s="8" t="e">
        <f t="shared" si="42"/>
        <v>#N/A</v>
      </c>
      <c r="T304" s="8" t="e">
        <f t="shared" si="42"/>
        <v>#N/A</v>
      </c>
      <c r="U304" s="8" t="e">
        <f t="shared" si="42"/>
        <v>#N/A</v>
      </c>
      <c r="V304" s="8" t="e">
        <f t="shared" si="43"/>
        <v>#N/A</v>
      </c>
      <c r="W304" s="8" t="e">
        <f t="shared" si="43"/>
        <v>#N/A</v>
      </c>
      <c r="X304" s="8" t="e">
        <f t="shared" si="43"/>
        <v>#N/A</v>
      </c>
      <c r="Y304" s="8" t="e">
        <f t="shared" si="43"/>
        <v>#N/A</v>
      </c>
      <c r="Z304" s="8" t="e">
        <f t="shared" si="43"/>
        <v>#N/A</v>
      </c>
      <c r="AA304" s="8" t="e">
        <f t="shared" si="43"/>
        <v>#N/A</v>
      </c>
      <c r="AB304" s="8" t="e">
        <f t="shared" si="43"/>
        <v>#N/A</v>
      </c>
      <c r="AC304" s="8" t="e">
        <f t="shared" si="43"/>
        <v>#N/A</v>
      </c>
    </row>
    <row r="305" spans="13:29">
      <c r="M305" s="14">
        <v>297</v>
      </c>
      <c r="N305" s="8" t="e">
        <f t="shared" si="42"/>
        <v>#N/A</v>
      </c>
      <c r="O305" s="8" t="e">
        <f t="shared" si="42"/>
        <v>#N/A</v>
      </c>
      <c r="P305" s="8" t="e">
        <f t="shared" si="42"/>
        <v>#N/A</v>
      </c>
      <c r="Q305" s="8" t="e">
        <f t="shared" si="42"/>
        <v>#N/A</v>
      </c>
      <c r="R305" s="8" t="e">
        <f t="shared" si="42"/>
        <v>#N/A</v>
      </c>
      <c r="S305" s="8" t="e">
        <f t="shared" si="42"/>
        <v>#N/A</v>
      </c>
      <c r="T305" s="8" t="e">
        <f t="shared" si="42"/>
        <v>#N/A</v>
      </c>
      <c r="U305" s="8" t="e">
        <f t="shared" si="42"/>
        <v>#N/A</v>
      </c>
      <c r="V305" s="8" t="e">
        <f t="shared" si="43"/>
        <v>#N/A</v>
      </c>
      <c r="W305" s="8" t="e">
        <f t="shared" si="43"/>
        <v>#N/A</v>
      </c>
      <c r="X305" s="8" t="e">
        <f t="shared" si="43"/>
        <v>#N/A</v>
      </c>
      <c r="Y305" s="8" t="e">
        <f t="shared" si="43"/>
        <v>#N/A</v>
      </c>
      <c r="Z305" s="8" t="e">
        <f t="shared" si="43"/>
        <v>#N/A</v>
      </c>
      <c r="AA305" s="8" t="e">
        <f t="shared" si="43"/>
        <v>#N/A</v>
      </c>
      <c r="AB305" s="8" t="e">
        <f t="shared" si="43"/>
        <v>#N/A</v>
      </c>
      <c r="AC305" s="8" t="e">
        <f t="shared" si="43"/>
        <v>#N/A</v>
      </c>
    </row>
    <row r="306" spans="13:29">
      <c r="M306" s="14">
        <v>298</v>
      </c>
      <c r="N306" s="8" t="e">
        <f t="shared" si="42"/>
        <v>#N/A</v>
      </c>
      <c r="O306" s="8" t="e">
        <f t="shared" si="42"/>
        <v>#N/A</v>
      </c>
      <c r="P306" s="8" t="e">
        <f t="shared" si="42"/>
        <v>#N/A</v>
      </c>
      <c r="Q306" s="8" t="e">
        <f t="shared" si="42"/>
        <v>#N/A</v>
      </c>
      <c r="R306" s="8" t="e">
        <f t="shared" si="42"/>
        <v>#N/A</v>
      </c>
      <c r="S306" s="8" t="e">
        <f t="shared" si="42"/>
        <v>#N/A</v>
      </c>
      <c r="T306" s="8" t="e">
        <f t="shared" si="42"/>
        <v>#N/A</v>
      </c>
      <c r="U306" s="8" t="e">
        <f t="shared" si="42"/>
        <v>#N/A</v>
      </c>
      <c r="V306" s="8" t="e">
        <f t="shared" si="43"/>
        <v>#N/A</v>
      </c>
      <c r="W306" s="8" t="e">
        <f t="shared" si="43"/>
        <v>#N/A</v>
      </c>
      <c r="X306" s="8" t="e">
        <f t="shared" si="43"/>
        <v>#N/A</v>
      </c>
      <c r="Y306" s="8" t="e">
        <f t="shared" si="43"/>
        <v>#N/A</v>
      </c>
      <c r="Z306" s="8" t="e">
        <f t="shared" si="43"/>
        <v>#N/A</v>
      </c>
      <c r="AA306" s="8" t="e">
        <f t="shared" si="43"/>
        <v>#N/A</v>
      </c>
      <c r="AB306" s="8" t="e">
        <f t="shared" si="43"/>
        <v>#N/A</v>
      </c>
      <c r="AC306" s="8" t="e">
        <f t="shared" si="43"/>
        <v>#N/A</v>
      </c>
    </row>
    <row r="307" spans="13:29">
      <c r="M307" s="14">
        <v>299</v>
      </c>
      <c r="N307" s="8" t="e">
        <f t="shared" si="42"/>
        <v>#N/A</v>
      </c>
      <c r="O307" s="8" t="e">
        <f t="shared" si="42"/>
        <v>#N/A</v>
      </c>
      <c r="P307" s="8" t="e">
        <f t="shared" si="42"/>
        <v>#N/A</v>
      </c>
      <c r="Q307" s="8" t="e">
        <f t="shared" si="42"/>
        <v>#N/A</v>
      </c>
      <c r="R307" s="8" t="e">
        <f t="shared" si="42"/>
        <v>#N/A</v>
      </c>
      <c r="S307" s="8" t="e">
        <f t="shared" si="42"/>
        <v>#N/A</v>
      </c>
      <c r="T307" s="8" t="e">
        <f t="shared" si="42"/>
        <v>#N/A</v>
      </c>
      <c r="U307" s="8" t="e">
        <f t="shared" si="42"/>
        <v>#N/A</v>
      </c>
      <c r="V307" s="8" t="e">
        <f t="shared" si="43"/>
        <v>#N/A</v>
      </c>
      <c r="W307" s="8" t="e">
        <f t="shared" si="43"/>
        <v>#N/A</v>
      </c>
      <c r="X307" s="8" t="e">
        <f t="shared" si="43"/>
        <v>#N/A</v>
      </c>
      <c r="Y307" s="8" t="e">
        <f t="shared" si="43"/>
        <v>#N/A</v>
      </c>
      <c r="Z307" s="8" t="e">
        <f t="shared" si="43"/>
        <v>#N/A</v>
      </c>
      <c r="AA307" s="8" t="e">
        <f t="shared" si="43"/>
        <v>#N/A</v>
      </c>
      <c r="AB307" s="8" t="e">
        <f t="shared" si="43"/>
        <v>#N/A</v>
      </c>
      <c r="AC307" s="8" t="e">
        <f t="shared" si="43"/>
        <v>#N/A</v>
      </c>
    </row>
    <row r="308" spans="13:29">
      <c r="M308" s="14">
        <v>300</v>
      </c>
      <c r="N308" s="8" t="e">
        <f t="shared" si="42"/>
        <v>#N/A</v>
      </c>
      <c r="O308" s="8" t="e">
        <f t="shared" si="42"/>
        <v>#N/A</v>
      </c>
      <c r="P308" s="8" t="e">
        <f t="shared" si="42"/>
        <v>#N/A</v>
      </c>
      <c r="Q308" s="8" t="e">
        <f t="shared" si="42"/>
        <v>#N/A</v>
      </c>
      <c r="R308" s="8" t="e">
        <f t="shared" si="42"/>
        <v>#N/A</v>
      </c>
      <c r="S308" s="8" t="e">
        <f t="shared" si="42"/>
        <v>#N/A</v>
      </c>
      <c r="T308" s="8" t="e">
        <f t="shared" si="42"/>
        <v>#N/A</v>
      </c>
      <c r="U308" s="8" t="e">
        <f t="shared" si="42"/>
        <v>#N/A</v>
      </c>
      <c r="V308" s="8" t="e">
        <f t="shared" si="43"/>
        <v>#N/A</v>
      </c>
      <c r="W308" s="8" t="e">
        <f t="shared" si="43"/>
        <v>#N/A</v>
      </c>
      <c r="X308" s="8" t="e">
        <f t="shared" si="43"/>
        <v>#N/A</v>
      </c>
      <c r="Y308" s="8" t="e">
        <f t="shared" si="43"/>
        <v>#N/A</v>
      </c>
      <c r="Z308" s="8" t="e">
        <f t="shared" si="43"/>
        <v>#N/A</v>
      </c>
      <c r="AA308" s="8" t="e">
        <f t="shared" si="43"/>
        <v>#N/A</v>
      </c>
      <c r="AB308" s="8" t="e">
        <f t="shared" si="43"/>
        <v>#N/A</v>
      </c>
      <c r="AC308" s="8" t="e">
        <f t="shared" si="43"/>
        <v>#N/A</v>
      </c>
    </row>
    <row r="309" spans="13:29">
      <c r="M309" s="14">
        <v>301</v>
      </c>
      <c r="N309" s="8" t="e">
        <f t="shared" si="42"/>
        <v>#N/A</v>
      </c>
      <c r="O309" s="8" t="e">
        <f t="shared" si="42"/>
        <v>#N/A</v>
      </c>
      <c r="P309" s="8" t="e">
        <f t="shared" si="42"/>
        <v>#N/A</v>
      </c>
      <c r="Q309" s="8" t="e">
        <f t="shared" si="42"/>
        <v>#N/A</v>
      </c>
      <c r="R309" s="8" t="e">
        <f t="shared" si="42"/>
        <v>#N/A</v>
      </c>
      <c r="S309" s="8" t="e">
        <f t="shared" si="42"/>
        <v>#N/A</v>
      </c>
      <c r="T309" s="8" t="e">
        <f t="shared" si="42"/>
        <v>#N/A</v>
      </c>
      <c r="U309" s="8" t="e">
        <f t="shared" si="42"/>
        <v>#N/A</v>
      </c>
      <c r="V309" s="8" t="e">
        <f t="shared" si="43"/>
        <v>#N/A</v>
      </c>
      <c r="W309" s="8" t="e">
        <f t="shared" si="43"/>
        <v>#N/A</v>
      </c>
      <c r="X309" s="8" t="e">
        <f t="shared" si="43"/>
        <v>#N/A</v>
      </c>
      <c r="Y309" s="8" t="e">
        <f t="shared" si="43"/>
        <v>#N/A</v>
      </c>
      <c r="Z309" s="8" t="e">
        <f t="shared" si="43"/>
        <v>#N/A</v>
      </c>
      <c r="AA309" s="8" t="e">
        <f t="shared" si="43"/>
        <v>#N/A</v>
      </c>
      <c r="AB309" s="8" t="e">
        <f t="shared" si="43"/>
        <v>#N/A</v>
      </c>
      <c r="AC309" s="8" t="e">
        <f t="shared" si="43"/>
        <v>#N/A</v>
      </c>
    </row>
    <row r="310" spans="13:29">
      <c r="M310" s="14">
        <v>302</v>
      </c>
      <c r="N310" s="8" t="e">
        <f t="shared" si="42"/>
        <v>#N/A</v>
      </c>
      <c r="O310" s="8" t="e">
        <f t="shared" si="42"/>
        <v>#N/A</v>
      </c>
      <c r="P310" s="8" t="e">
        <f t="shared" si="42"/>
        <v>#N/A</v>
      </c>
      <c r="Q310" s="8" t="e">
        <f t="shared" si="42"/>
        <v>#N/A</v>
      </c>
      <c r="R310" s="8" t="e">
        <f t="shared" si="42"/>
        <v>#N/A</v>
      </c>
      <c r="S310" s="8" t="e">
        <f t="shared" si="42"/>
        <v>#N/A</v>
      </c>
      <c r="T310" s="8" t="e">
        <f t="shared" si="42"/>
        <v>#N/A</v>
      </c>
      <c r="U310" s="8" t="e">
        <f t="shared" si="42"/>
        <v>#N/A</v>
      </c>
      <c r="V310" s="8" t="e">
        <f t="shared" si="43"/>
        <v>#N/A</v>
      </c>
      <c r="W310" s="8" t="e">
        <f t="shared" si="43"/>
        <v>#N/A</v>
      </c>
      <c r="X310" s="8" t="e">
        <f t="shared" si="43"/>
        <v>#N/A</v>
      </c>
      <c r="Y310" s="8" t="e">
        <f t="shared" si="43"/>
        <v>#N/A</v>
      </c>
      <c r="Z310" s="8" t="e">
        <f t="shared" si="43"/>
        <v>#N/A</v>
      </c>
      <c r="AA310" s="8" t="e">
        <f t="shared" si="43"/>
        <v>#N/A</v>
      </c>
      <c r="AB310" s="8" t="e">
        <f t="shared" si="43"/>
        <v>#N/A</v>
      </c>
      <c r="AC310" s="8" t="e">
        <f t="shared" si="43"/>
        <v>#N/A</v>
      </c>
    </row>
    <row r="311" spans="13:29">
      <c r="M311" s="14">
        <v>303</v>
      </c>
      <c r="N311" s="8" t="e">
        <f t="shared" si="42"/>
        <v>#N/A</v>
      </c>
      <c r="O311" s="8" t="e">
        <f t="shared" si="42"/>
        <v>#N/A</v>
      </c>
      <c r="P311" s="8" t="e">
        <f t="shared" si="42"/>
        <v>#N/A</v>
      </c>
      <c r="Q311" s="8" t="e">
        <f t="shared" si="42"/>
        <v>#N/A</v>
      </c>
      <c r="R311" s="8" t="e">
        <f t="shared" si="42"/>
        <v>#N/A</v>
      </c>
      <c r="S311" s="8" t="e">
        <f t="shared" si="42"/>
        <v>#N/A</v>
      </c>
      <c r="T311" s="8" t="e">
        <f t="shared" si="42"/>
        <v>#N/A</v>
      </c>
      <c r="U311" s="8" t="e">
        <f t="shared" si="42"/>
        <v>#N/A</v>
      </c>
      <c r="V311" s="8" t="e">
        <f t="shared" si="43"/>
        <v>#N/A</v>
      </c>
      <c r="W311" s="8" t="e">
        <f t="shared" si="43"/>
        <v>#N/A</v>
      </c>
      <c r="X311" s="8" t="e">
        <f t="shared" si="43"/>
        <v>#N/A</v>
      </c>
      <c r="Y311" s="8" t="e">
        <f t="shared" si="43"/>
        <v>#N/A</v>
      </c>
      <c r="Z311" s="8" t="e">
        <f t="shared" si="43"/>
        <v>#N/A</v>
      </c>
      <c r="AA311" s="8" t="e">
        <f t="shared" si="43"/>
        <v>#N/A</v>
      </c>
      <c r="AB311" s="8" t="e">
        <f t="shared" si="43"/>
        <v>#N/A</v>
      </c>
      <c r="AC311" s="8" t="e">
        <f t="shared" si="43"/>
        <v>#N/A</v>
      </c>
    </row>
    <row r="312" spans="13:29">
      <c r="M312" s="14">
        <v>304</v>
      </c>
      <c r="N312" s="8" t="e">
        <f t="shared" si="42"/>
        <v>#N/A</v>
      </c>
      <c r="O312" s="8" t="e">
        <f t="shared" si="42"/>
        <v>#N/A</v>
      </c>
      <c r="P312" s="8" t="e">
        <f t="shared" si="42"/>
        <v>#N/A</v>
      </c>
      <c r="Q312" s="8" t="e">
        <f t="shared" si="42"/>
        <v>#N/A</v>
      </c>
      <c r="R312" s="8" t="e">
        <f t="shared" si="42"/>
        <v>#N/A</v>
      </c>
      <c r="S312" s="8" t="e">
        <f t="shared" si="42"/>
        <v>#N/A</v>
      </c>
      <c r="T312" s="8" t="e">
        <f t="shared" si="42"/>
        <v>#N/A</v>
      </c>
      <c r="U312" s="8" t="e">
        <f t="shared" si="42"/>
        <v>#N/A</v>
      </c>
      <c r="V312" s="8" t="e">
        <f t="shared" si="43"/>
        <v>#N/A</v>
      </c>
      <c r="W312" s="8" t="e">
        <f t="shared" si="43"/>
        <v>#N/A</v>
      </c>
      <c r="X312" s="8" t="e">
        <f t="shared" si="43"/>
        <v>#N/A</v>
      </c>
      <c r="Y312" s="8" t="e">
        <f t="shared" si="43"/>
        <v>#N/A</v>
      </c>
      <c r="Z312" s="8" t="e">
        <f t="shared" si="43"/>
        <v>#N/A</v>
      </c>
      <c r="AA312" s="8" t="e">
        <f t="shared" si="43"/>
        <v>#N/A</v>
      </c>
      <c r="AB312" s="8" t="e">
        <f t="shared" si="43"/>
        <v>#N/A</v>
      </c>
      <c r="AC312" s="8" t="e">
        <f t="shared" si="43"/>
        <v>#N/A</v>
      </c>
    </row>
    <row r="313" spans="13:29">
      <c r="M313" s="14">
        <v>305</v>
      </c>
      <c r="N313" s="8" t="e">
        <f t="shared" ref="N313:U328" si="44">IF($M313&lt;=100/$G$15*$H$15,N$5,NA())</f>
        <v>#N/A</v>
      </c>
      <c r="O313" s="8" t="e">
        <f t="shared" si="44"/>
        <v>#N/A</v>
      </c>
      <c r="P313" s="8" t="e">
        <f t="shared" si="44"/>
        <v>#N/A</v>
      </c>
      <c r="Q313" s="8" t="e">
        <f t="shared" si="44"/>
        <v>#N/A</v>
      </c>
      <c r="R313" s="8" t="e">
        <f t="shared" si="44"/>
        <v>#N/A</v>
      </c>
      <c r="S313" s="8" t="e">
        <f t="shared" si="44"/>
        <v>#N/A</v>
      </c>
      <c r="T313" s="8" t="e">
        <f t="shared" si="44"/>
        <v>#N/A</v>
      </c>
      <c r="U313" s="8" t="e">
        <f t="shared" si="44"/>
        <v>#N/A</v>
      </c>
      <c r="V313" s="8" t="e">
        <f t="shared" ref="V313:AC328" si="45">IF($M313&lt;=INDEX($K$5:$K$12,V$6)/$G$15*$H$15,V$5,NA())</f>
        <v>#N/A</v>
      </c>
      <c r="W313" s="8" t="e">
        <f t="shared" si="45"/>
        <v>#N/A</v>
      </c>
      <c r="X313" s="8" t="e">
        <f t="shared" si="45"/>
        <v>#N/A</v>
      </c>
      <c r="Y313" s="8" t="e">
        <f t="shared" si="45"/>
        <v>#N/A</v>
      </c>
      <c r="Z313" s="8" t="e">
        <f t="shared" si="45"/>
        <v>#N/A</v>
      </c>
      <c r="AA313" s="8" t="e">
        <f t="shared" si="45"/>
        <v>#N/A</v>
      </c>
      <c r="AB313" s="8" t="e">
        <f t="shared" si="45"/>
        <v>#N/A</v>
      </c>
      <c r="AC313" s="8" t="e">
        <f t="shared" si="45"/>
        <v>#N/A</v>
      </c>
    </row>
    <row r="314" spans="13:29">
      <c r="M314" s="14">
        <v>306</v>
      </c>
      <c r="N314" s="8" t="e">
        <f t="shared" si="44"/>
        <v>#N/A</v>
      </c>
      <c r="O314" s="8" t="e">
        <f t="shared" si="44"/>
        <v>#N/A</v>
      </c>
      <c r="P314" s="8" t="e">
        <f t="shared" si="44"/>
        <v>#N/A</v>
      </c>
      <c r="Q314" s="8" t="e">
        <f t="shared" si="44"/>
        <v>#N/A</v>
      </c>
      <c r="R314" s="8" t="e">
        <f t="shared" si="44"/>
        <v>#N/A</v>
      </c>
      <c r="S314" s="8" t="e">
        <f t="shared" si="44"/>
        <v>#N/A</v>
      </c>
      <c r="T314" s="8" t="e">
        <f t="shared" si="44"/>
        <v>#N/A</v>
      </c>
      <c r="U314" s="8" t="e">
        <f t="shared" si="44"/>
        <v>#N/A</v>
      </c>
      <c r="V314" s="8" t="e">
        <f t="shared" si="45"/>
        <v>#N/A</v>
      </c>
      <c r="W314" s="8" t="e">
        <f t="shared" si="45"/>
        <v>#N/A</v>
      </c>
      <c r="X314" s="8" t="e">
        <f t="shared" si="45"/>
        <v>#N/A</v>
      </c>
      <c r="Y314" s="8" t="e">
        <f t="shared" si="45"/>
        <v>#N/A</v>
      </c>
      <c r="Z314" s="8" t="e">
        <f t="shared" si="45"/>
        <v>#N/A</v>
      </c>
      <c r="AA314" s="8" t="e">
        <f t="shared" si="45"/>
        <v>#N/A</v>
      </c>
      <c r="AB314" s="8" t="e">
        <f t="shared" si="45"/>
        <v>#N/A</v>
      </c>
      <c r="AC314" s="8" t="e">
        <f t="shared" si="45"/>
        <v>#N/A</v>
      </c>
    </row>
    <row r="315" spans="13:29">
      <c r="M315" s="14">
        <v>307</v>
      </c>
      <c r="N315" s="8" t="e">
        <f t="shared" si="44"/>
        <v>#N/A</v>
      </c>
      <c r="O315" s="8" t="e">
        <f t="shared" si="44"/>
        <v>#N/A</v>
      </c>
      <c r="P315" s="8" t="e">
        <f t="shared" si="44"/>
        <v>#N/A</v>
      </c>
      <c r="Q315" s="8" t="e">
        <f t="shared" si="44"/>
        <v>#N/A</v>
      </c>
      <c r="R315" s="8" t="e">
        <f t="shared" si="44"/>
        <v>#N/A</v>
      </c>
      <c r="S315" s="8" t="e">
        <f t="shared" si="44"/>
        <v>#N/A</v>
      </c>
      <c r="T315" s="8" t="e">
        <f t="shared" si="44"/>
        <v>#N/A</v>
      </c>
      <c r="U315" s="8" t="e">
        <f t="shared" si="44"/>
        <v>#N/A</v>
      </c>
      <c r="V315" s="8" t="e">
        <f t="shared" si="45"/>
        <v>#N/A</v>
      </c>
      <c r="W315" s="8" t="e">
        <f t="shared" si="45"/>
        <v>#N/A</v>
      </c>
      <c r="X315" s="8" t="e">
        <f t="shared" si="45"/>
        <v>#N/A</v>
      </c>
      <c r="Y315" s="8" t="e">
        <f t="shared" si="45"/>
        <v>#N/A</v>
      </c>
      <c r="Z315" s="8" t="e">
        <f t="shared" si="45"/>
        <v>#N/A</v>
      </c>
      <c r="AA315" s="8" t="e">
        <f t="shared" si="45"/>
        <v>#N/A</v>
      </c>
      <c r="AB315" s="8" t="e">
        <f t="shared" si="45"/>
        <v>#N/A</v>
      </c>
      <c r="AC315" s="8" t="e">
        <f t="shared" si="45"/>
        <v>#N/A</v>
      </c>
    </row>
    <row r="316" spans="13:29">
      <c r="M316" s="14">
        <v>308</v>
      </c>
      <c r="N316" s="8" t="e">
        <f t="shared" si="44"/>
        <v>#N/A</v>
      </c>
      <c r="O316" s="8" t="e">
        <f t="shared" si="44"/>
        <v>#N/A</v>
      </c>
      <c r="P316" s="8" t="e">
        <f t="shared" si="44"/>
        <v>#N/A</v>
      </c>
      <c r="Q316" s="8" t="e">
        <f t="shared" si="44"/>
        <v>#N/A</v>
      </c>
      <c r="R316" s="8" t="e">
        <f t="shared" si="44"/>
        <v>#N/A</v>
      </c>
      <c r="S316" s="8" t="e">
        <f t="shared" si="44"/>
        <v>#N/A</v>
      </c>
      <c r="T316" s="8" t="e">
        <f t="shared" si="44"/>
        <v>#N/A</v>
      </c>
      <c r="U316" s="8" t="e">
        <f t="shared" si="44"/>
        <v>#N/A</v>
      </c>
      <c r="V316" s="8" t="e">
        <f t="shared" si="45"/>
        <v>#N/A</v>
      </c>
      <c r="W316" s="8" t="e">
        <f t="shared" si="45"/>
        <v>#N/A</v>
      </c>
      <c r="X316" s="8" t="e">
        <f t="shared" si="45"/>
        <v>#N/A</v>
      </c>
      <c r="Y316" s="8" t="e">
        <f t="shared" si="45"/>
        <v>#N/A</v>
      </c>
      <c r="Z316" s="8" t="e">
        <f t="shared" si="45"/>
        <v>#N/A</v>
      </c>
      <c r="AA316" s="8" t="e">
        <f t="shared" si="45"/>
        <v>#N/A</v>
      </c>
      <c r="AB316" s="8" t="e">
        <f t="shared" si="45"/>
        <v>#N/A</v>
      </c>
      <c r="AC316" s="8" t="e">
        <f t="shared" si="45"/>
        <v>#N/A</v>
      </c>
    </row>
    <row r="317" spans="13:29">
      <c r="M317" s="14">
        <v>309</v>
      </c>
      <c r="N317" s="8" t="e">
        <f t="shared" si="44"/>
        <v>#N/A</v>
      </c>
      <c r="O317" s="8" t="e">
        <f t="shared" si="44"/>
        <v>#N/A</v>
      </c>
      <c r="P317" s="8" t="e">
        <f t="shared" si="44"/>
        <v>#N/A</v>
      </c>
      <c r="Q317" s="8" t="e">
        <f t="shared" si="44"/>
        <v>#N/A</v>
      </c>
      <c r="R317" s="8" t="e">
        <f t="shared" si="44"/>
        <v>#N/A</v>
      </c>
      <c r="S317" s="8" t="e">
        <f t="shared" si="44"/>
        <v>#N/A</v>
      </c>
      <c r="T317" s="8" t="e">
        <f t="shared" si="44"/>
        <v>#N/A</v>
      </c>
      <c r="U317" s="8" t="e">
        <f t="shared" si="44"/>
        <v>#N/A</v>
      </c>
      <c r="V317" s="8" t="e">
        <f t="shared" si="45"/>
        <v>#N/A</v>
      </c>
      <c r="W317" s="8" t="e">
        <f t="shared" si="45"/>
        <v>#N/A</v>
      </c>
      <c r="X317" s="8" t="e">
        <f t="shared" si="45"/>
        <v>#N/A</v>
      </c>
      <c r="Y317" s="8" t="e">
        <f t="shared" si="45"/>
        <v>#N/A</v>
      </c>
      <c r="Z317" s="8" t="e">
        <f t="shared" si="45"/>
        <v>#N/A</v>
      </c>
      <c r="AA317" s="8" t="e">
        <f t="shared" si="45"/>
        <v>#N/A</v>
      </c>
      <c r="AB317" s="8" t="e">
        <f t="shared" si="45"/>
        <v>#N/A</v>
      </c>
      <c r="AC317" s="8" t="e">
        <f t="shared" si="45"/>
        <v>#N/A</v>
      </c>
    </row>
    <row r="318" spans="13:29">
      <c r="M318" s="14">
        <v>310</v>
      </c>
      <c r="N318" s="8" t="e">
        <f t="shared" si="44"/>
        <v>#N/A</v>
      </c>
      <c r="O318" s="8" t="e">
        <f t="shared" si="44"/>
        <v>#N/A</v>
      </c>
      <c r="P318" s="8" t="e">
        <f t="shared" si="44"/>
        <v>#N/A</v>
      </c>
      <c r="Q318" s="8" t="e">
        <f t="shared" si="44"/>
        <v>#N/A</v>
      </c>
      <c r="R318" s="8" t="e">
        <f t="shared" si="44"/>
        <v>#N/A</v>
      </c>
      <c r="S318" s="8" t="e">
        <f t="shared" si="44"/>
        <v>#N/A</v>
      </c>
      <c r="T318" s="8" t="e">
        <f t="shared" si="44"/>
        <v>#N/A</v>
      </c>
      <c r="U318" s="8" t="e">
        <f t="shared" si="44"/>
        <v>#N/A</v>
      </c>
      <c r="V318" s="8" t="e">
        <f t="shared" si="45"/>
        <v>#N/A</v>
      </c>
      <c r="W318" s="8" t="e">
        <f t="shared" si="45"/>
        <v>#N/A</v>
      </c>
      <c r="X318" s="8" t="e">
        <f t="shared" si="45"/>
        <v>#N/A</v>
      </c>
      <c r="Y318" s="8" t="e">
        <f t="shared" si="45"/>
        <v>#N/A</v>
      </c>
      <c r="Z318" s="8" t="e">
        <f t="shared" si="45"/>
        <v>#N/A</v>
      </c>
      <c r="AA318" s="8" t="e">
        <f t="shared" si="45"/>
        <v>#N/A</v>
      </c>
      <c r="AB318" s="8" t="e">
        <f t="shared" si="45"/>
        <v>#N/A</v>
      </c>
      <c r="AC318" s="8" t="e">
        <f t="shared" si="45"/>
        <v>#N/A</v>
      </c>
    </row>
    <row r="319" spans="13:29">
      <c r="M319" s="14">
        <v>311</v>
      </c>
      <c r="N319" s="8" t="e">
        <f t="shared" si="44"/>
        <v>#N/A</v>
      </c>
      <c r="O319" s="8" t="e">
        <f t="shared" si="44"/>
        <v>#N/A</v>
      </c>
      <c r="P319" s="8" t="e">
        <f t="shared" si="44"/>
        <v>#N/A</v>
      </c>
      <c r="Q319" s="8" t="e">
        <f t="shared" si="44"/>
        <v>#N/A</v>
      </c>
      <c r="R319" s="8" t="e">
        <f t="shared" si="44"/>
        <v>#N/A</v>
      </c>
      <c r="S319" s="8" t="e">
        <f t="shared" si="44"/>
        <v>#N/A</v>
      </c>
      <c r="T319" s="8" t="e">
        <f t="shared" si="44"/>
        <v>#N/A</v>
      </c>
      <c r="U319" s="8" t="e">
        <f t="shared" si="44"/>
        <v>#N/A</v>
      </c>
      <c r="V319" s="8" t="e">
        <f t="shared" si="45"/>
        <v>#N/A</v>
      </c>
      <c r="W319" s="8" t="e">
        <f t="shared" si="45"/>
        <v>#N/A</v>
      </c>
      <c r="X319" s="8" t="e">
        <f t="shared" si="45"/>
        <v>#N/A</v>
      </c>
      <c r="Y319" s="8" t="e">
        <f t="shared" si="45"/>
        <v>#N/A</v>
      </c>
      <c r="Z319" s="8" t="e">
        <f t="shared" si="45"/>
        <v>#N/A</v>
      </c>
      <c r="AA319" s="8" t="e">
        <f t="shared" si="45"/>
        <v>#N/A</v>
      </c>
      <c r="AB319" s="8" t="e">
        <f t="shared" si="45"/>
        <v>#N/A</v>
      </c>
      <c r="AC319" s="8" t="e">
        <f t="shared" si="45"/>
        <v>#N/A</v>
      </c>
    </row>
    <row r="320" spans="13:29">
      <c r="M320" s="14">
        <v>312</v>
      </c>
      <c r="N320" s="8" t="e">
        <f t="shared" si="44"/>
        <v>#N/A</v>
      </c>
      <c r="O320" s="8" t="e">
        <f t="shared" si="44"/>
        <v>#N/A</v>
      </c>
      <c r="P320" s="8" t="e">
        <f t="shared" si="44"/>
        <v>#N/A</v>
      </c>
      <c r="Q320" s="8" t="e">
        <f t="shared" si="44"/>
        <v>#N/A</v>
      </c>
      <c r="R320" s="8" t="e">
        <f t="shared" si="44"/>
        <v>#N/A</v>
      </c>
      <c r="S320" s="8" t="e">
        <f t="shared" si="44"/>
        <v>#N/A</v>
      </c>
      <c r="T320" s="8" t="e">
        <f t="shared" si="44"/>
        <v>#N/A</v>
      </c>
      <c r="U320" s="8" t="e">
        <f t="shared" si="44"/>
        <v>#N/A</v>
      </c>
      <c r="V320" s="8" t="e">
        <f t="shared" si="45"/>
        <v>#N/A</v>
      </c>
      <c r="W320" s="8" t="e">
        <f t="shared" si="45"/>
        <v>#N/A</v>
      </c>
      <c r="X320" s="8" t="e">
        <f t="shared" si="45"/>
        <v>#N/A</v>
      </c>
      <c r="Y320" s="8" t="e">
        <f t="shared" si="45"/>
        <v>#N/A</v>
      </c>
      <c r="Z320" s="8" t="e">
        <f t="shared" si="45"/>
        <v>#N/A</v>
      </c>
      <c r="AA320" s="8" t="e">
        <f t="shared" si="45"/>
        <v>#N/A</v>
      </c>
      <c r="AB320" s="8" t="e">
        <f t="shared" si="45"/>
        <v>#N/A</v>
      </c>
      <c r="AC320" s="8" t="e">
        <f t="shared" si="45"/>
        <v>#N/A</v>
      </c>
    </row>
    <row r="321" spans="13:29">
      <c r="M321" s="14">
        <v>313</v>
      </c>
      <c r="N321" s="8" t="e">
        <f t="shared" si="44"/>
        <v>#N/A</v>
      </c>
      <c r="O321" s="8" t="e">
        <f t="shared" si="44"/>
        <v>#N/A</v>
      </c>
      <c r="P321" s="8" t="e">
        <f t="shared" si="44"/>
        <v>#N/A</v>
      </c>
      <c r="Q321" s="8" t="e">
        <f t="shared" si="44"/>
        <v>#N/A</v>
      </c>
      <c r="R321" s="8" t="e">
        <f t="shared" si="44"/>
        <v>#N/A</v>
      </c>
      <c r="S321" s="8" t="e">
        <f t="shared" si="44"/>
        <v>#N/A</v>
      </c>
      <c r="T321" s="8" t="e">
        <f t="shared" si="44"/>
        <v>#N/A</v>
      </c>
      <c r="U321" s="8" t="e">
        <f t="shared" si="44"/>
        <v>#N/A</v>
      </c>
      <c r="V321" s="8" t="e">
        <f t="shared" si="45"/>
        <v>#N/A</v>
      </c>
      <c r="W321" s="8" t="e">
        <f t="shared" si="45"/>
        <v>#N/A</v>
      </c>
      <c r="X321" s="8" t="e">
        <f t="shared" si="45"/>
        <v>#N/A</v>
      </c>
      <c r="Y321" s="8" t="e">
        <f t="shared" si="45"/>
        <v>#N/A</v>
      </c>
      <c r="Z321" s="8" t="e">
        <f t="shared" si="45"/>
        <v>#N/A</v>
      </c>
      <c r="AA321" s="8" t="e">
        <f t="shared" si="45"/>
        <v>#N/A</v>
      </c>
      <c r="AB321" s="8" t="e">
        <f t="shared" si="45"/>
        <v>#N/A</v>
      </c>
      <c r="AC321" s="8" t="e">
        <f t="shared" si="45"/>
        <v>#N/A</v>
      </c>
    </row>
    <row r="322" spans="13:29">
      <c r="M322" s="14">
        <v>314</v>
      </c>
      <c r="N322" s="8" t="e">
        <f t="shared" si="44"/>
        <v>#N/A</v>
      </c>
      <c r="O322" s="8" t="e">
        <f t="shared" si="44"/>
        <v>#N/A</v>
      </c>
      <c r="P322" s="8" t="e">
        <f t="shared" si="44"/>
        <v>#N/A</v>
      </c>
      <c r="Q322" s="8" t="e">
        <f t="shared" si="44"/>
        <v>#N/A</v>
      </c>
      <c r="R322" s="8" t="e">
        <f t="shared" si="44"/>
        <v>#N/A</v>
      </c>
      <c r="S322" s="8" t="e">
        <f t="shared" si="44"/>
        <v>#N/A</v>
      </c>
      <c r="T322" s="8" t="e">
        <f t="shared" si="44"/>
        <v>#N/A</v>
      </c>
      <c r="U322" s="8" t="e">
        <f t="shared" si="44"/>
        <v>#N/A</v>
      </c>
      <c r="V322" s="8" t="e">
        <f t="shared" si="45"/>
        <v>#N/A</v>
      </c>
      <c r="W322" s="8" t="e">
        <f t="shared" si="45"/>
        <v>#N/A</v>
      </c>
      <c r="X322" s="8" t="e">
        <f t="shared" si="45"/>
        <v>#N/A</v>
      </c>
      <c r="Y322" s="8" t="e">
        <f t="shared" si="45"/>
        <v>#N/A</v>
      </c>
      <c r="Z322" s="8" t="e">
        <f t="shared" si="45"/>
        <v>#N/A</v>
      </c>
      <c r="AA322" s="8" t="e">
        <f t="shared" si="45"/>
        <v>#N/A</v>
      </c>
      <c r="AB322" s="8" t="e">
        <f t="shared" si="45"/>
        <v>#N/A</v>
      </c>
      <c r="AC322" s="8" t="e">
        <f t="shared" si="45"/>
        <v>#N/A</v>
      </c>
    </row>
    <row r="323" spans="13:29">
      <c r="M323" s="14">
        <v>315</v>
      </c>
      <c r="N323" s="8" t="e">
        <f t="shared" si="44"/>
        <v>#N/A</v>
      </c>
      <c r="O323" s="8" t="e">
        <f t="shared" si="44"/>
        <v>#N/A</v>
      </c>
      <c r="P323" s="8" t="e">
        <f t="shared" si="44"/>
        <v>#N/A</v>
      </c>
      <c r="Q323" s="8" t="e">
        <f t="shared" si="44"/>
        <v>#N/A</v>
      </c>
      <c r="R323" s="8" t="e">
        <f t="shared" si="44"/>
        <v>#N/A</v>
      </c>
      <c r="S323" s="8" t="e">
        <f t="shared" si="44"/>
        <v>#N/A</v>
      </c>
      <c r="T323" s="8" t="e">
        <f t="shared" si="44"/>
        <v>#N/A</v>
      </c>
      <c r="U323" s="8" t="e">
        <f t="shared" si="44"/>
        <v>#N/A</v>
      </c>
      <c r="V323" s="8" t="e">
        <f t="shared" si="45"/>
        <v>#N/A</v>
      </c>
      <c r="W323" s="8" t="e">
        <f t="shared" si="45"/>
        <v>#N/A</v>
      </c>
      <c r="X323" s="8" t="e">
        <f t="shared" si="45"/>
        <v>#N/A</v>
      </c>
      <c r="Y323" s="8" t="e">
        <f t="shared" si="45"/>
        <v>#N/A</v>
      </c>
      <c r="Z323" s="8" t="e">
        <f t="shared" si="45"/>
        <v>#N/A</v>
      </c>
      <c r="AA323" s="8" t="e">
        <f t="shared" si="45"/>
        <v>#N/A</v>
      </c>
      <c r="AB323" s="8" t="e">
        <f t="shared" si="45"/>
        <v>#N/A</v>
      </c>
      <c r="AC323" s="8" t="e">
        <f t="shared" si="45"/>
        <v>#N/A</v>
      </c>
    </row>
    <row r="324" spans="13:29">
      <c r="M324" s="14">
        <v>316</v>
      </c>
      <c r="N324" s="8" t="e">
        <f t="shared" si="44"/>
        <v>#N/A</v>
      </c>
      <c r="O324" s="8" t="e">
        <f t="shared" si="44"/>
        <v>#N/A</v>
      </c>
      <c r="P324" s="8" t="e">
        <f t="shared" si="44"/>
        <v>#N/A</v>
      </c>
      <c r="Q324" s="8" t="e">
        <f t="shared" si="44"/>
        <v>#N/A</v>
      </c>
      <c r="R324" s="8" t="e">
        <f t="shared" si="44"/>
        <v>#N/A</v>
      </c>
      <c r="S324" s="8" t="e">
        <f t="shared" si="44"/>
        <v>#N/A</v>
      </c>
      <c r="T324" s="8" t="e">
        <f t="shared" si="44"/>
        <v>#N/A</v>
      </c>
      <c r="U324" s="8" t="e">
        <f t="shared" si="44"/>
        <v>#N/A</v>
      </c>
      <c r="V324" s="8" t="e">
        <f t="shared" si="45"/>
        <v>#N/A</v>
      </c>
      <c r="W324" s="8" t="e">
        <f t="shared" si="45"/>
        <v>#N/A</v>
      </c>
      <c r="X324" s="8" t="e">
        <f t="shared" si="45"/>
        <v>#N/A</v>
      </c>
      <c r="Y324" s="8" t="e">
        <f t="shared" si="45"/>
        <v>#N/A</v>
      </c>
      <c r="Z324" s="8" t="e">
        <f t="shared" si="45"/>
        <v>#N/A</v>
      </c>
      <c r="AA324" s="8" t="e">
        <f t="shared" si="45"/>
        <v>#N/A</v>
      </c>
      <c r="AB324" s="8" t="e">
        <f t="shared" si="45"/>
        <v>#N/A</v>
      </c>
      <c r="AC324" s="8" t="e">
        <f t="shared" si="45"/>
        <v>#N/A</v>
      </c>
    </row>
    <row r="325" spans="13:29">
      <c r="M325" s="14">
        <v>317</v>
      </c>
      <c r="N325" s="8" t="e">
        <f t="shared" si="44"/>
        <v>#N/A</v>
      </c>
      <c r="O325" s="8" t="e">
        <f t="shared" si="44"/>
        <v>#N/A</v>
      </c>
      <c r="P325" s="8" t="e">
        <f t="shared" si="44"/>
        <v>#N/A</v>
      </c>
      <c r="Q325" s="8" t="e">
        <f t="shared" si="44"/>
        <v>#N/A</v>
      </c>
      <c r="R325" s="8" t="e">
        <f t="shared" si="44"/>
        <v>#N/A</v>
      </c>
      <c r="S325" s="8" t="e">
        <f t="shared" si="44"/>
        <v>#N/A</v>
      </c>
      <c r="T325" s="8" t="e">
        <f t="shared" si="44"/>
        <v>#N/A</v>
      </c>
      <c r="U325" s="8" t="e">
        <f t="shared" si="44"/>
        <v>#N/A</v>
      </c>
      <c r="V325" s="8" t="e">
        <f t="shared" si="45"/>
        <v>#N/A</v>
      </c>
      <c r="W325" s="8" t="e">
        <f t="shared" si="45"/>
        <v>#N/A</v>
      </c>
      <c r="X325" s="8" t="e">
        <f t="shared" si="45"/>
        <v>#N/A</v>
      </c>
      <c r="Y325" s="8" t="e">
        <f t="shared" si="45"/>
        <v>#N/A</v>
      </c>
      <c r="Z325" s="8" t="e">
        <f t="shared" si="45"/>
        <v>#N/A</v>
      </c>
      <c r="AA325" s="8" t="e">
        <f t="shared" si="45"/>
        <v>#N/A</v>
      </c>
      <c r="AB325" s="8" t="e">
        <f t="shared" si="45"/>
        <v>#N/A</v>
      </c>
      <c r="AC325" s="8" t="e">
        <f t="shared" si="45"/>
        <v>#N/A</v>
      </c>
    </row>
    <row r="326" spans="13:29">
      <c r="M326" s="14">
        <v>318</v>
      </c>
      <c r="N326" s="8" t="e">
        <f t="shared" si="44"/>
        <v>#N/A</v>
      </c>
      <c r="O326" s="8" t="e">
        <f t="shared" si="44"/>
        <v>#N/A</v>
      </c>
      <c r="P326" s="8" t="e">
        <f t="shared" si="44"/>
        <v>#N/A</v>
      </c>
      <c r="Q326" s="8" t="e">
        <f t="shared" si="44"/>
        <v>#N/A</v>
      </c>
      <c r="R326" s="8" t="e">
        <f t="shared" si="44"/>
        <v>#N/A</v>
      </c>
      <c r="S326" s="8" t="e">
        <f t="shared" si="44"/>
        <v>#N/A</v>
      </c>
      <c r="T326" s="8" t="e">
        <f t="shared" si="44"/>
        <v>#N/A</v>
      </c>
      <c r="U326" s="8" t="e">
        <f t="shared" si="44"/>
        <v>#N/A</v>
      </c>
      <c r="V326" s="8" t="e">
        <f t="shared" si="45"/>
        <v>#N/A</v>
      </c>
      <c r="W326" s="8" t="e">
        <f t="shared" si="45"/>
        <v>#N/A</v>
      </c>
      <c r="X326" s="8" t="e">
        <f t="shared" si="45"/>
        <v>#N/A</v>
      </c>
      <c r="Y326" s="8" t="e">
        <f t="shared" si="45"/>
        <v>#N/A</v>
      </c>
      <c r="Z326" s="8" t="e">
        <f t="shared" si="45"/>
        <v>#N/A</v>
      </c>
      <c r="AA326" s="8" t="e">
        <f t="shared" si="45"/>
        <v>#N/A</v>
      </c>
      <c r="AB326" s="8" t="e">
        <f t="shared" si="45"/>
        <v>#N/A</v>
      </c>
      <c r="AC326" s="8" t="e">
        <f t="shared" si="45"/>
        <v>#N/A</v>
      </c>
    </row>
    <row r="327" spans="13:29">
      <c r="M327" s="14">
        <v>319</v>
      </c>
      <c r="N327" s="8" t="e">
        <f t="shared" si="44"/>
        <v>#N/A</v>
      </c>
      <c r="O327" s="8" t="e">
        <f t="shared" si="44"/>
        <v>#N/A</v>
      </c>
      <c r="P327" s="8" t="e">
        <f t="shared" si="44"/>
        <v>#N/A</v>
      </c>
      <c r="Q327" s="8" t="e">
        <f t="shared" si="44"/>
        <v>#N/A</v>
      </c>
      <c r="R327" s="8" t="e">
        <f t="shared" si="44"/>
        <v>#N/A</v>
      </c>
      <c r="S327" s="8" t="e">
        <f t="shared" si="44"/>
        <v>#N/A</v>
      </c>
      <c r="T327" s="8" t="e">
        <f t="shared" si="44"/>
        <v>#N/A</v>
      </c>
      <c r="U327" s="8" t="e">
        <f t="shared" si="44"/>
        <v>#N/A</v>
      </c>
      <c r="V327" s="8" t="e">
        <f t="shared" si="45"/>
        <v>#N/A</v>
      </c>
      <c r="W327" s="8" t="e">
        <f t="shared" si="45"/>
        <v>#N/A</v>
      </c>
      <c r="X327" s="8" t="e">
        <f t="shared" si="45"/>
        <v>#N/A</v>
      </c>
      <c r="Y327" s="8" t="e">
        <f t="shared" si="45"/>
        <v>#N/A</v>
      </c>
      <c r="Z327" s="8" t="e">
        <f t="shared" si="45"/>
        <v>#N/A</v>
      </c>
      <c r="AA327" s="8" t="e">
        <f t="shared" si="45"/>
        <v>#N/A</v>
      </c>
      <c r="AB327" s="8" t="e">
        <f t="shared" si="45"/>
        <v>#N/A</v>
      </c>
      <c r="AC327" s="8" t="e">
        <f t="shared" si="45"/>
        <v>#N/A</v>
      </c>
    </row>
    <row r="328" spans="13:29">
      <c r="M328" s="14">
        <v>320</v>
      </c>
      <c r="N328" s="8" t="e">
        <f t="shared" si="44"/>
        <v>#N/A</v>
      </c>
      <c r="O328" s="8" t="e">
        <f t="shared" si="44"/>
        <v>#N/A</v>
      </c>
      <c r="P328" s="8" t="e">
        <f t="shared" si="44"/>
        <v>#N/A</v>
      </c>
      <c r="Q328" s="8" t="e">
        <f t="shared" si="44"/>
        <v>#N/A</v>
      </c>
      <c r="R328" s="8" t="e">
        <f t="shared" si="44"/>
        <v>#N/A</v>
      </c>
      <c r="S328" s="8" t="e">
        <f t="shared" si="44"/>
        <v>#N/A</v>
      </c>
      <c r="T328" s="8" t="e">
        <f t="shared" si="44"/>
        <v>#N/A</v>
      </c>
      <c r="U328" s="8" t="e">
        <f t="shared" si="44"/>
        <v>#N/A</v>
      </c>
      <c r="V328" s="8" t="e">
        <f t="shared" si="45"/>
        <v>#N/A</v>
      </c>
      <c r="W328" s="8" t="e">
        <f t="shared" si="45"/>
        <v>#N/A</v>
      </c>
      <c r="X328" s="8" t="e">
        <f t="shared" si="45"/>
        <v>#N/A</v>
      </c>
      <c r="Y328" s="8" t="e">
        <f t="shared" si="45"/>
        <v>#N/A</v>
      </c>
      <c r="Z328" s="8" t="e">
        <f t="shared" si="45"/>
        <v>#N/A</v>
      </c>
      <c r="AA328" s="8" t="e">
        <f t="shared" si="45"/>
        <v>#N/A</v>
      </c>
      <c r="AB328" s="8" t="e">
        <f t="shared" si="45"/>
        <v>#N/A</v>
      </c>
      <c r="AC328" s="8" t="e">
        <f t="shared" si="45"/>
        <v>#N/A</v>
      </c>
    </row>
    <row r="329" spans="13:29">
      <c r="M329" s="14">
        <v>321</v>
      </c>
      <c r="N329" s="8" t="e">
        <f t="shared" ref="N329:U344" si="46">IF($M329&lt;=100/$G$15*$H$15,N$5,NA())</f>
        <v>#N/A</v>
      </c>
      <c r="O329" s="8" t="e">
        <f t="shared" si="46"/>
        <v>#N/A</v>
      </c>
      <c r="P329" s="8" t="e">
        <f t="shared" si="46"/>
        <v>#N/A</v>
      </c>
      <c r="Q329" s="8" t="e">
        <f t="shared" si="46"/>
        <v>#N/A</v>
      </c>
      <c r="R329" s="8" t="e">
        <f t="shared" si="46"/>
        <v>#N/A</v>
      </c>
      <c r="S329" s="8" t="e">
        <f t="shared" si="46"/>
        <v>#N/A</v>
      </c>
      <c r="T329" s="8" t="e">
        <f t="shared" si="46"/>
        <v>#N/A</v>
      </c>
      <c r="U329" s="8" t="e">
        <f t="shared" si="46"/>
        <v>#N/A</v>
      </c>
      <c r="V329" s="8" t="e">
        <f t="shared" ref="V329:AC344" si="47">IF($M329&lt;=INDEX($K$5:$K$12,V$6)/$G$15*$H$15,V$5,NA())</f>
        <v>#N/A</v>
      </c>
      <c r="W329" s="8" t="e">
        <f t="shared" si="47"/>
        <v>#N/A</v>
      </c>
      <c r="X329" s="8" t="e">
        <f t="shared" si="47"/>
        <v>#N/A</v>
      </c>
      <c r="Y329" s="8" t="e">
        <f t="shared" si="47"/>
        <v>#N/A</v>
      </c>
      <c r="Z329" s="8" t="e">
        <f t="shared" si="47"/>
        <v>#N/A</v>
      </c>
      <c r="AA329" s="8" t="e">
        <f t="shared" si="47"/>
        <v>#N/A</v>
      </c>
      <c r="AB329" s="8" t="e">
        <f t="shared" si="47"/>
        <v>#N/A</v>
      </c>
      <c r="AC329" s="8" t="e">
        <f t="shared" si="47"/>
        <v>#N/A</v>
      </c>
    </row>
    <row r="330" spans="13:29">
      <c r="M330" s="14">
        <v>322</v>
      </c>
      <c r="N330" s="8" t="e">
        <f t="shared" si="46"/>
        <v>#N/A</v>
      </c>
      <c r="O330" s="8" t="e">
        <f t="shared" si="46"/>
        <v>#N/A</v>
      </c>
      <c r="P330" s="8" t="e">
        <f t="shared" si="46"/>
        <v>#N/A</v>
      </c>
      <c r="Q330" s="8" t="e">
        <f t="shared" si="46"/>
        <v>#N/A</v>
      </c>
      <c r="R330" s="8" t="e">
        <f t="shared" si="46"/>
        <v>#N/A</v>
      </c>
      <c r="S330" s="8" t="e">
        <f t="shared" si="46"/>
        <v>#N/A</v>
      </c>
      <c r="T330" s="8" t="e">
        <f t="shared" si="46"/>
        <v>#N/A</v>
      </c>
      <c r="U330" s="8" t="e">
        <f t="shared" si="46"/>
        <v>#N/A</v>
      </c>
      <c r="V330" s="8" t="e">
        <f t="shared" si="47"/>
        <v>#N/A</v>
      </c>
      <c r="W330" s="8" t="e">
        <f t="shared" si="47"/>
        <v>#N/A</v>
      </c>
      <c r="X330" s="8" t="e">
        <f t="shared" si="47"/>
        <v>#N/A</v>
      </c>
      <c r="Y330" s="8" t="e">
        <f t="shared" si="47"/>
        <v>#N/A</v>
      </c>
      <c r="Z330" s="8" t="e">
        <f t="shared" si="47"/>
        <v>#N/A</v>
      </c>
      <c r="AA330" s="8" t="e">
        <f t="shared" si="47"/>
        <v>#N/A</v>
      </c>
      <c r="AB330" s="8" t="e">
        <f t="shared" si="47"/>
        <v>#N/A</v>
      </c>
      <c r="AC330" s="8" t="e">
        <f t="shared" si="47"/>
        <v>#N/A</v>
      </c>
    </row>
    <row r="331" spans="13:29">
      <c r="M331" s="14">
        <v>323</v>
      </c>
      <c r="N331" s="8" t="e">
        <f t="shared" si="46"/>
        <v>#N/A</v>
      </c>
      <c r="O331" s="8" t="e">
        <f t="shared" si="46"/>
        <v>#N/A</v>
      </c>
      <c r="P331" s="8" t="e">
        <f t="shared" si="46"/>
        <v>#N/A</v>
      </c>
      <c r="Q331" s="8" t="e">
        <f t="shared" si="46"/>
        <v>#N/A</v>
      </c>
      <c r="R331" s="8" t="e">
        <f t="shared" si="46"/>
        <v>#N/A</v>
      </c>
      <c r="S331" s="8" t="e">
        <f t="shared" si="46"/>
        <v>#N/A</v>
      </c>
      <c r="T331" s="8" t="e">
        <f t="shared" si="46"/>
        <v>#N/A</v>
      </c>
      <c r="U331" s="8" t="e">
        <f t="shared" si="46"/>
        <v>#N/A</v>
      </c>
      <c r="V331" s="8" t="e">
        <f t="shared" si="47"/>
        <v>#N/A</v>
      </c>
      <c r="W331" s="8" t="e">
        <f t="shared" si="47"/>
        <v>#N/A</v>
      </c>
      <c r="X331" s="8" t="e">
        <f t="shared" si="47"/>
        <v>#N/A</v>
      </c>
      <c r="Y331" s="8" t="e">
        <f t="shared" si="47"/>
        <v>#N/A</v>
      </c>
      <c r="Z331" s="8" t="e">
        <f t="shared" si="47"/>
        <v>#N/A</v>
      </c>
      <c r="AA331" s="8" t="e">
        <f t="shared" si="47"/>
        <v>#N/A</v>
      </c>
      <c r="AB331" s="8" t="e">
        <f t="shared" si="47"/>
        <v>#N/A</v>
      </c>
      <c r="AC331" s="8" t="e">
        <f t="shared" si="47"/>
        <v>#N/A</v>
      </c>
    </row>
    <row r="332" spans="13:29">
      <c r="M332" s="14">
        <v>324</v>
      </c>
      <c r="N332" s="8" t="e">
        <f t="shared" si="46"/>
        <v>#N/A</v>
      </c>
      <c r="O332" s="8" t="e">
        <f t="shared" si="46"/>
        <v>#N/A</v>
      </c>
      <c r="P332" s="8" t="e">
        <f t="shared" si="46"/>
        <v>#N/A</v>
      </c>
      <c r="Q332" s="8" t="e">
        <f t="shared" si="46"/>
        <v>#N/A</v>
      </c>
      <c r="R332" s="8" t="e">
        <f t="shared" si="46"/>
        <v>#N/A</v>
      </c>
      <c r="S332" s="8" t="e">
        <f t="shared" si="46"/>
        <v>#N/A</v>
      </c>
      <c r="T332" s="8" t="e">
        <f t="shared" si="46"/>
        <v>#N/A</v>
      </c>
      <c r="U332" s="8" t="e">
        <f t="shared" si="46"/>
        <v>#N/A</v>
      </c>
      <c r="V332" s="8" t="e">
        <f t="shared" si="47"/>
        <v>#N/A</v>
      </c>
      <c r="W332" s="8" t="e">
        <f t="shared" si="47"/>
        <v>#N/A</v>
      </c>
      <c r="X332" s="8" t="e">
        <f t="shared" si="47"/>
        <v>#N/A</v>
      </c>
      <c r="Y332" s="8" t="e">
        <f t="shared" si="47"/>
        <v>#N/A</v>
      </c>
      <c r="Z332" s="8" t="e">
        <f t="shared" si="47"/>
        <v>#N/A</v>
      </c>
      <c r="AA332" s="8" t="e">
        <f t="shared" si="47"/>
        <v>#N/A</v>
      </c>
      <c r="AB332" s="8" t="e">
        <f t="shared" si="47"/>
        <v>#N/A</v>
      </c>
      <c r="AC332" s="8" t="e">
        <f t="shared" si="47"/>
        <v>#N/A</v>
      </c>
    </row>
    <row r="333" spans="13:29">
      <c r="M333" s="14">
        <v>325</v>
      </c>
      <c r="N333" s="8" t="e">
        <f t="shared" si="46"/>
        <v>#N/A</v>
      </c>
      <c r="O333" s="8" t="e">
        <f t="shared" si="46"/>
        <v>#N/A</v>
      </c>
      <c r="P333" s="8" t="e">
        <f t="shared" si="46"/>
        <v>#N/A</v>
      </c>
      <c r="Q333" s="8" t="e">
        <f t="shared" si="46"/>
        <v>#N/A</v>
      </c>
      <c r="R333" s="8" t="e">
        <f t="shared" si="46"/>
        <v>#N/A</v>
      </c>
      <c r="S333" s="8" t="e">
        <f t="shared" si="46"/>
        <v>#N/A</v>
      </c>
      <c r="T333" s="8" t="e">
        <f t="shared" si="46"/>
        <v>#N/A</v>
      </c>
      <c r="U333" s="8" t="e">
        <f t="shared" si="46"/>
        <v>#N/A</v>
      </c>
      <c r="V333" s="8" t="e">
        <f t="shared" si="47"/>
        <v>#N/A</v>
      </c>
      <c r="W333" s="8" t="e">
        <f t="shared" si="47"/>
        <v>#N/A</v>
      </c>
      <c r="X333" s="8" t="e">
        <f t="shared" si="47"/>
        <v>#N/A</v>
      </c>
      <c r="Y333" s="8" t="e">
        <f t="shared" si="47"/>
        <v>#N/A</v>
      </c>
      <c r="Z333" s="8" t="e">
        <f t="shared" si="47"/>
        <v>#N/A</v>
      </c>
      <c r="AA333" s="8" t="e">
        <f t="shared" si="47"/>
        <v>#N/A</v>
      </c>
      <c r="AB333" s="8" t="e">
        <f t="shared" si="47"/>
        <v>#N/A</v>
      </c>
      <c r="AC333" s="8" t="e">
        <f t="shared" si="47"/>
        <v>#N/A</v>
      </c>
    </row>
    <row r="334" spans="13:29">
      <c r="M334" s="14">
        <v>326</v>
      </c>
      <c r="N334" s="8" t="e">
        <f t="shared" si="46"/>
        <v>#N/A</v>
      </c>
      <c r="O334" s="8" t="e">
        <f t="shared" si="46"/>
        <v>#N/A</v>
      </c>
      <c r="P334" s="8" t="e">
        <f t="shared" si="46"/>
        <v>#N/A</v>
      </c>
      <c r="Q334" s="8" t="e">
        <f t="shared" si="46"/>
        <v>#N/A</v>
      </c>
      <c r="R334" s="8" t="e">
        <f t="shared" si="46"/>
        <v>#N/A</v>
      </c>
      <c r="S334" s="8" t="e">
        <f t="shared" si="46"/>
        <v>#N/A</v>
      </c>
      <c r="T334" s="8" t="e">
        <f t="shared" si="46"/>
        <v>#N/A</v>
      </c>
      <c r="U334" s="8" t="e">
        <f t="shared" si="46"/>
        <v>#N/A</v>
      </c>
      <c r="V334" s="8" t="e">
        <f t="shared" si="47"/>
        <v>#N/A</v>
      </c>
      <c r="W334" s="8" t="e">
        <f t="shared" si="47"/>
        <v>#N/A</v>
      </c>
      <c r="X334" s="8" t="e">
        <f t="shared" si="47"/>
        <v>#N/A</v>
      </c>
      <c r="Y334" s="8" t="e">
        <f t="shared" si="47"/>
        <v>#N/A</v>
      </c>
      <c r="Z334" s="8" t="e">
        <f t="shared" si="47"/>
        <v>#N/A</v>
      </c>
      <c r="AA334" s="8" t="e">
        <f t="shared" si="47"/>
        <v>#N/A</v>
      </c>
      <c r="AB334" s="8" t="e">
        <f t="shared" si="47"/>
        <v>#N/A</v>
      </c>
      <c r="AC334" s="8" t="e">
        <f t="shared" si="47"/>
        <v>#N/A</v>
      </c>
    </row>
    <row r="335" spans="13:29">
      <c r="M335" s="14">
        <v>327</v>
      </c>
      <c r="N335" s="8" t="e">
        <f t="shared" si="46"/>
        <v>#N/A</v>
      </c>
      <c r="O335" s="8" t="e">
        <f t="shared" si="46"/>
        <v>#N/A</v>
      </c>
      <c r="P335" s="8" t="e">
        <f t="shared" si="46"/>
        <v>#N/A</v>
      </c>
      <c r="Q335" s="8" t="e">
        <f t="shared" si="46"/>
        <v>#N/A</v>
      </c>
      <c r="R335" s="8" t="e">
        <f t="shared" si="46"/>
        <v>#N/A</v>
      </c>
      <c r="S335" s="8" t="e">
        <f t="shared" si="46"/>
        <v>#N/A</v>
      </c>
      <c r="T335" s="8" t="e">
        <f t="shared" si="46"/>
        <v>#N/A</v>
      </c>
      <c r="U335" s="8" t="e">
        <f t="shared" si="46"/>
        <v>#N/A</v>
      </c>
      <c r="V335" s="8" t="e">
        <f t="shared" si="47"/>
        <v>#N/A</v>
      </c>
      <c r="W335" s="8" t="e">
        <f t="shared" si="47"/>
        <v>#N/A</v>
      </c>
      <c r="X335" s="8" t="e">
        <f t="shared" si="47"/>
        <v>#N/A</v>
      </c>
      <c r="Y335" s="8" t="e">
        <f t="shared" si="47"/>
        <v>#N/A</v>
      </c>
      <c r="Z335" s="8" t="e">
        <f t="shared" si="47"/>
        <v>#N/A</v>
      </c>
      <c r="AA335" s="8" t="e">
        <f t="shared" si="47"/>
        <v>#N/A</v>
      </c>
      <c r="AB335" s="8" t="e">
        <f t="shared" si="47"/>
        <v>#N/A</v>
      </c>
      <c r="AC335" s="8" t="e">
        <f t="shared" si="47"/>
        <v>#N/A</v>
      </c>
    </row>
    <row r="336" spans="13:29">
      <c r="M336" s="14">
        <v>328</v>
      </c>
      <c r="N336" s="8" t="e">
        <f t="shared" si="46"/>
        <v>#N/A</v>
      </c>
      <c r="O336" s="8" t="e">
        <f t="shared" si="46"/>
        <v>#N/A</v>
      </c>
      <c r="P336" s="8" t="e">
        <f t="shared" si="46"/>
        <v>#N/A</v>
      </c>
      <c r="Q336" s="8" t="e">
        <f t="shared" si="46"/>
        <v>#N/A</v>
      </c>
      <c r="R336" s="8" t="e">
        <f t="shared" si="46"/>
        <v>#N/A</v>
      </c>
      <c r="S336" s="8" t="e">
        <f t="shared" si="46"/>
        <v>#N/A</v>
      </c>
      <c r="T336" s="8" t="e">
        <f t="shared" si="46"/>
        <v>#N/A</v>
      </c>
      <c r="U336" s="8" t="e">
        <f t="shared" si="46"/>
        <v>#N/A</v>
      </c>
      <c r="V336" s="8" t="e">
        <f t="shared" si="47"/>
        <v>#N/A</v>
      </c>
      <c r="W336" s="8" t="e">
        <f t="shared" si="47"/>
        <v>#N/A</v>
      </c>
      <c r="X336" s="8" t="e">
        <f t="shared" si="47"/>
        <v>#N/A</v>
      </c>
      <c r="Y336" s="8" t="e">
        <f t="shared" si="47"/>
        <v>#N/A</v>
      </c>
      <c r="Z336" s="8" t="e">
        <f t="shared" si="47"/>
        <v>#N/A</v>
      </c>
      <c r="AA336" s="8" t="e">
        <f t="shared" si="47"/>
        <v>#N/A</v>
      </c>
      <c r="AB336" s="8" t="e">
        <f t="shared" si="47"/>
        <v>#N/A</v>
      </c>
      <c r="AC336" s="8" t="e">
        <f t="shared" si="47"/>
        <v>#N/A</v>
      </c>
    </row>
    <row r="337" spans="13:29">
      <c r="M337" s="14">
        <v>329</v>
      </c>
      <c r="N337" s="8" t="e">
        <f t="shared" si="46"/>
        <v>#N/A</v>
      </c>
      <c r="O337" s="8" t="e">
        <f t="shared" si="46"/>
        <v>#N/A</v>
      </c>
      <c r="P337" s="8" t="e">
        <f t="shared" si="46"/>
        <v>#N/A</v>
      </c>
      <c r="Q337" s="8" t="e">
        <f t="shared" si="46"/>
        <v>#N/A</v>
      </c>
      <c r="R337" s="8" t="e">
        <f t="shared" si="46"/>
        <v>#N/A</v>
      </c>
      <c r="S337" s="8" t="e">
        <f t="shared" si="46"/>
        <v>#N/A</v>
      </c>
      <c r="T337" s="8" t="e">
        <f t="shared" si="46"/>
        <v>#N/A</v>
      </c>
      <c r="U337" s="8" t="e">
        <f t="shared" si="46"/>
        <v>#N/A</v>
      </c>
      <c r="V337" s="8" t="e">
        <f t="shared" si="47"/>
        <v>#N/A</v>
      </c>
      <c r="W337" s="8" t="e">
        <f t="shared" si="47"/>
        <v>#N/A</v>
      </c>
      <c r="X337" s="8" t="e">
        <f t="shared" si="47"/>
        <v>#N/A</v>
      </c>
      <c r="Y337" s="8" t="e">
        <f t="shared" si="47"/>
        <v>#N/A</v>
      </c>
      <c r="Z337" s="8" t="e">
        <f t="shared" si="47"/>
        <v>#N/A</v>
      </c>
      <c r="AA337" s="8" t="e">
        <f t="shared" si="47"/>
        <v>#N/A</v>
      </c>
      <c r="AB337" s="8" t="e">
        <f t="shared" si="47"/>
        <v>#N/A</v>
      </c>
      <c r="AC337" s="8" t="e">
        <f t="shared" si="47"/>
        <v>#N/A</v>
      </c>
    </row>
    <row r="338" spans="13:29">
      <c r="M338" s="14">
        <v>330</v>
      </c>
      <c r="N338" s="8" t="e">
        <f t="shared" si="46"/>
        <v>#N/A</v>
      </c>
      <c r="O338" s="8" t="e">
        <f t="shared" si="46"/>
        <v>#N/A</v>
      </c>
      <c r="P338" s="8" t="e">
        <f t="shared" si="46"/>
        <v>#N/A</v>
      </c>
      <c r="Q338" s="8" t="e">
        <f t="shared" si="46"/>
        <v>#N/A</v>
      </c>
      <c r="R338" s="8" t="e">
        <f t="shared" si="46"/>
        <v>#N/A</v>
      </c>
      <c r="S338" s="8" t="e">
        <f t="shared" si="46"/>
        <v>#N/A</v>
      </c>
      <c r="T338" s="8" t="e">
        <f t="shared" si="46"/>
        <v>#N/A</v>
      </c>
      <c r="U338" s="8" t="e">
        <f t="shared" si="46"/>
        <v>#N/A</v>
      </c>
      <c r="V338" s="8" t="e">
        <f t="shared" si="47"/>
        <v>#N/A</v>
      </c>
      <c r="W338" s="8" t="e">
        <f t="shared" si="47"/>
        <v>#N/A</v>
      </c>
      <c r="X338" s="8" t="e">
        <f t="shared" si="47"/>
        <v>#N/A</v>
      </c>
      <c r="Y338" s="8" t="e">
        <f t="shared" si="47"/>
        <v>#N/A</v>
      </c>
      <c r="Z338" s="8" t="e">
        <f t="shared" si="47"/>
        <v>#N/A</v>
      </c>
      <c r="AA338" s="8" t="e">
        <f t="shared" si="47"/>
        <v>#N/A</v>
      </c>
      <c r="AB338" s="8" t="e">
        <f t="shared" si="47"/>
        <v>#N/A</v>
      </c>
      <c r="AC338" s="8" t="e">
        <f t="shared" si="47"/>
        <v>#N/A</v>
      </c>
    </row>
    <row r="339" spans="13:29">
      <c r="M339" s="14">
        <v>331</v>
      </c>
      <c r="N339" s="8" t="e">
        <f t="shared" si="46"/>
        <v>#N/A</v>
      </c>
      <c r="O339" s="8" t="e">
        <f t="shared" si="46"/>
        <v>#N/A</v>
      </c>
      <c r="P339" s="8" t="e">
        <f t="shared" si="46"/>
        <v>#N/A</v>
      </c>
      <c r="Q339" s="8" t="e">
        <f t="shared" si="46"/>
        <v>#N/A</v>
      </c>
      <c r="R339" s="8" t="e">
        <f t="shared" si="46"/>
        <v>#N/A</v>
      </c>
      <c r="S339" s="8" t="e">
        <f t="shared" si="46"/>
        <v>#N/A</v>
      </c>
      <c r="T339" s="8" t="e">
        <f t="shared" si="46"/>
        <v>#N/A</v>
      </c>
      <c r="U339" s="8" t="e">
        <f t="shared" si="46"/>
        <v>#N/A</v>
      </c>
      <c r="V339" s="8" t="e">
        <f t="shared" si="47"/>
        <v>#N/A</v>
      </c>
      <c r="W339" s="8" t="e">
        <f t="shared" si="47"/>
        <v>#N/A</v>
      </c>
      <c r="X339" s="8" t="e">
        <f t="shared" si="47"/>
        <v>#N/A</v>
      </c>
      <c r="Y339" s="8" t="e">
        <f t="shared" si="47"/>
        <v>#N/A</v>
      </c>
      <c r="Z339" s="8" t="e">
        <f t="shared" si="47"/>
        <v>#N/A</v>
      </c>
      <c r="AA339" s="8" t="e">
        <f t="shared" si="47"/>
        <v>#N/A</v>
      </c>
      <c r="AB339" s="8" t="e">
        <f t="shared" si="47"/>
        <v>#N/A</v>
      </c>
      <c r="AC339" s="8" t="e">
        <f t="shared" si="47"/>
        <v>#N/A</v>
      </c>
    </row>
    <row r="340" spans="13:29">
      <c r="M340" s="14">
        <v>332</v>
      </c>
      <c r="N340" s="8" t="e">
        <f t="shared" si="46"/>
        <v>#N/A</v>
      </c>
      <c r="O340" s="8" t="e">
        <f t="shared" si="46"/>
        <v>#N/A</v>
      </c>
      <c r="P340" s="8" t="e">
        <f t="shared" si="46"/>
        <v>#N/A</v>
      </c>
      <c r="Q340" s="8" t="e">
        <f t="shared" si="46"/>
        <v>#N/A</v>
      </c>
      <c r="R340" s="8" t="e">
        <f t="shared" si="46"/>
        <v>#N/A</v>
      </c>
      <c r="S340" s="8" t="e">
        <f t="shared" si="46"/>
        <v>#N/A</v>
      </c>
      <c r="T340" s="8" t="e">
        <f t="shared" si="46"/>
        <v>#N/A</v>
      </c>
      <c r="U340" s="8" t="e">
        <f t="shared" si="46"/>
        <v>#N/A</v>
      </c>
      <c r="V340" s="8" t="e">
        <f t="shared" si="47"/>
        <v>#N/A</v>
      </c>
      <c r="W340" s="8" t="e">
        <f t="shared" si="47"/>
        <v>#N/A</v>
      </c>
      <c r="X340" s="8" t="e">
        <f t="shared" si="47"/>
        <v>#N/A</v>
      </c>
      <c r="Y340" s="8" t="e">
        <f t="shared" si="47"/>
        <v>#N/A</v>
      </c>
      <c r="Z340" s="8" t="e">
        <f t="shared" si="47"/>
        <v>#N/A</v>
      </c>
      <c r="AA340" s="8" t="e">
        <f t="shared" si="47"/>
        <v>#N/A</v>
      </c>
      <c r="AB340" s="8" t="e">
        <f t="shared" si="47"/>
        <v>#N/A</v>
      </c>
      <c r="AC340" s="8" t="e">
        <f t="shared" si="47"/>
        <v>#N/A</v>
      </c>
    </row>
    <row r="341" spans="13:29">
      <c r="M341" s="14">
        <v>333</v>
      </c>
      <c r="N341" s="8" t="e">
        <f t="shared" si="46"/>
        <v>#N/A</v>
      </c>
      <c r="O341" s="8" t="e">
        <f t="shared" si="46"/>
        <v>#N/A</v>
      </c>
      <c r="P341" s="8" t="e">
        <f t="shared" si="46"/>
        <v>#N/A</v>
      </c>
      <c r="Q341" s="8" t="e">
        <f t="shared" si="46"/>
        <v>#N/A</v>
      </c>
      <c r="R341" s="8" t="e">
        <f t="shared" si="46"/>
        <v>#N/A</v>
      </c>
      <c r="S341" s="8" t="e">
        <f t="shared" si="46"/>
        <v>#N/A</v>
      </c>
      <c r="T341" s="8" t="e">
        <f t="shared" si="46"/>
        <v>#N/A</v>
      </c>
      <c r="U341" s="8" t="e">
        <f t="shared" si="46"/>
        <v>#N/A</v>
      </c>
      <c r="V341" s="8" t="e">
        <f t="shared" si="47"/>
        <v>#N/A</v>
      </c>
      <c r="W341" s="8" t="e">
        <f t="shared" si="47"/>
        <v>#N/A</v>
      </c>
      <c r="X341" s="8" t="e">
        <f t="shared" si="47"/>
        <v>#N/A</v>
      </c>
      <c r="Y341" s="8" t="e">
        <f t="shared" si="47"/>
        <v>#N/A</v>
      </c>
      <c r="Z341" s="8" t="e">
        <f t="shared" si="47"/>
        <v>#N/A</v>
      </c>
      <c r="AA341" s="8" t="e">
        <f t="shared" si="47"/>
        <v>#N/A</v>
      </c>
      <c r="AB341" s="8" t="e">
        <f t="shared" si="47"/>
        <v>#N/A</v>
      </c>
      <c r="AC341" s="8" t="e">
        <f t="shared" si="47"/>
        <v>#N/A</v>
      </c>
    </row>
    <row r="342" spans="13:29">
      <c r="M342" s="14">
        <v>334</v>
      </c>
      <c r="N342" s="8" t="e">
        <f t="shared" si="46"/>
        <v>#N/A</v>
      </c>
      <c r="O342" s="8" t="e">
        <f t="shared" si="46"/>
        <v>#N/A</v>
      </c>
      <c r="P342" s="8" t="e">
        <f t="shared" si="46"/>
        <v>#N/A</v>
      </c>
      <c r="Q342" s="8" t="e">
        <f t="shared" si="46"/>
        <v>#N/A</v>
      </c>
      <c r="R342" s="8" t="e">
        <f t="shared" si="46"/>
        <v>#N/A</v>
      </c>
      <c r="S342" s="8" t="e">
        <f t="shared" si="46"/>
        <v>#N/A</v>
      </c>
      <c r="T342" s="8" t="e">
        <f t="shared" si="46"/>
        <v>#N/A</v>
      </c>
      <c r="U342" s="8" t="e">
        <f t="shared" si="46"/>
        <v>#N/A</v>
      </c>
      <c r="V342" s="8" t="e">
        <f t="shared" si="47"/>
        <v>#N/A</v>
      </c>
      <c r="W342" s="8" t="e">
        <f t="shared" si="47"/>
        <v>#N/A</v>
      </c>
      <c r="X342" s="8" t="e">
        <f t="shared" si="47"/>
        <v>#N/A</v>
      </c>
      <c r="Y342" s="8" t="e">
        <f t="shared" si="47"/>
        <v>#N/A</v>
      </c>
      <c r="Z342" s="8" t="e">
        <f t="shared" si="47"/>
        <v>#N/A</v>
      </c>
      <c r="AA342" s="8" t="e">
        <f t="shared" si="47"/>
        <v>#N/A</v>
      </c>
      <c r="AB342" s="8" t="e">
        <f t="shared" si="47"/>
        <v>#N/A</v>
      </c>
      <c r="AC342" s="8" t="e">
        <f t="shared" si="47"/>
        <v>#N/A</v>
      </c>
    </row>
    <row r="343" spans="13:29">
      <c r="M343" s="14">
        <v>335</v>
      </c>
      <c r="N343" s="8" t="e">
        <f t="shared" si="46"/>
        <v>#N/A</v>
      </c>
      <c r="O343" s="8" t="e">
        <f t="shared" si="46"/>
        <v>#N/A</v>
      </c>
      <c r="P343" s="8" t="e">
        <f t="shared" si="46"/>
        <v>#N/A</v>
      </c>
      <c r="Q343" s="8" t="e">
        <f t="shared" si="46"/>
        <v>#N/A</v>
      </c>
      <c r="R343" s="8" t="e">
        <f t="shared" si="46"/>
        <v>#N/A</v>
      </c>
      <c r="S343" s="8" t="e">
        <f t="shared" si="46"/>
        <v>#N/A</v>
      </c>
      <c r="T343" s="8" t="e">
        <f t="shared" si="46"/>
        <v>#N/A</v>
      </c>
      <c r="U343" s="8" t="e">
        <f t="shared" si="46"/>
        <v>#N/A</v>
      </c>
      <c r="V343" s="8" t="e">
        <f t="shared" si="47"/>
        <v>#N/A</v>
      </c>
      <c r="W343" s="8" t="e">
        <f t="shared" si="47"/>
        <v>#N/A</v>
      </c>
      <c r="X343" s="8" t="e">
        <f t="shared" si="47"/>
        <v>#N/A</v>
      </c>
      <c r="Y343" s="8" t="e">
        <f t="shared" si="47"/>
        <v>#N/A</v>
      </c>
      <c r="Z343" s="8" t="e">
        <f t="shared" si="47"/>
        <v>#N/A</v>
      </c>
      <c r="AA343" s="8" t="e">
        <f t="shared" si="47"/>
        <v>#N/A</v>
      </c>
      <c r="AB343" s="8" t="e">
        <f t="shared" si="47"/>
        <v>#N/A</v>
      </c>
      <c r="AC343" s="8" t="e">
        <f t="shared" si="47"/>
        <v>#N/A</v>
      </c>
    </row>
    <row r="344" spans="13:29">
      <c r="M344" s="14">
        <v>336</v>
      </c>
      <c r="N344" s="8" t="e">
        <f t="shared" si="46"/>
        <v>#N/A</v>
      </c>
      <c r="O344" s="8" t="e">
        <f t="shared" si="46"/>
        <v>#N/A</v>
      </c>
      <c r="P344" s="8" t="e">
        <f t="shared" si="46"/>
        <v>#N/A</v>
      </c>
      <c r="Q344" s="8" t="e">
        <f t="shared" si="46"/>
        <v>#N/A</v>
      </c>
      <c r="R344" s="8" t="e">
        <f t="shared" si="46"/>
        <v>#N/A</v>
      </c>
      <c r="S344" s="8" t="e">
        <f t="shared" si="46"/>
        <v>#N/A</v>
      </c>
      <c r="T344" s="8" t="e">
        <f t="shared" si="46"/>
        <v>#N/A</v>
      </c>
      <c r="U344" s="8" t="e">
        <f t="shared" si="46"/>
        <v>#N/A</v>
      </c>
      <c r="V344" s="8" t="e">
        <f t="shared" si="47"/>
        <v>#N/A</v>
      </c>
      <c r="W344" s="8" t="e">
        <f t="shared" si="47"/>
        <v>#N/A</v>
      </c>
      <c r="X344" s="8" t="e">
        <f t="shared" si="47"/>
        <v>#N/A</v>
      </c>
      <c r="Y344" s="8" t="e">
        <f t="shared" si="47"/>
        <v>#N/A</v>
      </c>
      <c r="Z344" s="8" t="e">
        <f t="shared" si="47"/>
        <v>#N/A</v>
      </c>
      <c r="AA344" s="8" t="e">
        <f t="shared" si="47"/>
        <v>#N/A</v>
      </c>
      <c r="AB344" s="8" t="e">
        <f t="shared" si="47"/>
        <v>#N/A</v>
      </c>
      <c r="AC344" s="8" t="e">
        <f t="shared" si="47"/>
        <v>#N/A</v>
      </c>
    </row>
    <row r="345" spans="13:29">
      <c r="M345" s="14">
        <v>337</v>
      </c>
      <c r="N345" s="8" t="e">
        <f t="shared" ref="N345:U360" si="48">IF($M345&lt;=100/$G$15*$H$15,N$5,NA())</f>
        <v>#N/A</v>
      </c>
      <c r="O345" s="8" t="e">
        <f t="shared" si="48"/>
        <v>#N/A</v>
      </c>
      <c r="P345" s="8" t="e">
        <f t="shared" si="48"/>
        <v>#N/A</v>
      </c>
      <c r="Q345" s="8" t="e">
        <f t="shared" si="48"/>
        <v>#N/A</v>
      </c>
      <c r="R345" s="8" t="e">
        <f t="shared" si="48"/>
        <v>#N/A</v>
      </c>
      <c r="S345" s="8" t="e">
        <f t="shared" si="48"/>
        <v>#N/A</v>
      </c>
      <c r="T345" s="8" t="e">
        <f t="shared" si="48"/>
        <v>#N/A</v>
      </c>
      <c r="U345" s="8" t="e">
        <f t="shared" si="48"/>
        <v>#N/A</v>
      </c>
      <c r="V345" s="8" t="e">
        <f t="shared" ref="V345:AC360" si="49">IF($M345&lt;=INDEX($K$5:$K$12,V$6)/$G$15*$H$15,V$5,NA())</f>
        <v>#N/A</v>
      </c>
      <c r="W345" s="8" t="e">
        <f t="shared" si="49"/>
        <v>#N/A</v>
      </c>
      <c r="X345" s="8" t="e">
        <f t="shared" si="49"/>
        <v>#N/A</v>
      </c>
      <c r="Y345" s="8" t="e">
        <f t="shared" si="49"/>
        <v>#N/A</v>
      </c>
      <c r="Z345" s="8" t="e">
        <f t="shared" si="49"/>
        <v>#N/A</v>
      </c>
      <c r="AA345" s="8" t="e">
        <f t="shared" si="49"/>
        <v>#N/A</v>
      </c>
      <c r="AB345" s="8" t="e">
        <f t="shared" si="49"/>
        <v>#N/A</v>
      </c>
      <c r="AC345" s="8" t="e">
        <f t="shared" si="49"/>
        <v>#N/A</v>
      </c>
    </row>
    <row r="346" spans="13:29">
      <c r="M346" s="14">
        <v>338</v>
      </c>
      <c r="N346" s="8" t="e">
        <f t="shared" si="48"/>
        <v>#N/A</v>
      </c>
      <c r="O346" s="8" t="e">
        <f t="shared" si="48"/>
        <v>#N/A</v>
      </c>
      <c r="P346" s="8" t="e">
        <f t="shared" si="48"/>
        <v>#N/A</v>
      </c>
      <c r="Q346" s="8" t="e">
        <f t="shared" si="48"/>
        <v>#N/A</v>
      </c>
      <c r="R346" s="8" t="e">
        <f t="shared" si="48"/>
        <v>#N/A</v>
      </c>
      <c r="S346" s="8" t="e">
        <f t="shared" si="48"/>
        <v>#N/A</v>
      </c>
      <c r="T346" s="8" t="e">
        <f t="shared" si="48"/>
        <v>#N/A</v>
      </c>
      <c r="U346" s="8" t="e">
        <f t="shared" si="48"/>
        <v>#N/A</v>
      </c>
      <c r="V346" s="8" t="e">
        <f t="shared" si="49"/>
        <v>#N/A</v>
      </c>
      <c r="W346" s="8" t="e">
        <f t="shared" si="49"/>
        <v>#N/A</v>
      </c>
      <c r="X346" s="8" t="e">
        <f t="shared" si="49"/>
        <v>#N/A</v>
      </c>
      <c r="Y346" s="8" t="e">
        <f t="shared" si="49"/>
        <v>#N/A</v>
      </c>
      <c r="Z346" s="8" t="e">
        <f t="shared" si="49"/>
        <v>#N/A</v>
      </c>
      <c r="AA346" s="8" t="e">
        <f t="shared" si="49"/>
        <v>#N/A</v>
      </c>
      <c r="AB346" s="8" t="e">
        <f t="shared" si="49"/>
        <v>#N/A</v>
      </c>
      <c r="AC346" s="8" t="e">
        <f t="shared" si="49"/>
        <v>#N/A</v>
      </c>
    </row>
    <row r="347" spans="13:29">
      <c r="M347" s="14">
        <v>339</v>
      </c>
      <c r="N347" s="8" t="e">
        <f t="shared" si="48"/>
        <v>#N/A</v>
      </c>
      <c r="O347" s="8" t="e">
        <f t="shared" si="48"/>
        <v>#N/A</v>
      </c>
      <c r="P347" s="8" t="e">
        <f t="shared" si="48"/>
        <v>#N/A</v>
      </c>
      <c r="Q347" s="8" t="e">
        <f t="shared" si="48"/>
        <v>#N/A</v>
      </c>
      <c r="R347" s="8" t="e">
        <f t="shared" si="48"/>
        <v>#N/A</v>
      </c>
      <c r="S347" s="8" t="e">
        <f t="shared" si="48"/>
        <v>#N/A</v>
      </c>
      <c r="T347" s="8" t="e">
        <f t="shared" si="48"/>
        <v>#N/A</v>
      </c>
      <c r="U347" s="8" t="e">
        <f t="shared" si="48"/>
        <v>#N/A</v>
      </c>
      <c r="V347" s="8" t="e">
        <f t="shared" si="49"/>
        <v>#N/A</v>
      </c>
      <c r="W347" s="8" t="e">
        <f t="shared" si="49"/>
        <v>#N/A</v>
      </c>
      <c r="X347" s="8" t="e">
        <f t="shared" si="49"/>
        <v>#N/A</v>
      </c>
      <c r="Y347" s="8" t="e">
        <f t="shared" si="49"/>
        <v>#N/A</v>
      </c>
      <c r="Z347" s="8" t="e">
        <f t="shared" si="49"/>
        <v>#N/A</v>
      </c>
      <c r="AA347" s="8" t="e">
        <f t="shared" si="49"/>
        <v>#N/A</v>
      </c>
      <c r="AB347" s="8" t="e">
        <f t="shared" si="49"/>
        <v>#N/A</v>
      </c>
      <c r="AC347" s="8" t="e">
        <f t="shared" si="49"/>
        <v>#N/A</v>
      </c>
    </row>
    <row r="348" spans="13:29">
      <c r="M348" s="14">
        <v>340</v>
      </c>
      <c r="N348" s="8" t="e">
        <f t="shared" si="48"/>
        <v>#N/A</v>
      </c>
      <c r="O348" s="8" t="e">
        <f t="shared" si="48"/>
        <v>#N/A</v>
      </c>
      <c r="P348" s="8" t="e">
        <f t="shared" si="48"/>
        <v>#N/A</v>
      </c>
      <c r="Q348" s="8" t="e">
        <f t="shared" si="48"/>
        <v>#N/A</v>
      </c>
      <c r="R348" s="8" t="e">
        <f t="shared" si="48"/>
        <v>#N/A</v>
      </c>
      <c r="S348" s="8" t="e">
        <f t="shared" si="48"/>
        <v>#N/A</v>
      </c>
      <c r="T348" s="8" t="e">
        <f t="shared" si="48"/>
        <v>#N/A</v>
      </c>
      <c r="U348" s="8" t="e">
        <f t="shared" si="48"/>
        <v>#N/A</v>
      </c>
      <c r="V348" s="8" t="e">
        <f t="shared" si="49"/>
        <v>#N/A</v>
      </c>
      <c r="W348" s="8" t="e">
        <f t="shared" si="49"/>
        <v>#N/A</v>
      </c>
      <c r="X348" s="8" t="e">
        <f t="shared" si="49"/>
        <v>#N/A</v>
      </c>
      <c r="Y348" s="8" t="e">
        <f t="shared" si="49"/>
        <v>#N/A</v>
      </c>
      <c r="Z348" s="8" t="e">
        <f t="shared" si="49"/>
        <v>#N/A</v>
      </c>
      <c r="AA348" s="8" t="e">
        <f t="shared" si="49"/>
        <v>#N/A</v>
      </c>
      <c r="AB348" s="8" t="e">
        <f t="shared" si="49"/>
        <v>#N/A</v>
      </c>
      <c r="AC348" s="8" t="e">
        <f t="shared" si="49"/>
        <v>#N/A</v>
      </c>
    </row>
    <row r="349" spans="13:29">
      <c r="M349" s="14">
        <v>341</v>
      </c>
      <c r="N349" s="8" t="e">
        <f t="shared" si="48"/>
        <v>#N/A</v>
      </c>
      <c r="O349" s="8" t="e">
        <f t="shared" si="48"/>
        <v>#N/A</v>
      </c>
      <c r="P349" s="8" t="e">
        <f t="shared" si="48"/>
        <v>#N/A</v>
      </c>
      <c r="Q349" s="8" t="e">
        <f t="shared" si="48"/>
        <v>#N/A</v>
      </c>
      <c r="R349" s="8" t="e">
        <f t="shared" si="48"/>
        <v>#N/A</v>
      </c>
      <c r="S349" s="8" t="e">
        <f t="shared" si="48"/>
        <v>#N/A</v>
      </c>
      <c r="T349" s="8" t="e">
        <f t="shared" si="48"/>
        <v>#N/A</v>
      </c>
      <c r="U349" s="8" t="e">
        <f t="shared" si="48"/>
        <v>#N/A</v>
      </c>
      <c r="V349" s="8" t="e">
        <f t="shared" si="49"/>
        <v>#N/A</v>
      </c>
      <c r="W349" s="8" t="e">
        <f t="shared" si="49"/>
        <v>#N/A</v>
      </c>
      <c r="X349" s="8" t="e">
        <f t="shared" si="49"/>
        <v>#N/A</v>
      </c>
      <c r="Y349" s="8" t="e">
        <f t="shared" si="49"/>
        <v>#N/A</v>
      </c>
      <c r="Z349" s="8" t="e">
        <f t="shared" si="49"/>
        <v>#N/A</v>
      </c>
      <c r="AA349" s="8" t="e">
        <f t="shared" si="49"/>
        <v>#N/A</v>
      </c>
      <c r="AB349" s="8" t="e">
        <f t="shared" si="49"/>
        <v>#N/A</v>
      </c>
      <c r="AC349" s="8" t="e">
        <f t="shared" si="49"/>
        <v>#N/A</v>
      </c>
    </row>
    <row r="350" spans="13:29">
      <c r="M350" s="14">
        <v>342</v>
      </c>
      <c r="N350" s="8" t="e">
        <f t="shared" si="48"/>
        <v>#N/A</v>
      </c>
      <c r="O350" s="8" t="e">
        <f t="shared" si="48"/>
        <v>#N/A</v>
      </c>
      <c r="P350" s="8" t="e">
        <f t="shared" si="48"/>
        <v>#N/A</v>
      </c>
      <c r="Q350" s="8" t="e">
        <f t="shared" si="48"/>
        <v>#N/A</v>
      </c>
      <c r="R350" s="8" t="e">
        <f t="shared" si="48"/>
        <v>#N/A</v>
      </c>
      <c r="S350" s="8" t="e">
        <f t="shared" si="48"/>
        <v>#N/A</v>
      </c>
      <c r="T350" s="8" t="e">
        <f t="shared" si="48"/>
        <v>#N/A</v>
      </c>
      <c r="U350" s="8" t="e">
        <f t="shared" si="48"/>
        <v>#N/A</v>
      </c>
      <c r="V350" s="8" t="e">
        <f t="shared" si="49"/>
        <v>#N/A</v>
      </c>
      <c r="W350" s="8" t="e">
        <f t="shared" si="49"/>
        <v>#N/A</v>
      </c>
      <c r="X350" s="8" t="e">
        <f t="shared" si="49"/>
        <v>#N/A</v>
      </c>
      <c r="Y350" s="8" t="e">
        <f t="shared" si="49"/>
        <v>#N/A</v>
      </c>
      <c r="Z350" s="8" t="e">
        <f t="shared" si="49"/>
        <v>#N/A</v>
      </c>
      <c r="AA350" s="8" t="e">
        <f t="shared" si="49"/>
        <v>#N/A</v>
      </c>
      <c r="AB350" s="8" t="e">
        <f t="shared" si="49"/>
        <v>#N/A</v>
      </c>
      <c r="AC350" s="8" t="e">
        <f t="shared" si="49"/>
        <v>#N/A</v>
      </c>
    </row>
    <row r="351" spans="13:29">
      <c r="M351" s="14">
        <v>343</v>
      </c>
      <c r="N351" s="8" t="e">
        <f t="shared" si="48"/>
        <v>#N/A</v>
      </c>
      <c r="O351" s="8" t="e">
        <f t="shared" si="48"/>
        <v>#N/A</v>
      </c>
      <c r="P351" s="8" t="e">
        <f t="shared" si="48"/>
        <v>#N/A</v>
      </c>
      <c r="Q351" s="8" t="e">
        <f t="shared" si="48"/>
        <v>#N/A</v>
      </c>
      <c r="R351" s="8" t="e">
        <f t="shared" si="48"/>
        <v>#N/A</v>
      </c>
      <c r="S351" s="8" t="e">
        <f t="shared" si="48"/>
        <v>#N/A</v>
      </c>
      <c r="T351" s="8" t="e">
        <f t="shared" si="48"/>
        <v>#N/A</v>
      </c>
      <c r="U351" s="8" t="e">
        <f t="shared" si="48"/>
        <v>#N/A</v>
      </c>
      <c r="V351" s="8" t="e">
        <f t="shared" si="49"/>
        <v>#N/A</v>
      </c>
      <c r="W351" s="8" t="e">
        <f t="shared" si="49"/>
        <v>#N/A</v>
      </c>
      <c r="X351" s="8" t="e">
        <f t="shared" si="49"/>
        <v>#N/A</v>
      </c>
      <c r="Y351" s="8" t="e">
        <f t="shared" si="49"/>
        <v>#N/A</v>
      </c>
      <c r="Z351" s="8" t="e">
        <f t="shared" si="49"/>
        <v>#N/A</v>
      </c>
      <c r="AA351" s="8" t="e">
        <f t="shared" si="49"/>
        <v>#N/A</v>
      </c>
      <c r="AB351" s="8" t="e">
        <f t="shared" si="49"/>
        <v>#N/A</v>
      </c>
      <c r="AC351" s="8" t="e">
        <f t="shared" si="49"/>
        <v>#N/A</v>
      </c>
    </row>
    <row r="352" spans="13:29">
      <c r="M352" s="14">
        <v>344</v>
      </c>
      <c r="N352" s="8" t="e">
        <f t="shared" si="48"/>
        <v>#N/A</v>
      </c>
      <c r="O352" s="8" t="e">
        <f t="shared" si="48"/>
        <v>#N/A</v>
      </c>
      <c r="P352" s="8" t="e">
        <f t="shared" si="48"/>
        <v>#N/A</v>
      </c>
      <c r="Q352" s="8" t="e">
        <f t="shared" si="48"/>
        <v>#N/A</v>
      </c>
      <c r="R352" s="8" t="e">
        <f t="shared" si="48"/>
        <v>#N/A</v>
      </c>
      <c r="S352" s="8" t="e">
        <f t="shared" si="48"/>
        <v>#N/A</v>
      </c>
      <c r="T352" s="8" t="e">
        <f t="shared" si="48"/>
        <v>#N/A</v>
      </c>
      <c r="U352" s="8" t="e">
        <f t="shared" si="48"/>
        <v>#N/A</v>
      </c>
      <c r="V352" s="8" t="e">
        <f t="shared" si="49"/>
        <v>#N/A</v>
      </c>
      <c r="W352" s="8" t="e">
        <f t="shared" si="49"/>
        <v>#N/A</v>
      </c>
      <c r="X352" s="8" t="e">
        <f t="shared" si="49"/>
        <v>#N/A</v>
      </c>
      <c r="Y352" s="8" t="e">
        <f t="shared" si="49"/>
        <v>#N/A</v>
      </c>
      <c r="Z352" s="8" t="e">
        <f t="shared" si="49"/>
        <v>#N/A</v>
      </c>
      <c r="AA352" s="8" t="e">
        <f t="shared" si="49"/>
        <v>#N/A</v>
      </c>
      <c r="AB352" s="8" t="e">
        <f t="shared" si="49"/>
        <v>#N/A</v>
      </c>
      <c r="AC352" s="8" t="e">
        <f t="shared" si="49"/>
        <v>#N/A</v>
      </c>
    </row>
    <row r="353" spans="13:29">
      <c r="M353" s="14">
        <v>345</v>
      </c>
      <c r="N353" s="8" t="e">
        <f t="shared" si="48"/>
        <v>#N/A</v>
      </c>
      <c r="O353" s="8" t="e">
        <f t="shared" si="48"/>
        <v>#N/A</v>
      </c>
      <c r="P353" s="8" t="e">
        <f t="shared" si="48"/>
        <v>#N/A</v>
      </c>
      <c r="Q353" s="8" t="e">
        <f t="shared" si="48"/>
        <v>#N/A</v>
      </c>
      <c r="R353" s="8" t="e">
        <f t="shared" si="48"/>
        <v>#N/A</v>
      </c>
      <c r="S353" s="8" t="e">
        <f t="shared" si="48"/>
        <v>#N/A</v>
      </c>
      <c r="T353" s="8" t="e">
        <f t="shared" si="48"/>
        <v>#N/A</v>
      </c>
      <c r="U353" s="8" t="e">
        <f t="shared" si="48"/>
        <v>#N/A</v>
      </c>
      <c r="V353" s="8" t="e">
        <f t="shared" si="49"/>
        <v>#N/A</v>
      </c>
      <c r="W353" s="8" t="e">
        <f t="shared" si="49"/>
        <v>#N/A</v>
      </c>
      <c r="X353" s="8" t="e">
        <f t="shared" si="49"/>
        <v>#N/A</v>
      </c>
      <c r="Y353" s="8" t="e">
        <f t="shared" si="49"/>
        <v>#N/A</v>
      </c>
      <c r="Z353" s="8" t="e">
        <f t="shared" si="49"/>
        <v>#N/A</v>
      </c>
      <c r="AA353" s="8" t="e">
        <f t="shared" si="49"/>
        <v>#N/A</v>
      </c>
      <c r="AB353" s="8" t="e">
        <f t="shared" si="49"/>
        <v>#N/A</v>
      </c>
      <c r="AC353" s="8" t="e">
        <f t="shared" si="49"/>
        <v>#N/A</v>
      </c>
    </row>
    <row r="354" spans="13:29">
      <c r="M354" s="14">
        <v>346</v>
      </c>
      <c r="N354" s="8" t="e">
        <f t="shared" si="48"/>
        <v>#N/A</v>
      </c>
      <c r="O354" s="8" t="e">
        <f t="shared" si="48"/>
        <v>#N/A</v>
      </c>
      <c r="P354" s="8" t="e">
        <f t="shared" si="48"/>
        <v>#N/A</v>
      </c>
      <c r="Q354" s="8" t="e">
        <f t="shared" si="48"/>
        <v>#N/A</v>
      </c>
      <c r="R354" s="8" t="e">
        <f t="shared" si="48"/>
        <v>#N/A</v>
      </c>
      <c r="S354" s="8" t="e">
        <f t="shared" si="48"/>
        <v>#N/A</v>
      </c>
      <c r="T354" s="8" t="e">
        <f t="shared" si="48"/>
        <v>#N/A</v>
      </c>
      <c r="U354" s="8" t="e">
        <f t="shared" si="48"/>
        <v>#N/A</v>
      </c>
      <c r="V354" s="8" t="e">
        <f t="shared" si="49"/>
        <v>#N/A</v>
      </c>
      <c r="W354" s="8" t="e">
        <f t="shared" si="49"/>
        <v>#N/A</v>
      </c>
      <c r="X354" s="8" t="e">
        <f t="shared" si="49"/>
        <v>#N/A</v>
      </c>
      <c r="Y354" s="8" t="e">
        <f t="shared" si="49"/>
        <v>#N/A</v>
      </c>
      <c r="Z354" s="8" t="e">
        <f t="shared" si="49"/>
        <v>#N/A</v>
      </c>
      <c r="AA354" s="8" t="e">
        <f t="shared" si="49"/>
        <v>#N/A</v>
      </c>
      <c r="AB354" s="8" t="e">
        <f t="shared" si="49"/>
        <v>#N/A</v>
      </c>
      <c r="AC354" s="8" t="e">
        <f t="shared" si="49"/>
        <v>#N/A</v>
      </c>
    </row>
    <row r="355" spans="13:29">
      <c r="M355" s="14">
        <v>347</v>
      </c>
      <c r="N355" s="8" t="e">
        <f t="shared" si="48"/>
        <v>#N/A</v>
      </c>
      <c r="O355" s="8" t="e">
        <f t="shared" si="48"/>
        <v>#N/A</v>
      </c>
      <c r="P355" s="8" t="e">
        <f t="shared" si="48"/>
        <v>#N/A</v>
      </c>
      <c r="Q355" s="8" t="e">
        <f t="shared" si="48"/>
        <v>#N/A</v>
      </c>
      <c r="R355" s="8" t="e">
        <f t="shared" si="48"/>
        <v>#N/A</v>
      </c>
      <c r="S355" s="8" t="e">
        <f t="shared" si="48"/>
        <v>#N/A</v>
      </c>
      <c r="T355" s="8" t="e">
        <f t="shared" si="48"/>
        <v>#N/A</v>
      </c>
      <c r="U355" s="8" t="e">
        <f t="shared" si="48"/>
        <v>#N/A</v>
      </c>
      <c r="V355" s="8" t="e">
        <f t="shared" si="49"/>
        <v>#N/A</v>
      </c>
      <c r="W355" s="8" t="e">
        <f t="shared" si="49"/>
        <v>#N/A</v>
      </c>
      <c r="X355" s="8" t="e">
        <f t="shared" si="49"/>
        <v>#N/A</v>
      </c>
      <c r="Y355" s="8" t="e">
        <f t="shared" si="49"/>
        <v>#N/A</v>
      </c>
      <c r="Z355" s="8" t="e">
        <f t="shared" si="49"/>
        <v>#N/A</v>
      </c>
      <c r="AA355" s="8" t="e">
        <f t="shared" si="49"/>
        <v>#N/A</v>
      </c>
      <c r="AB355" s="8" t="e">
        <f t="shared" si="49"/>
        <v>#N/A</v>
      </c>
      <c r="AC355" s="8" t="e">
        <f t="shared" si="49"/>
        <v>#N/A</v>
      </c>
    </row>
    <row r="356" spans="13:29">
      <c r="M356" s="14">
        <v>348</v>
      </c>
      <c r="N356" s="8" t="e">
        <f t="shared" si="48"/>
        <v>#N/A</v>
      </c>
      <c r="O356" s="8" t="e">
        <f t="shared" si="48"/>
        <v>#N/A</v>
      </c>
      <c r="P356" s="8" t="e">
        <f t="shared" si="48"/>
        <v>#N/A</v>
      </c>
      <c r="Q356" s="8" t="e">
        <f t="shared" si="48"/>
        <v>#N/A</v>
      </c>
      <c r="R356" s="8" t="e">
        <f t="shared" si="48"/>
        <v>#N/A</v>
      </c>
      <c r="S356" s="8" t="e">
        <f t="shared" si="48"/>
        <v>#N/A</v>
      </c>
      <c r="T356" s="8" t="e">
        <f t="shared" si="48"/>
        <v>#N/A</v>
      </c>
      <c r="U356" s="8" t="e">
        <f t="shared" si="48"/>
        <v>#N/A</v>
      </c>
      <c r="V356" s="8" t="e">
        <f t="shared" si="49"/>
        <v>#N/A</v>
      </c>
      <c r="W356" s="8" t="e">
        <f t="shared" si="49"/>
        <v>#N/A</v>
      </c>
      <c r="X356" s="8" t="e">
        <f t="shared" si="49"/>
        <v>#N/A</v>
      </c>
      <c r="Y356" s="8" t="e">
        <f t="shared" si="49"/>
        <v>#N/A</v>
      </c>
      <c r="Z356" s="8" t="e">
        <f t="shared" si="49"/>
        <v>#N/A</v>
      </c>
      <c r="AA356" s="8" t="e">
        <f t="shared" si="49"/>
        <v>#N/A</v>
      </c>
      <c r="AB356" s="8" t="e">
        <f t="shared" si="49"/>
        <v>#N/A</v>
      </c>
      <c r="AC356" s="8" t="e">
        <f t="shared" si="49"/>
        <v>#N/A</v>
      </c>
    </row>
    <row r="357" spans="13:29">
      <c r="M357" s="14">
        <v>349</v>
      </c>
      <c r="N357" s="8" t="e">
        <f t="shared" si="48"/>
        <v>#N/A</v>
      </c>
      <c r="O357" s="8" t="e">
        <f t="shared" si="48"/>
        <v>#N/A</v>
      </c>
      <c r="P357" s="8" t="e">
        <f t="shared" si="48"/>
        <v>#N/A</v>
      </c>
      <c r="Q357" s="8" t="e">
        <f t="shared" si="48"/>
        <v>#N/A</v>
      </c>
      <c r="R357" s="8" t="e">
        <f t="shared" si="48"/>
        <v>#N/A</v>
      </c>
      <c r="S357" s="8" t="e">
        <f t="shared" si="48"/>
        <v>#N/A</v>
      </c>
      <c r="T357" s="8" t="e">
        <f t="shared" si="48"/>
        <v>#N/A</v>
      </c>
      <c r="U357" s="8" t="e">
        <f t="shared" si="48"/>
        <v>#N/A</v>
      </c>
      <c r="V357" s="8" t="e">
        <f t="shared" si="49"/>
        <v>#N/A</v>
      </c>
      <c r="W357" s="8" t="e">
        <f t="shared" si="49"/>
        <v>#N/A</v>
      </c>
      <c r="X357" s="8" t="e">
        <f t="shared" si="49"/>
        <v>#N/A</v>
      </c>
      <c r="Y357" s="8" t="e">
        <f t="shared" si="49"/>
        <v>#N/A</v>
      </c>
      <c r="Z357" s="8" t="e">
        <f t="shared" si="49"/>
        <v>#N/A</v>
      </c>
      <c r="AA357" s="8" t="e">
        <f t="shared" si="49"/>
        <v>#N/A</v>
      </c>
      <c r="AB357" s="8" t="e">
        <f t="shared" si="49"/>
        <v>#N/A</v>
      </c>
      <c r="AC357" s="8" t="e">
        <f t="shared" si="49"/>
        <v>#N/A</v>
      </c>
    </row>
    <row r="358" spans="13:29">
      <c r="M358" s="14">
        <v>350</v>
      </c>
      <c r="N358" s="8" t="e">
        <f t="shared" si="48"/>
        <v>#N/A</v>
      </c>
      <c r="O358" s="8" t="e">
        <f t="shared" si="48"/>
        <v>#N/A</v>
      </c>
      <c r="P358" s="8" t="e">
        <f t="shared" si="48"/>
        <v>#N/A</v>
      </c>
      <c r="Q358" s="8" t="e">
        <f t="shared" si="48"/>
        <v>#N/A</v>
      </c>
      <c r="R358" s="8" t="e">
        <f t="shared" si="48"/>
        <v>#N/A</v>
      </c>
      <c r="S358" s="8" t="e">
        <f t="shared" si="48"/>
        <v>#N/A</v>
      </c>
      <c r="T358" s="8" t="e">
        <f t="shared" si="48"/>
        <v>#N/A</v>
      </c>
      <c r="U358" s="8" t="e">
        <f t="shared" si="48"/>
        <v>#N/A</v>
      </c>
      <c r="V358" s="8" t="e">
        <f t="shared" si="49"/>
        <v>#N/A</v>
      </c>
      <c r="W358" s="8" t="e">
        <f t="shared" si="49"/>
        <v>#N/A</v>
      </c>
      <c r="X358" s="8" t="e">
        <f t="shared" si="49"/>
        <v>#N/A</v>
      </c>
      <c r="Y358" s="8" t="e">
        <f t="shared" si="49"/>
        <v>#N/A</v>
      </c>
      <c r="Z358" s="8" t="e">
        <f t="shared" si="49"/>
        <v>#N/A</v>
      </c>
      <c r="AA358" s="8" t="e">
        <f t="shared" si="49"/>
        <v>#N/A</v>
      </c>
      <c r="AB358" s="8" t="e">
        <f t="shared" si="49"/>
        <v>#N/A</v>
      </c>
      <c r="AC358" s="8" t="e">
        <f t="shared" si="49"/>
        <v>#N/A</v>
      </c>
    </row>
    <row r="359" spans="13:29">
      <c r="M359" s="14">
        <v>351</v>
      </c>
      <c r="N359" s="8" t="e">
        <f t="shared" si="48"/>
        <v>#N/A</v>
      </c>
      <c r="O359" s="8" t="e">
        <f t="shared" si="48"/>
        <v>#N/A</v>
      </c>
      <c r="P359" s="8" t="e">
        <f t="shared" si="48"/>
        <v>#N/A</v>
      </c>
      <c r="Q359" s="8" t="e">
        <f t="shared" si="48"/>
        <v>#N/A</v>
      </c>
      <c r="R359" s="8" t="e">
        <f t="shared" si="48"/>
        <v>#N/A</v>
      </c>
      <c r="S359" s="8" t="e">
        <f t="shared" si="48"/>
        <v>#N/A</v>
      </c>
      <c r="T359" s="8" t="e">
        <f t="shared" si="48"/>
        <v>#N/A</v>
      </c>
      <c r="U359" s="8" t="e">
        <f t="shared" si="48"/>
        <v>#N/A</v>
      </c>
      <c r="V359" s="8" t="e">
        <f t="shared" si="49"/>
        <v>#N/A</v>
      </c>
      <c r="W359" s="8" t="e">
        <f t="shared" si="49"/>
        <v>#N/A</v>
      </c>
      <c r="X359" s="8" t="e">
        <f t="shared" si="49"/>
        <v>#N/A</v>
      </c>
      <c r="Y359" s="8" t="e">
        <f t="shared" si="49"/>
        <v>#N/A</v>
      </c>
      <c r="Z359" s="8" t="e">
        <f t="shared" si="49"/>
        <v>#N/A</v>
      </c>
      <c r="AA359" s="8" t="e">
        <f t="shared" si="49"/>
        <v>#N/A</v>
      </c>
      <c r="AB359" s="8" t="e">
        <f t="shared" si="49"/>
        <v>#N/A</v>
      </c>
      <c r="AC359" s="8" t="e">
        <f t="shared" si="49"/>
        <v>#N/A</v>
      </c>
    </row>
    <row r="360" spans="13:29">
      <c r="M360" s="14">
        <v>352</v>
      </c>
      <c r="N360" s="8" t="e">
        <f t="shared" si="48"/>
        <v>#N/A</v>
      </c>
      <c r="O360" s="8" t="e">
        <f t="shared" si="48"/>
        <v>#N/A</v>
      </c>
      <c r="P360" s="8" t="e">
        <f t="shared" si="48"/>
        <v>#N/A</v>
      </c>
      <c r="Q360" s="8" t="e">
        <f t="shared" si="48"/>
        <v>#N/A</v>
      </c>
      <c r="R360" s="8" t="e">
        <f t="shared" si="48"/>
        <v>#N/A</v>
      </c>
      <c r="S360" s="8" t="e">
        <f t="shared" si="48"/>
        <v>#N/A</v>
      </c>
      <c r="T360" s="8" t="e">
        <f t="shared" si="48"/>
        <v>#N/A</v>
      </c>
      <c r="U360" s="8" t="e">
        <f t="shared" si="48"/>
        <v>#N/A</v>
      </c>
      <c r="V360" s="8" t="e">
        <f t="shared" si="49"/>
        <v>#N/A</v>
      </c>
      <c r="W360" s="8" t="e">
        <f t="shared" si="49"/>
        <v>#N/A</v>
      </c>
      <c r="X360" s="8" t="e">
        <f t="shared" si="49"/>
        <v>#N/A</v>
      </c>
      <c r="Y360" s="8" t="e">
        <f t="shared" si="49"/>
        <v>#N/A</v>
      </c>
      <c r="Z360" s="8" t="e">
        <f t="shared" si="49"/>
        <v>#N/A</v>
      </c>
      <c r="AA360" s="8" t="e">
        <f t="shared" si="49"/>
        <v>#N/A</v>
      </c>
      <c r="AB360" s="8" t="e">
        <f t="shared" si="49"/>
        <v>#N/A</v>
      </c>
      <c r="AC360" s="8" t="e">
        <f t="shared" si="49"/>
        <v>#N/A</v>
      </c>
    </row>
    <row r="361" spans="13:29">
      <c r="M361" s="14">
        <v>353</v>
      </c>
      <c r="N361" s="8" t="e">
        <f t="shared" ref="N361:U368" si="50">IF($M361&lt;=100/$G$15*$H$15,N$5,NA())</f>
        <v>#N/A</v>
      </c>
      <c r="O361" s="8" t="e">
        <f t="shared" si="50"/>
        <v>#N/A</v>
      </c>
      <c r="P361" s="8" t="e">
        <f t="shared" si="50"/>
        <v>#N/A</v>
      </c>
      <c r="Q361" s="8" t="e">
        <f t="shared" si="50"/>
        <v>#N/A</v>
      </c>
      <c r="R361" s="8" t="e">
        <f t="shared" si="50"/>
        <v>#N/A</v>
      </c>
      <c r="S361" s="8" t="e">
        <f t="shared" si="50"/>
        <v>#N/A</v>
      </c>
      <c r="T361" s="8" t="e">
        <f t="shared" si="50"/>
        <v>#N/A</v>
      </c>
      <c r="U361" s="8" t="e">
        <f t="shared" si="50"/>
        <v>#N/A</v>
      </c>
      <c r="V361" s="8" t="e">
        <f t="shared" ref="V361:AC368" si="51">IF($M361&lt;=INDEX($K$5:$K$12,V$6)/$G$15*$H$15,V$5,NA())</f>
        <v>#N/A</v>
      </c>
      <c r="W361" s="8" t="e">
        <f t="shared" si="51"/>
        <v>#N/A</v>
      </c>
      <c r="X361" s="8" t="e">
        <f t="shared" si="51"/>
        <v>#N/A</v>
      </c>
      <c r="Y361" s="8" t="e">
        <f t="shared" si="51"/>
        <v>#N/A</v>
      </c>
      <c r="Z361" s="8" t="e">
        <f t="shared" si="51"/>
        <v>#N/A</v>
      </c>
      <c r="AA361" s="8" t="e">
        <f t="shared" si="51"/>
        <v>#N/A</v>
      </c>
      <c r="AB361" s="8" t="e">
        <f t="shared" si="51"/>
        <v>#N/A</v>
      </c>
      <c r="AC361" s="8" t="e">
        <f t="shared" si="51"/>
        <v>#N/A</v>
      </c>
    </row>
    <row r="362" spans="13:29">
      <c r="M362" s="14">
        <v>354</v>
      </c>
      <c r="N362" s="8" t="e">
        <f t="shared" si="50"/>
        <v>#N/A</v>
      </c>
      <c r="O362" s="8" t="e">
        <f t="shared" si="50"/>
        <v>#N/A</v>
      </c>
      <c r="P362" s="8" t="e">
        <f t="shared" si="50"/>
        <v>#N/A</v>
      </c>
      <c r="Q362" s="8" t="e">
        <f t="shared" si="50"/>
        <v>#N/A</v>
      </c>
      <c r="R362" s="8" t="e">
        <f t="shared" si="50"/>
        <v>#N/A</v>
      </c>
      <c r="S362" s="8" t="e">
        <f t="shared" si="50"/>
        <v>#N/A</v>
      </c>
      <c r="T362" s="8" t="e">
        <f t="shared" si="50"/>
        <v>#N/A</v>
      </c>
      <c r="U362" s="8" t="e">
        <f t="shared" si="50"/>
        <v>#N/A</v>
      </c>
      <c r="V362" s="8" t="e">
        <f t="shared" si="51"/>
        <v>#N/A</v>
      </c>
      <c r="W362" s="8" t="e">
        <f t="shared" si="51"/>
        <v>#N/A</v>
      </c>
      <c r="X362" s="8" t="e">
        <f t="shared" si="51"/>
        <v>#N/A</v>
      </c>
      <c r="Y362" s="8" t="e">
        <f t="shared" si="51"/>
        <v>#N/A</v>
      </c>
      <c r="Z362" s="8" t="e">
        <f t="shared" si="51"/>
        <v>#N/A</v>
      </c>
      <c r="AA362" s="8" t="e">
        <f t="shared" si="51"/>
        <v>#N/A</v>
      </c>
      <c r="AB362" s="8" t="e">
        <f t="shared" si="51"/>
        <v>#N/A</v>
      </c>
      <c r="AC362" s="8" t="e">
        <f t="shared" si="51"/>
        <v>#N/A</v>
      </c>
    </row>
    <row r="363" spans="13:29">
      <c r="M363" s="14">
        <v>355</v>
      </c>
      <c r="N363" s="8" t="e">
        <f t="shared" si="50"/>
        <v>#N/A</v>
      </c>
      <c r="O363" s="8" t="e">
        <f t="shared" si="50"/>
        <v>#N/A</v>
      </c>
      <c r="P363" s="8" t="e">
        <f t="shared" si="50"/>
        <v>#N/A</v>
      </c>
      <c r="Q363" s="8" t="e">
        <f t="shared" si="50"/>
        <v>#N/A</v>
      </c>
      <c r="R363" s="8" t="e">
        <f t="shared" si="50"/>
        <v>#N/A</v>
      </c>
      <c r="S363" s="8" t="e">
        <f t="shared" si="50"/>
        <v>#N/A</v>
      </c>
      <c r="T363" s="8" t="e">
        <f t="shared" si="50"/>
        <v>#N/A</v>
      </c>
      <c r="U363" s="8" t="e">
        <f t="shared" si="50"/>
        <v>#N/A</v>
      </c>
      <c r="V363" s="8" t="e">
        <f t="shared" si="51"/>
        <v>#N/A</v>
      </c>
      <c r="W363" s="8" t="e">
        <f t="shared" si="51"/>
        <v>#N/A</v>
      </c>
      <c r="X363" s="8" t="e">
        <f t="shared" si="51"/>
        <v>#N/A</v>
      </c>
      <c r="Y363" s="8" t="e">
        <f t="shared" si="51"/>
        <v>#N/A</v>
      </c>
      <c r="Z363" s="8" t="e">
        <f t="shared" si="51"/>
        <v>#N/A</v>
      </c>
      <c r="AA363" s="8" t="e">
        <f t="shared" si="51"/>
        <v>#N/A</v>
      </c>
      <c r="AB363" s="8" t="e">
        <f t="shared" si="51"/>
        <v>#N/A</v>
      </c>
      <c r="AC363" s="8" t="e">
        <f t="shared" si="51"/>
        <v>#N/A</v>
      </c>
    </row>
    <row r="364" spans="13:29">
      <c r="M364" s="14">
        <v>356</v>
      </c>
      <c r="N364" s="8" t="e">
        <f t="shared" si="50"/>
        <v>#N/A</v>
      </c>
      <c r="O364" s="8" t="e">
        <f t="shared" si="50"/>
        <v>#N/A</v>
      </c>
      <c r="P364" s="8" t="e">
        <f t="shared" si="50"/>
        <v>#N/A</v>
      </c>
      <c r="Q364" s="8" t="e">
        <f t="shared" si="50"/>
        <v>#N/A</v>
      </c>
      <c r="R364" s="8" t="e">
        <f t="shared" si="50"/>
        <v>#N/A</v>
      </c>
      <c r="S364" s="8" t="e">
        <f t="shared" si="50"/>
        <v>#N/A</v>
      </c>
      <c r="T364" s="8" t="e">
        <f t="shared" si="50"/>
        <v>#N/A</v>
      </c>
      <c r="U364" s="8" t="e">
        <f t="shared" si="50"/>
        <v>#N/A</v>
      </c>
      <c r="V364" s="8" t="e">
        <f t="shared" si="51"/>
        <v>#N/A</v>
      </c>
      <c r="W364" s="8" t="e">
        <f t="shared" si="51"/>
        <v>#N/A</v>
      </c>
      <c r="X364" s="8" t="e">
        <f t="shared" si="51"/>
        <v>#N/A</v>
      </c>
      <c r="Y364" s="8" t="e">
        <f t="shared" si="51"/>
        <v>#N/A</v>
      </c>
      <c r="Z364" s="8" t="e">
        <f t="shared" si="51"/>
        <v>#N/A</v>
      </c>
      <c r="AA364" s="8" t="e">
        <f t="shared" si="51"/>
        <v>#N/A</v>
      </c>
      <c r="AB364" s="8" t="e">
        <f t="shared" si="51"/>
        <v>#N/A</v>
      </c>
      <c r="AC364" s="8" t="e">
        <f t="shared" si="51"/>
        <v>#N/A</v>
      </c>
    </row>
    <row r="365" spans="13:29">
      <c r="M365" s="14">
        <v>357</v>
      </c>
      <c r="N365" s="8" t="e">
        <f t="shared" si="50"/>
        <v>#N/A</v>
      </c>
      <c r="O365" s="8" t="e">
        <f t="shared" si="50"/>
        <v>#N/A</v>
      </c>
      <c r="P365" s="8" t="e">
        <f t="shared" si="50"/>
        <v>#N/A</v>
      </c>
      <c r="Q365" s="8" t="e">
        <f t="shared" si="50"/>
        <v>#N/A</v>
      </c>
      <c r="R365" s="8" t="e">
        <f t="shared" si="50"/>
        <v>#N/A</v>
      </c>
      <c r="S365" s="8" t="e">
        <f t="shared" si="50"/>
        <v>#N/A</v>
      </c>
      <c r="T365" s="8" t="e">
        <f t="shared" si="50"/>
        <v>#N/A</v>
      </c>
      <c r="U365" s="8" t="e">
        <f t="shared" si="50"/>
        <v>#N/A</v>
      </c>
      <c r="V365" s="8" t="e">
        <f t="shared" si="51"/>
        <v>#N/A</v>
      </c>
      <c r="W365" s="8" t="e">
        <f t="shared" si="51"/>
        <v>#N/A</v>
      </c>
      <c r="X365" s="8" t="e">
        <f t="shared" si="51"/>
        <v>#N/A</v>
      </c>
      <c r="Y365" s="8" t="e">
        <f t="shared" si="51"/>
        <v>#N/A</v>
      </c>
      <c r="Z365" s="8" t="e">
        <f t="shared" si="51"/>
        <v>#N/A</v>
      </c>
      <c r="AA365" s="8" t="e">
        <f t="shared" si="51"/>
        <v>#N/A</v>
      </c>
      <c r="AB365" s="8" t="e">
        <f t="shared" si="51"/>
        <v>#N/A</v>
      </c>
      <c r="AC365" s="8" t="e">
        <f t="shared" si="51"/>
        <v>#N/A</v>
      </c>
    </row>
    <row r="366" spans="13:29">
      <c r="M366" s="14">
        <v>358</v>
      </c>
      <c r="N366" s="8" t="e">
        <f t="shared" si="50"/>
        <v>#N/A</v>
      </c>
      <c r="O366" s="8" t="e">
        <f t="shared" si="50"/>
        <v>#N/A</v>
      </c>
      <c r="P366" s="8" t="e">
        <f t="shared" si="50"/>
        <v>#N/A</v>
      </c>
      <c r="Q366" s="8" t="e">
        <f t="shared" si="50"/>
        <v>#N/A</v>
      </c>
      <c r="R366" s="8" t="e">
        <f t="shared" si="50"/>
        <v>#N/A</v>
      </c>
      <c r="S366" s="8" t="e">
        <f t="shared" si="50"/>
        <v>#N/A</v>
      </c>
      <c r="T366" s="8" t="e">
        <f t="shared" si="50"/>
        <v>#N/A</v>
      </c>
      <c r="U366" s="8" t="e">
        <f t="shared" si="50"/>
        <v>#N/A</v>
      </c>
      <c r="V366" s="8" t="e">
        <f t="shared" si="51"/>
        <v>#N/A</v>
      </c>
      <c r="W366" s="8" t="e">
        <f t="shared" si="51"/>
        <v>#N/A</v>
      </c>
      <c r="X366" s="8" t="e">
        <f t="shared" si="51"/>
        <v>#N/A</v>
      </c>
      <c r="Y366" s="8" t="e">
        <f t="shared" si="51"/>
        <v>#N/A</v>
      </c>
      <c r="Z366" s="8" t="e">
        <f t="shared" si="51"/>
        <v>#N/A</v>
      </c>
      <c r="AA366" s="8" t="e">
        <f t="shared" si="51"/>
        <v>#N/A</v>
      </c>
      <c r="AB366" s="8" t="e">
        <f t="shared" si="51"/>
        <v>#N/A</v>
      </c>
      <c r="AC366" s="8" t="e">
        <f t="shared" si="51"/>
        <v>#N/A</v>
      </c>
    </row>
    <row r="367" spans="13:29">
      <c r="M367" s="14">
        <v>359</v>
      </c>
      <c r="N367" s="8" t="e">
        <f t="shared" si="50"/>
        <v>#N/A</v>
      </c>
      <c r="O367" s="8" t="e">
        <f t="shared" si="50"/>
        <v>#N/A</v>
      </c>
      <c r="P367" s="8" t="e">
        <f t="shared" si="50"/>
        <v>#N/A</v>
      </c>
      <c r="Q367" s="8" t="e">
        <f t="shared" si="50"/>
        <v>#N/A</v>
      </c>
      <c r="R367" s="8" t="e">
        <f t="shared" si="50"/>
        <v>#N/A</v>
      </c>
      <c r="S367" s="8" t="e">
        <f t="shared" si="50"/>
        <v>#N/A</v>
      </c>
      <c r="T367" s="8" t="e">
        <f t="shared" si="50"/>
        <v>#N/A</v>
      </c>
      <c r="U367" s="8" t="e">
        <f t="shared" si="50"/>
        <v>#N/A</v>
      </c>
      <c r="V367" s="8" t="e">
        <f t="shared" si="51"/>
        <v>#N/A</v>
      </c>
      <c r="W367" s="8" t="e">
        <f t="shared" si="51"/>
        <v>#N/A</v>
      </c>
      <c r="X367" s="8" t="e">
        <f t="shared" si="51"/>
        <v>#N/A</v>
      </c>
      <c r="Y367" s="8" t="e">
        <f t="shared" si="51"/>
        <v>#N/A</v>
      </c>
      <c r="Z367" s="8" t="e">
        <f t="shared" si="51"/>
        <v>#N/A</v>
      </c>
      <c r="AA367" s="8" t="e">
        <f t="shared" si="51"/>
        <v>#N/A</v>
      </c>
      <c r="AB367" s="8" t="e">
        <f t="shared" si="51"/>
        <v>#N/A</v>
      </c>
      <c r="AC367" s="8" t="e">
        <f t="shared" si="51"/>
        <v>#N/A</v>
      </c>
    </row>
    <row r="368" spans="13:29">
      <c r="M368" s="14">
        <v>360</v>
      </c>
      <c r="N368" s="8" t="e">
        <f t="shared" si="50"/>
        <v>#N/A</v>
      </c>
      <c r="O368" s="8" t="e">
        <f t="shared" si="50"/>
        <v>#N/A</v>
      </c>
      <c r="P368" s="8" t="e">
        <f t="shared" si="50"/>
        <v>#N/A</v>
      </c>
      <c r="Q368" s="8" t="e">
        <f t="shared" si="50"/>
        <v>#N/A</v>
      </c>
      <c r="R368" s="8" t="e">
        <f t="shared" si="50"/>
        <v>#N/A</v>
      </c>
      <c r="S368" s="8" t="e">
        <f t="shared" si="50"/>
        <v>#N/A</v>
      </c>
      <c r="T368" s="8" t="e">
        <f t="shared" si="50"/>
        <v>#N/A</v>
      </c>
      <c r="U368" s="8" t="e">
        <f t="shared" si="50"/>
        <v>#N/A</v>
      </c>
      <c r="V368" s="8" t="e">
        <f t="shared" si="51"/>
        <v>#N/A</v>
      </c>
      <c r="W368" s="8" t="e">
        <f t="shared" si="51"/>
        <v>#N/A</v>
      </c>
      <c r="X368" s="8" t="e">
        <f t="shared" si="51"/>
        <v>#N/A</v>
      </c>
      <c r="Y368" s="8" t="e">
        <f t="shared" si="51"/>
        <v>#N/A</v>
      </c>
      <c r="Z368" s="8" t="e">
        <f t="shared" si="51"/>
        <v>#N/A</v>
      </c>
      <c r="AA368" s="8" t="e">
        <f t="shared" si="51"/>
        <v>#N/A</v>
      </c>
      <c r="AB368" s="8" t="e">
        <f t="shared" si="51"/>
        <v>#N/A</v>
      </c>
      <c r="AC368" s="8" t="e">
        <f t="shared" si="51"/>
        <v>#N/A</v>
      </c>
    </row>
  </sheetData>
  <phoneticPr fontId="11" type="noConversion"/>
  <pageMargins left="0.69930555555555596" right="0.69930555555555596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多分类圆角圆环图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2016-11-21T09:18:00Z</dcterms:created>
  <dcterms:modified xsi:type="dcterms:W3CDTF">2019-05-15T09:37:59Z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
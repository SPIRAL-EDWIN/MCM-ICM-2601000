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E99B6D7A-4F1E-471E-827C-2433624EA164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6" i="1"/>
  <c r="C6" i="1"/>
  <c r="B7" i="1"/>
  <c r="C7" i="1"/>
  <c r="B8" i="1"/>
  <c r="C8" i="1"/>
  <c r="B9" i="1"/>
  <c r="C9" i="1"/>
  <c r="E9" i="1"/>
  <c r="D9" i="1"/>
  <c r="A20" i="1"/>
  <c r="E8" i="1"/>
  <c r="D8" i="1"/>
  <c r="A19" i="1"/>
  <c r="E7" i="1"/>
  <c r="D7" i="1"/>
  <c r="A18" i="1"/>
  <c r="E6" i="1"/>
  <c r="D6" i="1"/>
  <c r="A17" i="1"/>
  <c r="E5" i="1"/>
  <c r="D5" i="1"/>
  <c r="A16" i="1"/>
  <c r="M6" i="1" a="1"/>
  <c r="N6" i="1"/>
  <c r="O6" i="1"/>
  <c r="P6" i="1"/>
  <c r="Q6" i="1"/>
  <c r="M6" i="1"/>
  <c r="H6" i="1" a="1"/>
  <c r="I6" i="1"/>
  <c r="J6" i="1"/>
  <c r="K6" i="1"/>
  <c r="L6" i="1"/>
  <c r="H6" i="1"/>
  <c r="M4" i="1" a="1"/>
  <c r="M4" i="1"/>
  <c r="H7" i="1" a="1"/>
  <c r="H7" i="1"/>
  <c r="N4" i="1"/>
  <c r="I7" i="1" a="1"/>
  <c r="I7" i="1"/>
  <c r="O4" i="1"/>
  <c r="J7" i="1" a="1"/>
  <c r="J7" i="1"/>
  <c r="P4" i="1"/>
  <c r="K7" i="1" a="1"/>
  <c r="K7" i="1"/>
  <c r="Q4" i="1"/>
  <c r="L7" i="1" a="1"/>
  <c r="L7" i="1"/>
  <c r="M7" i="1"/>
  <c r="N7" i="1"/>
  <c r="O7" i="1"/>
  <c r="P7" i="1"/>
  <c r="Q7" i="1"/>
  <c r="H8" i="1" a="1"/>
  <c r="H8" i="1"/>
  <c r="I8" i="1" a="1"/>
  <c r="I8" i="1"/>
  <c r="J8" i="1" a="1"/>
  <c r="J8" i="1"/>
  <c r="K8" i="1" a="1"/>
  <c r="K8" i="1"/>
  <c r="L8" i="1" a="1"/>
  <c r="L8" i="1"/>
  <c r="M8" i="1"/>
  <c r="N8" i="1"/>
  <c r="O8" i="1"/>
  <c r="P8" i="1"/>
  <c r="Q8" i="1"/>
  <c r="H9" i="1" a="1"/>
  <c r="H9" i="1"/>
  <c r="I9" i="1" a="1"/>
  <c r="I9" i="1"/>
  <c r="J9" i="1" a="1"/>
  <c r="J9" i="1"/>
  <c r="K9" i="1" a="1"/>
  <c r="K9" i="1"/>
  <c r="L9" i="1" a="1"/>
  <c r="L9" i="1"/>
  <c r="M9" i="1"/>
  <c r="N9" i="1"/>
  <c r="O9" i="1"/>
  <c r="P9" i="1"/>
  <c r="Q9" i="1"/>
  <c r="H10" i="1" a="1"/>
  <c r="H10" i="1"/>
  <c r="I10" i="1" a="1"/>
  <c r="I10" i="1"/>
  <c r="J10" i="1" a="1"/>
  <c r="J10" i="1"/>
  <c r="K10" i="1" a="1"/>
  <c r="K10" i="1"/>
  <c r="L10" i="1" a="1"/>
  <c r="L10" i="1"/>
  <c r="M10" i="1"/>
  <c r="N10" i="1"/>
  <c r="O10" i="1"/>
  <c r="P10" i="1"/>
  <c r="Q10" i="1"/>
  <c r="H11" i="1" a="1"/>
  <c r="H11" i="1"/>
  <c r="I11" i="1" a="1"/>
  <c r="I11" i="1"/>
  <c r="J11" i="1" a="1"/>
  <c r="J11" i="1"/>
  <c r="K11" i="1" a="1"/>
  <c r="K11" i="1"/>
  <c r="L11" i="1" a="1"/>
  <c r="L11" i="1"/>
  <c r="M11" i="1"/>
  <c r="N11" i="1"/>
  <c r="O11" i="1"/>
  <c r="P11" i="1"/>
  <c r="Q11" i="1"/>
  <c r="H12" i="1" a="1"/>
  <c r="H12" i="1"/>
  <c r="I12" i="1" a="1"/>
  <c r="I12" i="1"/>
  <c r="J12" i="1" a="1"/>
  <c r="J12" i="1"/>
  <c r="K12" i="1" a="1"/>
  <c r="K12" i="1"/>
  <c r="L12" i="1" a="1"/>
  <c r="L12" i="1"/>
  <c r="M12" i="1"/>
  <c r="N12" i="1"/>
  <c r="O12" i="1"/>
  <c r="P12" i="1"/>
  <c r="Q12" i="1"/>
  <c r="H13" i="1" a="1"/>
  <c r="H13" i="1"/>
  <c r="I13" i="1" a="1"/>
  <c r="I13" i="1"/>
  <c r="J13" i="1" a="1"/>
  <c r="J13" i="1"/>
  <c r="K13" i="1" a="1"/>
  <c r="K13" i="1"/>
  <c r="L13" i="1" a="1"/>
  <c r="L13" i="1"/>
  <c r="M13" i="1"/>
  <c r="N13" i="1"/>
  <c r="O13" i="1"/>
  <c r="P13" i="1"/>
  <c r="Q13" i="1"/>
  <c r="H14" i="1" a="1"/>
  <c r="H14" i="1"/>
  <c r="I14" i="1" a="1"/>
  <c r="I14" i="1"/>
  <c r="J14" i="1" a="1"/>
  <c r="J14" i="1"/>
  <c r="K14" i="1" a="1"/>
  <c r="K14" i="1"/>
  <c r="L14" i="1" a="1"/>
  <c r="L14" i="1"/>
  <c r="M14" i="1"/>
  <c r="N14" i="1"/>
  <c r="O14" i="1"/>
  <c r="P14" i="1"/>
  <c r="Q14" i="1"/>
  <c r="H15" i="1" a="1"/>
  <c r="H15" i="1"/>
  <c r="I15" i="1" a="1"/>
  <c r="I15" i="1"/>
  <c r="J15" i="1" a="1"/>
  <c r="J15" i="1"/>
  <c r="K15" i="1" a="1"/>
  <c r="K15" i="1"/>
  <c r="L15" i="1" a="1"/>
  <c r="L15" i="1"/>
  <c r="M15" i="1"/>
  <c r="N15" i="1"/>
  <c r="O15" i="1"/>
  <c r="P15" i="1"/>
  <c r="Q15" i="1"/>
  <c r="H16" i="1" a="1"/>
  <c r="H16" i="1"/>
  <c r="I16" i="1" a="1"/>
  <c r="I16" i="1"/>
  <c r="J16" i="1" a="1"/>
  <c r="J16" i="1"/>
  <c r="K16" i="1" a="1"/>
  <c r="K16" i="1"/>
  <c r="L16" i="1" a="1"/>
  <c r="L16" i="1"/>
  <c r="M16" i="1"/>
  <c r="N16" i="1"/>
  <c r="O16" i="1"/>
  <c r="P16" i="1"/>
  <c r="Q16" i="1"/>
  <c r="H17" i="1" a="1"/>
  <c r="H17" i="1"/>
  <c r="I17" i="1" a="1"/>
  <c r="I17" i="1"/>
  <c r="J17" i="1" a="1"/>
  <c r="J17" i="1"/>
  <c r="K17" i="1" a="1"/>
  <c r="K17" i="1"/>
  <c r="L17" i="1" a="1"/>
  <c r="L17" i="1"/>
  <c r="M17" i="1"/>
  <c r="N17" i="1"/>
  <c r="O17" i="1"/>
  <c r="P17" i="1"/>
  <c r="Q17" i="1"/>
  <c r="H18" i="1" a="1"/>
  <c r="H18" i="1"/>
  <c r="I18" i="1" a="1"/>
  <c r="I18" i="1"/>
  <c r="J18" i="1" a="1"/>
  <c r="J18" i="1"/>
  <c r="K18" i="1" a="1"/>
  <c r="K18" i="1"/>
  <c r="L18" i="1" a="1"/>
  <c r="L18" i="1"/>
  <c r="M18" i="1"/>
  <c r="N18" i="1"/>
  <c r="O18" i="1"/>
  <c r="P18" i="1"/>
  <c r="Q18" i="1"/>
  <c r="H19" i="1" a="1"/>
  <c r="H19" i="1"/>
  <c r="I19" i="1" a="1"/>
  <c r="I19" i="1"/>
  <c r="J19" i="1" a="1"/>
  <c r="J19" i="1"/>
  <c r="K19" i="1" a="1"/>
  <c r="K19" i="1"/>
  <c r="L19" i="1" a="1"/>
  <c r="L19" i="1"/>
  <c r="M19" i="1"/>
  <c r="N19" i="1"/>
  <c r="O19" i="1"/>
  <c r="P19" i="1"/>
  <c r="Q19" i="1"/>
  <c r="H20" i="1" a="1"/>
  <c r="H20" i="1"/>
  <c r="I20" i="1" a="1"/>
  <c r="I20" i="1"/>
  <c r="J20" i="1" a="1"/>
  <c r="J20" i="1"/>
  <c r="K20" i="1" a="1"/>
  <c r="K20" i="1"/>
  <c r="L20" i="1" a="1"/>
  <c r="L20" i="1"/>
  <c r="M20" i="1"/>
  <c r="N20" i="1"/>
  <c r="O20" i="1"/>
  <c r="P20" i="1"/>
  <c r="Q20" i="1"/>
  <c r="H21" i="1" a="1"/>
  <c r="H21" i="1"/>
  <c r="I21" i="1" a="1"/>
  <c r="I21" i="1"/>
  <c r="J21" i="1" a="1"/>
  <c r="J21" i="1"/>
  <c r="K21" i="1" a="1"/>
  <c r="K21" i="1"/>
  <c r="L21" i="1" a="1"/>
  <c r="L21" i="1"/>
  <c r="M21" i="1"/>
  <c r="N21" i="1"/>
  <c r="O21" i="1"/>
  <c r="P21" i="1"/>
  <c r="Q21" i="1"/>
  <c r="H22" i="1" a="1"/>
  <c r="H22" i="1"/>
  <c r="I22" i="1" a="1"/>
  <c r="I22" i="1"/>
  <c r="J22" i="1" a="1"/>
  <c r="J22" i="1"/>
  <c r="K22" i="1" a="1"/>
  <c r="K22" i="1"/>
  <c r="L22" i="1" a="1"/>
  <c r="L22" i="1"/>
  <c r="M22" i="1"/>
  <c r="N22" i="1"/>
  <c r="O22" i="1"/>
  <c r="P22" i="1"/>
  <c r="Q22" i="1"/>
  <c r="H23" i="1" a="1"/>
  <c r="H23" i="1"/>
  <c r="I23" i="1" a="1"/>
  <c r="I23" i="1"/>
  <c r="J23" i="1" a="1"/>
  <c r="J23" i="1"/>
  <c r="K23" i="1" a="1"/>
  <c r="K23" i="1"/>
  <c r="L23" i="1" a="1"/>
  <c r="L23" i="1"/>
  <c r="M23" i="1"/>
  <c r="N23" i="1"/>
  <c r="O23" i="1"/>
  <c r="P23" i="1"/>
  <c r="Q23" i="1"/>
  <c r="H24" i="1" a="1"/>
  <c r="H24" i="1"/>
  <c r="I24" i="1" a="1"/>
  <c r="I24" i="1"/>
  <c r="J24" i="1" a="1"/>
  <c r="J24" i="1"/>
  <c r="K24" i="1" a="1"/>
  <c r="K24" i="1"/>
  <c r="L24" i="1" a="1"/>
  <c r="L24" i="1"/>
  <c r="M24" i="1"/>
  <c r="N24" i="1"/>
  <c r="O24" i="1"/>
  <c r="P24" i="1"/>
  <c r="Q24" i="1"/>
  <c r="H25" i="1" a="1"/>
  <c r="H25" i="1"/>
  <c r="I25" i="1" a="1"/>
  <c r="I25" i="1"/>
  <c r="J25" i="1" a="1"/>
  <c r="J25" i="1"/>
  <c r="K25" i="1" a="1"/>
  <c r="K25" i="1"/>
  <c r="L25" i="1" a="1"/>
  <c r="L25" i="1"/>
  <c r="M25" i="1"/>
  <c r="N25" i="1"/>
  <c r="O25" i="1"/>
  <c r="P25" i="1"/>
  <c r="Q25" i="1"/>
  <c r="H26" i="1" a="1"/>
  <c r="H26" i="1"/>
  <c r="I26" i="1" a="1"/>
  <c r="I26" i="1"/>
  <c r="J26" i="1" a="1"/>
  <c r="J26" i="1"/>
  <c r="K26" i="1" a="1"/>
  <c r="K26" i="1"/>
  <c r="L26" i="1" a="1"/>
  <c r="L26" i="1"/>
  <c r="M26" i="1"/>
  <c r="N26" i="1"/>
  <c r="O26" i="1"/>
  <c r="P26" i="1"/>
  <c r="Q26" i="1"/>
  <c r="H27" i="1" a="1"/>
  <c r="H27" i="1"/>
  <c r="I27" i="1" a="1"/>
  <c r="I27" i="1"/>
  <c r="J27" i="1" a="1"/>
  <c r="J27" i="1"/>
  <c r="K27" i="1" a="1"/>
  <c r="K27" i="1"/>
  <c r="L27" i="1" a="1"/>
  <c r="L27" i="1"/>
  <c r="M27" i="1"/>
  <c r="N27" i="1"/>
  <c r="O27" i="1"/>
  <c r="P27" i="1"/>
  <c r="Q27" i="1"/>
  <c r="H28" i="1" a="1"/>
  <c r="H28" i="1"/>
  <c r="I28" i="1" a="1"/>
  <c r="I28" i="1"/>
  <c r="J28" i="1" a="1"/>
  <c r="J28" i="1"/>
  <c r="K28" i="1" a="1"/>
  <c r="K28" i="1"/>
  <c r="L28" i="1" a="1"/>
  <c r="L28" i="1"/>
  <c r="M28" i="1"/>
  <c r="N28" i="1"/>
  <c r="O28" i="1"/>
  <c r="P28" i="1"/>
  <c r="Q28" i="1"/>
  <c r="H29" i="1" a="1"/>
  <c r="H29" i="1"/>
  <c r="I29" i="1" a="1"/>
  <c r="I29" i="1"/>
  <c r="J29" i="1" a="1"/>
  <c r="J29" i="1"/>
  <c r="K29" i="1" a="1"/>
  <c r="K29" i="1"/>
  <c r="L29" i="1" a="1"/>
  <c r="L29" i="1"/>
  <c r="M29" i="1"/>
  <c r="N29" i="1"/>
  <c r="O29" i="1"/>
  <c r="P29" i="1"/>
  <c r="Q29" i="1"/>
  <c r="H30" i="1" a="1"/>
  <c r="H30" i="1"/>
  <c r="I30" i="1" a="1"/>
  <c r="I30" i="1"/>
  <c r="J30" i="1" a="1"/>
  <c r="J30" i="1"/>
  <c r="K30" i="1" a="1"/>
  <c r="K30" i="1"/>
  <c r="L30" i="1" a="1"/>
  <c r="L30" i="1"/>
  <c r="M30" i="1"/>
  <c r="N30" i="1"/>
  <c r="O30" i="1"/>
  <c r="P30" i="1"/>
  <c r="Q30" i="1"/>
  <c r="H31" i="1" a="1"/>
  <c r="H31" i="1"/>
  <c r="I31" i="1" a="1"/>
  <c r="I31" i="1"/>
  <c r="J31" i="1" a="1"/>
  <c r="J31" i="1"/>
  <c r="K31" i="1" a="1"/>
  <c r="K31" i="1"/>
  <c r="L31" i="1" a="1"/>
  <c r="L31" i="1"/>
  <c r="M31" i="1"/>
  <c r="N31" i="1"/>
  <c r="O31" i="1"/>
  <c r="P31" i="1"/>
  <c r="Q31" i="1"/>
  <c r="H32" i="1" a="1"/>
  <c r="H32" i="1"/>
  <c r="I32" i="1" a="1"/>
  <c r="I32" i="1"/>
  <c r="J32" i="1" a="1"/>
  <c r="J32" i="1"/>
  <c r="K32" i="1" a="1"/>
  <c r="K32" i="1"/>
  <c r="L32" i="1" a="1"/>
  <c r="L32" i="1"/>
  <c r="M32" i="1"/>
  <c r="N32" i="1"/>
  <c r="O32" i="1"/>
  <c r="P32" i="1"/>
  <c r="Q32" i="1"/>
  <c r="H33" i="1" a="1"/>
  <c r="H33" i="1"/>
  <c r="I33" i="1" a="1"/>
  <c r="I33" i="1"/>
  <c r="J33" i="1" a="1"/>
  <c r="J33" i="1"/>
  <c r="K33" i="1" a="1"/>
  <c r="K33" i="1"/>
  <c r="L33" i="1" a="1"/>
  <c r="L33" i="1"/>
  <c r="M33" i="1"/>
  <c r="N33" i="1"/>
  <c r="O33" i="1"/>
  <c r="P33" i="1"/>
  <c r="Q33" i="1"/>
  <c r="H34" i="1" a="1"/>
  <c r="H34" i="1"/>
  <c r="I34" i="1" a="1"/>
  <c r="I34" i="1"/>
  <c r="J34" i="1" a="1"/>
  <c r="J34" i="1"/>
  <c r="K34" i="1" a="1"/>
  <c r="K34" i="1"/>
  <c r="L34" i="1" a="1"/>
  <c r="L34" i="1"/>
  <c r="M34" i="1"/>
  <c r="N34" i="1"/>
  <c r="O34" i="1"/>
  <c r="P34" i="1"/>
  <c r="Q34" i="1"/>
  <c r="H35" i="1" a="1"/>
  <c r="H35" i="1"/>
  <c r="I35" i="1" a="1"/>
  <c r="I35" i="1"/>
  <c r="J35" i="1" a="1"/>
  <c r="J35" i="1"/>
  <c r="K35" i="1" a="1"/>
  <c r="K35" i="1"/>
  <c r="L35" i="1" a="1"/>
  <c r="L35" i="1"/>
  <c r="M35" i="1"/>
  <c r="N35" i="1"/>
  <c r="O35" i="1"/>
  <c r="P35" i="1"/>
  <c r="Q35" i="1"/>
  <c r="H36" i="1" a="1"/>
  <c r="H36" i="1"/>
  <c r="I36" i="1" a="1"/>
  <c r="I36" i="1"/>
  <c r="J36" i="1" a="1"/>
  <c r="J36" i="1"/>
  <c r="K36" i="1" a="1"/>
  <c r="K36" i="1"/>
  <c r="L36" i="1" a="1"/>
  <c r="L36" i="1"/>
  <c r="M36" i="1"/>
  <c r="N36" i="1"/>
  <c r="O36" i="1"/>
  <c r="P36" i="1"/>
  <c r="Q36" i="1"/>
  <c r="H37" i="1" a="1"/>
  <c r="H37" i="1"/>
  <c r="I37" i="1" a="1"/>
  <c r="I37" i="1"/>
  <c r="J37" i="1" a="1"/>
  <c r="J37" i="1"/>
  <c r="K37" i="1" a="1"/>
  <c r="K37" i="1"/>
  <c r="L37" i="1" a="1"/>
  <c r="L37" i="1"/>
  <c r="M37" i="1"/>
  <c r="N37" i="1"/>
  <c r="O37" i="1"/>
  <c r="P37" i="1"/>
  <c r="Q37" i="1"/>
  <c r="H38" i="1" a="1"/>
  <c r="H38" i="1"/>
  <c r="I38" i="1" a="1"/>
  <c r="I38" i="1"/>
  <c r="J38" i="1" a="1"/>
  <c r="J38" i="1"/>
  <c r="K38" i="1" a="1"/>
  <c r="K38" i="1"/>
  <c r="L38" i="1" a="1"/>
  <c r="L38" i="1"/>
  <c r="M38" i="1"/>
  <c r="N38" i="1"/>
  <c r="O38" i="1"/>
  <c r="P38" i="1"/>
  <c r="Q38" i="1"/>
  <c r="H39" i="1" a="1"/>
  <c r="H39" i="1"/>
  <c r="I39" i="1" a="1"/>
  <c r="I39" i="1"/>
  <c r="J39" i="1" a="1"/>
  <c r="J39" i="1"/>
  <c r="K39" i="1" a="1"/>
  <c r="K39" i="1"/>
  <c r="L39" i="1" a="1"/>
  <c r="L39" i="1"/>
  <c r="M39" i="1"/>
  <c r="N39" i="1"/>
  <c r="O39" i="1"/>
  <c r="P39" i="1"/>
  <c r="Q39" i="1"/>
  <c r="H40" i="1" a="1"/>
  <c r="H40" i="1"/>
  <c r="I40" i="1" a="1"/>
  <c r="I40" i="1"/>
  <c r="J40" i="1" a="1"/>
  <c r="J40" i="1"/>
  <c r="K40" i="1" a="1"/>
  <c r="K40" i="1"/>
  <c r="L40" i="1" a="1"/>
  <c r="L40" i="1"/>
  <c r="M40" i="1"/>
  <c r="N40" i="1"/>
  <c r="O40" i="1"/>
  <c r="P40" i="1"/>
  <c r="Q40" i="1"/>
  <c r="H41" i="1" a="1"/>
  <c r="H41" i="1"/>
  <c r="I41" i="1" a="1"/>
  <c r="I41" i="1"/>
  <c r="J41" i="1" a="1"/>
  <c r="J41" i="1"/>
  <c r="K41" i="1" a="1"/>
  <c r="K41" i="1"/>
  <c r="L41" i="1" a="1"/>
  <c r="L41" i="1"/>
  <c r="M41" i="1"/>
  <c r="N41" i="1"/>
  <c r="O41" i="1"/>
  <c r="P41" i="1"/>
  <c r="Q41" i="1"/>
  <c r="H42" i="1" a="1"/>
  <c r="H42" i="1"/>
  <c r="I42" i="1" a="1"/>
  <c r="I42" i="1"/>
  <c r="J42" i="1" a="1"/>
  <c r="J42" i="1"/>
  <c r="K42" i="1" a="1"/>
  <c r="K42" i="1"/>
  <c r="L42" i="1" a="1"/>
  <c r="L42" i="1"/>
  <c r="M42" i="1"/>
  <c r="N42" i="1"/>
  <c r="O42" i="1"/>
  <c r="P42" i="1"/>
  <c r="Q42" i="1"/>
  <c r="H43" i="1" a="1"/>
  <c r="H43" i="1"/>
  <c r="I43" i="1" a="1"/>
  <c r="I43" i="1"/>
  <c r="J43" i="1" a="1"/>
  <c r="J43" i="1"/>
  <c r="K43" i="1" a="1"/>
  <c r="K43" i="1"/>
  <c r="L43" i="1" a="1"/>
  <c r="L43" i="1"/>
  <c r="M43" i="1"/>
  <c r="N43" i="1"/>
  <c r="O43" i="1"/>
  <c r="P43" i="1"/>
  <c r="Q43" i="1"/>
  <c r="H44" i="1" a="1"/>
  <c r="H44" i="1"/>
  <c r="I44" i="1" a="1"/>
  <c r="I44" i="1"/>
  <c r="J44" i="1" a="1"/>
  <c r="J44" i="1"/>
  <c r="K44" i="1" a="1"/>
  <c r="K44" i="1"/>
  <c r="L44" i="1" a="1"/>
  <c r="L44" i="1"/>
  <c r="M44" i="1"/>
  <c r="N44" i="1"/>
  <c r="O44" i="1"/>
  <c r="P44" i="1"/>
  <c r="Q44" i="1"/>
  <c r="H45" i="1" a="1"/>
  <c r="H45" i="1"/>
  <c r="I45" i="1" a="1"/>
  <c r="I45" i="1"/>
  <c r="J45" i="1" a="1"/>
  <c r="J45" i="1"/>
  <c r="K45" i="1" a="1"/>
  <c r="K45" i="1"/>
  <c r="L45" i="1" a="1"/>
  <c r="L45" i="1"/>
  <c r="M45" i="1"/>
  <c r="N45" i="1"/>
  <c r="O45" i="1"/>
  <c r="P45" i="1"/>
  <c r="Q45" i="1"/>
  <c r="H46" i="1" a="1"/>
  <c r="H46" i="1"/>
  <c r="I46" i="1" a="1"/>
  <c r="I46" i="1"/>
  <c r="J46" i="1" a="1"/>
  <c r="J46" i="1"/>
  <c r="K46" i="1" a="1"/>
  <c r="K46" i="1"/>
  <c r="L46" i="1" a="1"/>
  <c r="L46" i="1"/>
  <c r="M46" i="1"/>
  <c r="N46" i="1"/>
  <c r="O46" i="1"/>
  <c r="P46" i="1"/>
  <c r="Q46" i="1"/>
  <c r="H47" i="1" a="1"/>
  <c r="H47" i="1"/>
  <c r="I47" i="1" a="1"/>
  <c r="I47" i="1"/>
  <c r="J47" i="1" a="1"/>
  <c r="J47" i="1"/>
  <c r="K47" i="1" a="1"/>
  <c r="K47" i="1"/>
  <c r="L47" i="1" a="1"/>
  <c r="L47" i="1"/>
  <c r="M47" i="1"/>
  <c r="N47" i="1"/>
  <c r="O47" i="1"/>
  <c r="P47" i="1"/>
  <c r="Q47" i="1"/>
  <c r="H48" i="1" a="1"/>
  <c r="H48" i="1"/>
  <c r="I48" i="1" a="1"/>
  <c r="I48" i="1"/>
  <c r="J48" i="1" a="1"/>
  <c r="J48" i="1"/>
  <c r="K48" i="1" a="1"/>
  <c r="K48" i="1"/>
  <c r="L48" i="1" a="1"/>
  <c r="L48" i="1"/>
  <c r="M48" i="1"/>
  <c r="N48" i="1"/>
  <c r="O48" i="1"/>
  <c r="P48" i="1"/>
  <c r="Q48" i="1"/>
  <c r="H49" i="1" a="1"/>
  <c r="H49" i="1"/>
  <c r="I49" i="1" a="1"/>
  <c r="I49" i="1"/>
  <c r="J49" i="1" a="1"/>
  <c r="J49" i="1"/>
  <c r="K49" i="1" a="1"/>
  <c r="K49" i="1"/>
  <c r="L49" i="1" a="1"/>
  <c r="L49" i="1"/>
  <c r="M49" i="1"/>
  <c r="N49" i="1"/>
  <c r="O49" i="1"/>
  <c r="P49" i="1"/>
  <c r="Q49" i="1"/>
  <c r="H50" i="1" a="1"/>
  <c r="H50" i="1"/>
  <c r="I50" i="1" a="1"/>
  <c r="I50" i="1"/>
  <c r="J50" i="1" a="1"/>
  <c r="J50" i="1"/>
  <c r="K50" i="1" a="1"/>
  <c r="K50" i="1"/>
  <c r="L50" i="1" a="1"/>
  <c r="L50" i="1"/>
  <c r="M50" i="1"/>
  <c r="N50" i="1"/>
  <c r="O50" i="1"/>
  <c r="P50" i="1"/>
  <c r="Q50" i="1"/>
  <c r="H51" i="1" a="1"/>
  <c r="H51" i="1"/>
  <c r="I51" i="1" a="1"/>
  <c r="I51" i="1"/>
  <c r="J51" i="1" a="1"/>
  <c r="J51" i="1"/>
  <c r="K51" i="1" a="1"/>
  <c r="K51" i="1"/>
  <c r="L51" i="1" a="1"/>
  <c r="L51" i="1"/>
  <c r="M51" i="1"/>
  <c r="N51" i="1"/>
  <c r="O51" i="1"/>
  <c r="P51" i="1"/>
  <c r="Q51" i="1"/>
  <c r="H52" i="1" a="1"/>
  <c r="H52" i="1"/>
  <c r="I52" i="1" a="1"/>
  <c r="I52" i="1"/>
  <c r="J52" i="1" a="1"/>
  <c r="J52" i="1"/>
  <c r="K52" i="1" a="1"/>
  <c r="K52" i="1"/>
  <c r="L52" i="1" a="1"/>
  <c r="L52" i="1"/>
  <c r="M52" i="1"/>
  <c r="N52" i="1"/>
  <c r="O52" i="1"/>
  <c r="P52" i="1"/>
  <c r="Q52" i="1"/>
  <c r="H53" i="1" a="1"/>
  <c r="H53" i="1"/>
  <c r="I53" i="1" a="1"/>
  <c r="I53" i="1"/>
  <c r="J53" i="1" a="1"/>
  <c r="J53" i="1"/>
  <c r="K53" i="1" a="1"/>
  <c r="K53" i="1"/>
  <c r="L53" i="1" a="1"/>
  <c r="L53" i="1"/>
  <c r="M53" i="1"/>
  <c r="N53" i="1"/>
  <c r="O53" i="1"/>
  <c r="P53" i="1"/>
  <c r="Q53" i="1"/>
  <c r="H54" i="1" a="1"/>
  <c r="H54" i="1"/>
  <c r="I54" i="1" a="1"/>
  <c r="I54" i="1"/>
  <c r="J54" i="1" a="1"/>
  <c r="J54" i="1"/>
  <c r="K54" i="1" a="1"/>
  <c r="K54" i="1"/>
  <c r="L54" i="1" a="1"/>
  <c r="L54" i="1"/>
  <c r="M54" i="1"/>
  <c r="N54" i="1"/>
  <c r="O54" i="1"/>
  <c r="P54" i="1"/>
  <c r="Q54" i="1"/>
  <c r="H55" i="1" a="1"/>
  <c r="H55" i="1"/>
  <c r="I55" i="1" a="1"/>
  <c r="I55" i="1"/>
  <c r="J55" i="1" a="1"/>
  <c r="J55" i="1"/>
  <c r="K55" i="1" a="1"/>
  <c r="K55" i="1"/>
  <c r="L55" i="1" a="1"/>
  <c r="L55" i="1"/>
  <c r="M55" i="1"/>
  <c r="N55" i="1"/>
  <c r="O55" i="1"/>
  <c r="P55" i="1"/>
  <c r="Q55" i="1"/>
  <c r="H56" i="1" a="1"/>
  <c r="H56" i="1"/>
  <c r="I56" i="1" a="1"/>
  <c r="I56" i="1"/>
  <c r="J56" i="1" a="1"/>
  <c r="J56" i="1"/>
  <c r="K56" i="1" a="1"/>
  <c r="K56" i="1"/>
  <c r="L56" i="1" a="1"/>
  <c r="L56" i="1"/>
  <c r="M56" i="1"/>
  <c r="N56" i="1"/>
  <c r="O56" i="1"/>
  <c r="P56" i="1"/>
  <c r="Q56" i="1"/>
  <c r="H57" i="1" a="1"/>
  <c r="H57" i="1"/>
  <c r="I57" i="1" a="1"/>
  <c r="I57" i="1"/>
  <c r="J57" i="1" a="1"/>
  <c r="J57" i="1"/>
  <c r="K57" i="1" a="1"/>
  <c r="K57" i="1"/>
  <c r="L57" i="1" a="1"/>
  <c r="L57" i="1"/>
  <c r="M57" i="1"/>
  <c r="N57" i="1"/>
  <c r="O57" i="1"/>
  <c r="P57" i="1"/>
  <c r="Q57" i="1"/>
  <c r="H58" i="1" a="1"/>
  <c r="H58" i="1"/>
  <c r="I58" i="1" a="1"/>
  <c r="I58" i="1"/>
  <c r="J58" i="1" a="1"/>
  <c r="J58" i="1"/>
  <c r="K58" i="1" a="1"/>
  <c r="K58" i="1"/>
  <c r="L58" i="1" a="1"/>
  <c r="L58" i="1"/>
  <c r="M58" i="1"/>
  <c r="N58" i="1"/>
  <c r="O58" i="1"/>
  <c r="P58" i="1"/>
  <c r="Q58" i="1"/>
  <c r="H59" i="1" a="1"/>
  <c r="H59" i="1"/>
  <c r="I59" i="1" a="1"/>
  <c r="I59" i="1"/>
  <c r="J59" i="1" a="1"/>
  <c r="J59" i="1"/>
  <c r="K59" i="1" a="1"/>
  <c r="K59" i="1"/>
  <c r="L59" i="1" a="1"/>
  <c r="L59" i="1"/>
  <c r="M59" i="1"/>
  <c r="N59" i="1"/>
  <c r="O59" i="1"/>
  <c r="P59" i="1"/>
  <c r="Q59" i="1"/>
  <c r="H60" i="1" a="1"/>
  <c r="H60" i="1"/>
  <c r="I60" i="1" a="1"/>
  <c r="I60" i="1"/>
  <c r="J60" i="1" a="1"/>
  <c r="J60" i="1"/>
  <c r="K60" i="1" a="1"/>
  <c r="K60" i="1"/>
  <c r="L60" i="1" a="1"/>
  <c r="L60" i="1"/>
  <c r="M60" i="1"/>
  <c r="N60" i="1"/>
  <c r="O60" i="1"/>
  <c r="P60" i="1"/>
  <c r="Q60" i="1"/>
  <c r="H61" i="1" a="1"/>
  <c r="H61" i="1"/>
  <c r="I61" i="1" a="1"/>
  <c r="I61" i="1"/>
  <c r="J61" i="1" a="1"/>
  <c r="J61" i="1"/>
  <c r="K61" i="1" a="1"/>
  <c r="K61" i="1"/>
  <c r="L61" i="1" a="1"/>
  <c r="L61" i="1"/>
  <c r="M61" i="1"/>
  <c r="N61" i="1"/>
  <c r="O61" i="1"/>
  <c r="P61" i="1"/>
  <c r="Q61" i="1"/>
  <c r="H62" i="1" a="1"/>
  <c r="H62" i="1"/>
  <c r="I62" i="1" a="1"/>
  <c r="I62" i="1"/>
  <c r="J62" i="1" a="1"/>
  <c r="J62" i="1"/>
  <c r="K62" i="1" a="1"/>
  <c r="K62" i="1"/>
  <c r="L62" i="1" a="1"/>
  <c r="L62" i="1"/>
  <c r="M62" i="1"/>
  <c r="N62" i="1"/>
  <c r="O62" i="1"/>
  <c r="P62" i="1"/>
  <c r="Q62" i="1"/>
  <c r="H63" i="1" a="1"/>
  <c r="H63" i="1"/>
  <c r="I63" i="1" a="1"/>
  <c r="I63" i="1"/>
  <c r="J63" i="1" a="1"/>
  <c r="J63" i="1"/>
  <c r="K63" i="1" a="1"/>
  <c r="K63" i="1"/>
  <c r="L63" i="1" a="1"/>
  <c r="L63" i="1"/>
  <c r="M63" i="1"/>
  <c r="N63" i="1"/>
  <c r="O63" i="1"/>
  <c r="P63" i="1"/>
  <c r="Q63" i="1"/>
  <c r="H64" i="1" a="1"/>
  <c r="H64" i="1"/>
  <c r="I64" i="1" a="1"/>
  <c r="I64" i="1"/>
  <c r="J64" i="1" a="1"/>
  <c r="J64" i="1"/>
  <c r="K64" i="1" a="1"/>
  <c r="K64" i="1"/>
  <c r="L64" i="1" a="1"/>
  <c r="L64" i="1"/>
  <c r="M64" i="1"/>
  <c r="N64" i="1"/>
  <c r="O64" i="1"/>
  <c r="P64" i="1"/>
  <c r="Q64" i="1"/>
  <c r="H65" i="1" a="1"/>
  <c r="H65" i="1"/>
  <c r="I65" i="1" a="1"/>
  <c r="I65" i="1"/>
  <c r="J65" i="1" a="1"/>
  <c r="J65" i="1"/>
  <c r="K65" i="1" a="1"/>
  <c r="K65" i="1"/>
  <c r="L65" i="1" a="1"/>
  <c r="L65" i="1"/>
  <c r="M65" i="1"/>
  <c r="N65" i="1"/>
  <c r="O65" i="1"/>
  <c r="P65" i="1"/>
  <c r="Q65" i="1"/>
  <c r="H66" i="1" a="1"/>
  <c r="H66" i="1"/>
  <c r="I66" i="1" a="1"/>
  <c r="I66" i="1"/>
  <c r="J66" i="1" a="1"/>
  <c r="J66" i="1"/>
  <c r="K66" i="1" a="1"/>
  <c r="K66" i="1"/>
  <c r="L66" i="1" a="1"/>
  <c r="L66" i="1"/>
  <c r="M66" i="1"/>
  <c r="N66" i="1"/>
  <c r="O66" i="1"/>
  <c r="P66" i="1"/>
  <c r="Q66" i="1"/>
  <c r="H67" i="1" a="1"/>
  <c r="H67" i="1"/>
  <c r="I67" i="1" a="1"/>
  <c r="I67" i="1"/>
  <c r="J67" i="1" a="1"/>
  <c r="J67" i="1"/>
  <c r="K67" i="1" a="1"/>
  <c r="K67" i="1"/>
  <c r="L67" i="1" a="1"/>
  <c r="L67" i="1"/>
  <c r="M67" i="1"/>
  <c r="N67" i="1"/>
  <c r="O67" i="1"/>
  <c r="P67" i="1"/>
  <c r="Q67" i="1"/>
  <c r="H68" i="1" a="1"/>
  <c r="H68" i="1"/>
  <c r="I68" i="1" a="1"/>
  <c r="I68" i="1"/>
  <c r="J68" i="1" a="1"/>
  <c r="J68" i="1"/>
  <c r="K68" i="1" a="1"/>
  <c r="K68" i="1"/>
  <c r="L68" i="1" a="1"/>
  <c r="L68" i="1"/>
  <c r="M68" i="1"/>
  <c r="N68" i="1"/>
  <c r="O68" i="1"/>
  <c r="P68" i="1"/>
  <c r="Q68" i="1"/>
  <c r="H69" i="1" a="1"/>
  <c r="H69" i="1"/>
  <c r="I69" i="1" a="1"/>
  <c r="I69" i="1"/>
  <c r="J69" i="1" a="1"/>
  <c r="J69" i="1"/>
  <c r="K69" i="1" a="1"/>
  <c r="K69" i="1"/>
  <c r="L69" i="1" a="1"/>
  <c r="L69" i="1"/>
  <c r="M69" i="1"/>
  <c r="N69" i="1"/>
  <c r="O69" i="1"/>
  <c r="P69" i="1"/>
  <c r="Q69" i="1"/>
  <c r="H70" i="1" a="1"/>
  <c r="H70" i="1"/>
  <c r="I70" i="1" a="1"/>
  <c r="I70" i="1"/>
  <c r="J70" i="1" a="1"/>
  <c r="J70" i="1"/>
  <c r="K70" i="1" a="1"/>
  <c r="K70" i="1"/>
  <c r="L70" i="1" a="1"/>
  <c r="L70" i="1"/>
  <c r="M70" i="1"/>
  <c r="N70" i="1"/>
  <c r="O70" i="1"/>
  <c r="P70" i="1"/>
  <c r="Q70" i="1"/>
  <c r="H71" i="1" a="1"/>
  <c r="H71" i="1"/>
  <c r="I71" i="1" a="1"/>
  <c r="I71" i="1"/>
  <c r="J71" i="1" a="1"/>
  <c r="J71" i="1"/>
  <c r="K71" i="1" a="1"/>
  <c r="K71" i="1"/>
  <c r="L71" i="1" a="1"/>
  <c r="L71" i="1"/>
  <c r="M71" i="1"/>
  <c r="N71" i="1"/>
  <c r="O71" i="1"/>
  <c r="P71" i="1"/>
  <c r="Q71" i="1"/>
  <c r="H72" i="1" a="1"/>
  <c r="H72" i="1"/>
  <c r="I72" i="1" a="1"/>
  <c r="I72" i="1"/>
  <c r="J72" i="1" a="1"/>
  <c r="J72" i="1"/>
  <c r="K72" i="1" a="1"/>
  <c r="K72" i="1"/>
  <c r="L72" i="1" a="1"/>
  <c r="L72" i="1"/>
  <c r="M72" i="1"/>
  <c r="N72" i="1"/>
  <c r="O72" i="1"/>
  <c r="P72" i="1"/>
  <c r="Q72" i="1"/>
  <c r="H73" i="1" a="1"/>
  <c r="H73" i="1"/>
  <c r="I73" i="1" a="1"/>
  <c r="I73" i="1"/>
  <c r="J73" i="1" a="1"/>
  <c r="J73" i="1"/>
  <c r="K73" i="1" a="1"/>
  <c r="K73" i="1"/>
  <c r="L73" i="1" a="1"/>
  <c r="L73" i="1"/>
  <c r="M73" i="1"/>
  <c r="N73" i="1"/>
  <c r="O73" i="1"/>
  <c r="P73" i="1"/>
  <c r="Q73" i="1"/>
  <c r="H74" i="1" a="1"/>
  <c r="H74" i="1"/>
  <c r="I74" i="1" a="1"/>
  <c r="I74" i="1"/>
  <c r="J74" i="1" a="1"/>
  <c r="J74" i="1"/>
  <c r="K74" i="1" a="1"/>
  <c r="K74" i="1"/>
  <c r="L74" i="1" a="1"/>
  <c r="L74" i="1"/>
  <c r="M74" i="1"/>
  <c r="N74" i="1"/>
  <c r="O74" i="1"/>
  <c r="P74" i="1"/>
  <c r="Q74" i="1"/>
  <c r="H75" i="1" a="1"/>
  <c r="H75" i="1"/>
  <c r="I75" i="1" a="1"/>
  <c r="I75" i="1"/>
  <c r="J75" i="1" a="1"/>
  <c r="J75" i="1"/>
  <c r="K75" i="1" a="1"/>
  <c r="K75" i="1"/>
  <c r="L75" i="1" a="1"/>
  <c r="L75" i="1"/>
  <c r="M75" i="1"/>
  <c r="N75" i="1"/>
  <c r="O75" i="1"/>
  <c r="P75" i="1"/>
  <c r="Q75" i="1"/>
  <c r="H76" i="1" a="1"/>
  <c r="H76" i="1"/>
  <c r="I76" i="1" a="1"/>
  <c r="I76" i="1"/>
  <c r="J76" i="1" a="1"/>
  <c r="J76" i="1"/>
  <c r="K76" i="1" a="1"/>
  <c r="K76" i="1"/>
  <c r="L76" i="1" a="1"/>
  <c r="L76" i="1"/>
  <c r="M76" i="1"/>
  <c r="N76" i="1"/>
  <c r="O76" i="1"/>
  <c r="P76" i="1"/>
  <c r="Q76" i="1"/>
  <c r="H77" i="1" a="1"/>
  <c r="H77" i="1"/>
  <c r="I77" i="1" a="1"/>
  <c r="I77" i="1"/>
  <c r="J77" i="1" a="1"/>
  <c r="J77" i="1"/>
  <c r="K77" i="1" a="1"/>
  <c r="K77" i="1"/>
  <c r="L77" i="1" a="1"/>
  <c r="L77" i="1"/>
  <c r="M77" i="1"/>
  <c r="N77" i="1"/>
  <c r="O77" i="1"/>
  <c r="P77" i="1"/>
  <c r="Q77" i="1"/>
  <c r="H78" i="1" a="1"/>
  <c r="H78" i="1"/>
  <c r="I78" i="1" a="1"/>
  <c r="I78" i="1"/>
  <c r="J78" i="1" a="1"/>
  <c r="J78" i="1"/>
  <c r="K78" i="1" a="1"/>
  <c r="K78" i="1"/>
  <c r="L78" i="1" a="1"/>
  <c r="L78" i="1"/>
  <c r="M78" i="1"/>
  <c r="N78" i="1"/>
  <c r="O78" i="1"/>
  <c r="P78" i="1"/>
  <c r="Q78" i="1"/>
  <c r="H79" i="1" a="1"/>
  <c r="H79" i="1"/>
  <c r="I79" i="1" a="1"/>
  <c r="I79" i="1"/>
  <c r="J79" i="1" a="1"/>
  <c r="J79" i="1"/>
  <c r="K79" i="1" a="1"/>
  <c r="K79" i="1"/>
  <c r="L79" i="1" a="1"/>
  <c r="L79" i="1"/>
  <c r="M79" i="1"/>
  <c r="N79" i="1"/>
  <c r="O79" i="1"/>
  <c r="P79" i="1"/>
  <c r="Q79" i="1"/>
  <c r="H80" i="1" a="1"/>
  <c r="H80" i="1"/>
  <c r="I80" i="1" a="1"/>
  <c r="I80" i="1"/>
  <c r="J80" i="1" a="1"/>
  <c r="J80" i="1"/>
  <c r="K80" i="1" a="1"/>
  <c r="K80" i="1"/>
  <c r="L80" i="1" a="1"/>
  <c r="L80" i="1"/>
  <c r="M80" i="1"/>
  <c r="N80" i="1"/>
  <c r="O80" i="1"/>
  <c r="P80" i="1"/>
  <c r="Q80" i="1"/>
  <c r="H81" i="1" a="1"/>
  <c r="H81" i="1"/>
  <c r="I81" i="1" a="1"/>
  <c r="I81" i="1"/>
  <c r="J81" i="1" a="1"/>
  <c r="J81" i="1"/>
  <c r="K81" i="1" a="1"/>
  <c r="K81" i="1"/>
  <c r="L81" i="1" a="1"/>
  <c r="L81" i="1"/>
  <c r="M81" i="1"/>
  <c r="N81" i="1"/>
  <c r="O81" i="1"/>
  <c r="P81" i="1"/>
  <c r="Q81" i="1"/>
  <c r="H82" i="1" a="1"/>
  <c r="H82" i="1"/>
  <c r="I82" i="1" a="1"/>
  <c r="I82" i="1"/>
  <c r="J82" i="1" a="1"/>
  <c r="J82" i="1"/>
  <c r="K82" i="1" a="1"/>
  <c r="K82" i="1"/>
  <c r="L82" i="1" a="1"/>
  <c r="L82" i="1"/>
  <c r="M82" i="1"/>
  <c r="N82" i="1"/>
  <c r="O82" i="1"/>
  <c r="P82" i="1"/>
  <c r="Q82" i="1"/>
  <c r="H83" i="1" a="1"/>
  <c r="H83" i="1"/>
  <c r="I83" i="1" a="1"/>
  <c r="I83" i="1"/>
  <c r="J83" i="1" a="1"/>
  <c r="J83" i="1"/>
  <c r="K83" i="1" a="1"/>
  <c r="K83" i="1"/>
  <c r="L83" i="1" a="1"/>
  <c r="L83" i="1"/>
  <c r="M83" i="1"/>
  <c r="N83" i="1"/>
  <c r="O83" i="1"/>
  <c r="P83" i="1"/>
  <c r="Q83" i="1"/>
  <c r="H84" i="1" a="1"/>
  <c r="H84" i="1"/>
  <c r="I84" i="1" a="1"/>
  <c r="I84" i="1"/>
  <c r="J84" i="1" a="1"/>
  <c r="J84" i="1"/>
  <c r="K84" i="1" a="1"/>
  <c r="K84" i="1"/>
  <c r="L84" i="1" a="1"/>
  <c r="L84" i="1"/>
  <c r="M84" i="1"/>
  <c r="N84" i="1"/>
  <c r="O84" i="1"/>
  <c r="P84" i="1"/>
  <c r="Q84" i="1"/>
  <c r="H85" i="1" a="1"/>
  <c r="H85" i="1"/>
  <c r="I85" i="1" a="1"/>
  <c r="I85" i="1"/>
  <c r="J85" i="1" a="1"/>
  <c r="J85" i="1"/>
  <c r="K85" i="1" a="1"/>
  <c r="K85" i="1"/>
  <c r="L85" i="1" a="1"/>
  <c r="L85" i="1"/>
  <c r="M85" i="1"/>
  <c r="N85" i="1"/>
  <c r="O85" i="1"/>
  <c r="P85" i="1"/>
  <c r="Q85" i="1"/>
  <c r="H86" i="1" a="1"/>
  <c r="H86" i="1"/>
  <c r="I86" i="1" a="1"/>
  <c r="I86" i="1"/>
  <c r="J86" i="1" a="1"/>
  <c r="J86" i="1"/>
  <c r="K86" i="1" a="1"/>
  <c r="K86" i="1"/>
  <c r="L86" i="1" a="1"/>
  <c r="L86" i="1"/>
  <c r="M86" i="1"/>
  <c r="N86" i="1"/>
  <c r="O86" i="1"/>
  <c r="P86" i="1"/>
  <c r="Q86" i="1"/>
  <c r="H87" i="1" a="1"/>
  <c r="H87" i="1"/>
  <c r="I87" i="1" a="1"/>
  <c r="I87" i="1"/>
  <c r="J87" i="1" a="1"/>
  <c r="J87" i="1"/>
  <c r="K87" i="1" a="1"/>
  <c r="K87" i="1"/>
  <c r="L87" i="1" a="1"/>
  <c r="L87" i="1"/>
  <c r="M87" i="1"/>
  <c r="N87" i="1"/>
  <c r="O87" i="1"/>
  <c r="P87" i="1"/>
  <c r="Q87" i="1"/>
  <c r="H88" i="1" a="1"/>
  <c r="H88" i="1"/>
  <c r="I88" i="1" a="1"/>
  <c r="I88" i="1"/>
  <c r="J88" i="1" a="1"/>
  <c r="J88" i="1"/>
  <c r="K88" i="1" a="1"/>
  <c r="K88" i="1"/>
  <c r="L88" i="1" a="1"/>
  <c r="L88" i="1"/>
  <c r="M88" i="1"/>
  <c r="N88" i="1"/>
  <c r="O88" i="1"/>
  <c r="P88" i="1"/>
  <c r="Q88" i="1"/>
  <c r="H89" i="1" a="1"/>
  <c r="H89" i="1"/>
  <c r="I89" i="1" a="1"/>
  <c r="I89" i="1"/>
  <c r="J89" i="1" a="1"/>
  <c r="J89" i="1"/>
  <c r="K89" i="1" a="1"/>
  <c r="K89" i="1"/>
  <c r="L89" i="1" a="1"/>
  <c r="L89" i="1"/>
  <c r="M89" i="1"/>
  <c r="N89" i="1"/>
  <c r="O89" i="1"/>
  <c r="P89" i="1"/>
  <c r="Q89" i="1"/>
  <c r="H90" i="1" a="1"/>
  <c r="H90" i="1"/>
  <c r="I90" i="1" a="1"/>
  <c r="I90" i="1"/>
  <c r="J90" i="1" a="1"/>
  <c r="J90" i="1"/>
  <c r="K90" i="1" a="1"/>
  <c r="K90" i="1"/>
  <c r="L90" i="1" a="1"/>
  <c r="L90" i="1"/>
  <c r="M90" i="1"/>
  <c r="N90" i="1"/>
  <c r="O90" i="1"/>
  <c r="P90" i="1"/>
  <c r="Q90" i="1"/>
  <c r="H91" i="1" a="1"/>
  <c r="H91" i="1"/>
  <c r="I91" i="1" a="1"/>
  <c r="I91" i="1"/>
  <c r="J91" i="1" a="1"/>
  <c r="J91" i="1"/>
  <c r="K91" i="1" a="1"/>
  <c r="K91" i="1"/>
  <c r="L91" i="1" a="1"/>
  <c r="L91" i="1"/>
  <c r="M91" i="1"/>
  <c r="N91" i="1"/>
  <c r="O91" i="1"/>
  <c r="P91" i="1"/>
  <c r="Q91" i="1"/>
  <c r="H92" i="1" a="1"/>
  <c r="H92" i="1"/>
  <c r="I92" i="1" a="1"/>
  <c r="I92" i="1"/>
  <c r="J92" i="1" a="1"/>
  <c r="J92" i="1"/>
  <c r="K92" i="1" a="1"/>
  <c r="K92" i="1"/>
  <c r="L92" i="1" a="1"/>
  <c r="L92" i="1"/>
  <c r="M92" i="1"/>
  <c r="N92" i="1"/>
  <c r="O92" i="1"/>
  <c r="P92" i="1"/>
  <c r="Q92" i="1"/>
  <c r="H93" i="1" a="1"/>
  <c r="H93" i="1"/>
  <c r="I93" i="1" a="1"/>
  <c r="I93" i="1"/>
  <c r="J93" i="1" a="1"/>
  <c r="J93" i="1"/>
  <c r="K93" i="1" a="1"/>
  <c r="K93" i="1"/>
  <c r="L93" i="1" a="1"/>
  <c r="L93" i="1"/>
  <c r="M93" i="1"/>
  <c r="N93" i="1"/>
  <c r="O93" i="1"/>
  <c r="P93" i="1"/>
  <c r="Q93" i="1"/>
  <c r="H94" i="1" a="1"/>
  <c r="H94" i="1"/>
  <c r="I94" i="1" a="1"/>
  <c r="I94" i="1"/>
  <c r="J94" i="1" a="1"/>
  <c r="J94" i="1"/>
  <c r="K94" i="1" a="1"/>
  <c r="K94" i="1"/>
  <c r="L94" i="1" a="1"/>
  <c r="L94" i="1"/>
  <c r="M94" i="1"/>
  <c r="N94" i="1"/>
  <c r="O94" i="1"/>
  <c r="P94" i="1"/>
  <c r="Q94" i="1"/>
  <c r="H95" i="1" a="1"/>
  <c r="H95" i="1"/>
  <c r="I95" i="1" a="1"/>
  <c r="I95" i="1"/>
  <c r="J95" i="1" a="1"/>
  <c r="J95" i="1"/>
  <c r="K95" i="1" a="1"/>
  <c r="K95" i="1"/>
  <c r="L95" i="1" a="1"/>
  <c r="L95" i="1"/>
  <c r="M95" i="1"/>
  <c r="N95" i="1"/>
  <c r="O95" i="1"/>
  <c r="P95" i="1"/>
  <c r="Q95" i="1"/>
  <c r="H96" i="1" a="1"/>
  <c r="H96" i="1"/>
  <c r="I96" i="1" a="1"/>
  <c r="I96" i="1"/>
  <c r="J96" i="1" a="1"/>
  <c r="J96" i="1"/>
  <c r="K96" i="1" a="1"/>
  <c r="K96" i="1"/>
  <c r="L96" i="1" a="1"/>
  <c r="L96" i="1"/>
  <c r="M96" i="1"/>
  <c r="N96" i="1"/>
  <c r="O96" i="1"/>
  <c r="P96" i="1"/>
  <c r="Q96" i="1"/>
  <c r="H97" i="1" a="1"/>
  <c r="H97" i="1"/>
  <c r="I97" i="1" a="1"/>
  <c r="I97" i="1"/>
  <c r="J97" i="1" a="1"/>
  <c r="J97" i="1"/>
  <c r="K97" i="1" a="1"/>
  <c r="K97" i="1"/>
  <c r="L97" i="1" a="1"/>
  <c r="L97" i="1"/>
  <c r="M97" i="1"/>
  <c r="N97" i="1"/>
  <c r="O97" i="1"/>
  <c r="P97" i="1"/>
  <c r="Q97" i="1"/>
  <c r="H98" i="1" a="1"/>
  <c r="H98" i="1"/>
  <c r="I98" i="1" a="1"/>
  <c r="I98" i="1"/>
  <c r="J98" i="1" a="1"/>
  <c r="J98" i="1"/>
  <c r="K98" i="1" a="1"/>
  <c r="K98" i="1"/>
  <c r="L98" i="1" a="1"/>
  <c r="L98" i="1"/>
  <c r="M98" i="1"/>
  <c r="N98" i="1"/>
  <c r="O98" i="1"/>
  <c r="P98" i="1"/>
  <c r="Q98" i="1"/>
  <c r="H99" i="1" a="1"/>
  <c r="H99" i="1"/>
  <c r="I99" i="1" a="1"/>
  <c r="I99" i="1"/>
  <c r="J99" i="1" a="1"/>
  <c r="J99" i="1"/>
  <c r="K99" i="1" a="1"/>
  <c r="K99" i="1"/>
  <c r="L99" i="1" a="1"/>
  <c r="L99" i="1"/>
  <c r="M99" i="1"/>
  <c r="N99" i="1"/>
  <c r="O99" i="1"/>
  <c r="P99" i="1"/>
  <c r="Q99" i="1"/>
  <c r="H100" i="1" a="1"/>
  <c r="H100" i="1"/>
  <c r="I100" i="1" a="1"/>
  <c r="I100" i="1"/>
  <c r="J100" i="1" a="1"/>
  <c r="J100" i="1"/>
  <c r="K100" i="1" a="1"/>
  <c r="K100" i="1"/>
  <c r="L100" i="1" a="1"/>
  <c r="L100" i="1"/>
  <c r="M100" i="1"/>
  <c r="N100" i="1"/>
  <c r="O100" i="1"/>
  <c r="P100" i="1"/>
  <c r="Q100" i="1"/>
  <c r="H101" i="1" a="1"/>
  <c r="H101" i="1"/>
  <c r="I101" i="1" a="1"/>
  <c r="I101" i="1"/>
  <c r="J101" i="1" a="1"/>
  <c r="J101" i="1"/>
  <c r="K101" i="1" a="1"/>
  <c r="K101" i="1"/>
  <c r="L101" i="1" a="1"/>
  <c r="L101" i="1"/>
  <c r="M101" i="1"/>
  <c r="N101" i="1"/>
  <c r="O101" i="1"/>
  <c r="P101" i="1"/>
  <c r="Q101" i="1"/>
  <c r="H102" i="1" a="1"/>
  <c r="H102" i="1"/>
  <c r="I102" i="1" a="1"/>
  <c r="I102" i="1"/>
  <c r="J102" i="1" a="1"/>
  <c r="J102" i="1"/>
  <c r="K102" i="1" a="1"/>
  <c r="K102" i="1"/>
  <c r="L102" i="1" a="1"/>
  <c r="L102" i="1"/>
  <c r="M102" i="1"/>
  <c r="N102" i="1"/>
  <c r="O102" i="1"/>
  <c r="P102" i="1"/>
  <c r="Q102" i="1"/>
  <c r="H103" i="1" a="1"/>
  <c r="H103" i="1"/>
  <c r="I103" i="1" a="1"/>
  <c r="I103" i="1"/>
  <c r="J103" i="1" a="1"/>
  <c r="J103" i="1"/>
  <c r="K103" i="1" a="1"/>
  <c r="K103" i="1"/>
  <c r="L103" i="1" a="1"/>
  <c r="L103" i="1"/>
  <c r="M103" i="1"/>
  <c r="N103" i="1"/>
  <c r="O103" i="1"/>
  <c r="P103" i="1"/>
  <c r="Q103" i="1"/>
  <c r="H104" i="1" a="1"/>
  <c r="H104" i="1"/>
  <c r="I104" i="1" a="1"/>
  <c r="I104" i="1"/>
  <c r="J104" i="1" a="1"/>
  <c r="J104" i="1"/>
  <c r="K104" i="1" a="1"/>
  <c r="K104" i="1"/>
  <c r="L104" i="1" a="1"/>
  <c r="L104" i="1"/>
  <c r="M104" i="1"/>
  <c r="N104" i="1"/>
  <c r="O104" i="1"/>
  <c r="P104" i="1"/>
  <c r="Q104" i="1"/>
  <c r="H105" i="1" a="1"/>
  <c r="H105" i="1"/>
  <c r="I105" i="1" a="1"/>
  <c r="I105" i="1"/>
  <c r="J105" i="1" a="1"/>
  <c r="J105" i="1"/>
  <c r="K105" i="1" a="1"/>
  <c r="K105" i="1"/>
  <c r="L105" i="1" a="1"/>
  <c r="L105" i="1"/>
  <c r="M105" i="1"/>
  <c r="N105" i="1"/>
  <c r="O105" i="1"/>
  <c r="P105" i="1"/>
  <c r="Q105" i="1"/>
  <c r="H106" i="1" a="1"/>
  <c r="H106" i="1"/>
  <c r="I106" i="1" a="1"/>
  <c r="I106" i="1"/>
  <c r="J106" i="1" a="1"/>
  <c r="J106" i="1"/>
  <c r="K106" i="1" a="1"/>
  <c r="K106" i="1"/>
  <c r="L106" i="1" a="1"/>
  <c r="L106" i="1"/>
  <c r="M106" i="1"/>
  <c r="N106" i="1"/>
  <c r="O106" i="1"/>
  <c r="P106" i="1"/>
  <c r="Q106" i="1"/>
  <c r="H107" i="1" a="1"/>
  <c r="H107" i="1"/>
  <c r="I107" i="1" a="1"/>
  <c r="I107" i="1"/>
  <c r="J107" i="1" a="1"/>
  <c r="J107" i="1"/>
  <c r="K107" i="1" a="1"/>
  <c r="K107" i="1"/>
  <c r="L107" i="1" a="1"/>
  <c r="L107" i="1"/>
  <c r="M107" i="1"/>
  <c r="N107" i="1"/>
  <c r="O107" i="1"/>
  <c r="P107" i="1"/>
  <c r="Q107" i="1"/>
  <c r="H108" i="1" a="1"/>
  <c r="H108" i="1"/>
  <c r="I108" i="1" a="1"/>
  <c r="I108" i="1"/>
  <c r="J108" i="1" a="1"/>
  <c r="J108" i="1"/>
  <c r="K108" i="1" a="1"/>
  <c r="K108" i="1"/>
  <c r="L108" i="1" a="1"/>
  <c r="L108" i="1"/>
  <c r="M108" i="1"/>
  <c r="N108" i="1"/>
  <c r="O108" i="1"/>
  <c r="P108" i="1"/>
  <c r="Q108" i="1"/>
  <c r="H109" i="1" a="1"/>
  <c r="H109" i="1"/>
  <c r="I109" i="1" a="1"/>
  <c r="I109" i="1"/>
  <c r="J109" i="1" a="1"/>
  <c r="J109" i="1"/>
  <c r="K109" i="1" a="1"/>
  <c r="K109" i="1"/>
  <c r="L109" i="1" a="1"/>
  <c r="L109" i="1"/>
  <c r="M109" i="1"/>
  <c r="N109" i="1"/>
  <c r="O109" i="1"/>
  <c r="P109" i="1"/>
  <c r="Q109" i="1"/>
  <c r="H110" i="1" a="1"/>
  <c r="H110" i="1"/>
  <c r="I110" i="1" a="1"/>
  <c r="I110" i="1"/>
  <c r="J110" i="1" a="1"/>
  <c r="J110" i="1"/>
  <c r="K110" i="1" a="1"/>
  <c r="K110" i="1"/>
  <c r="L110" i="1" a="1"/>
  <c r="L110" i="1"/>
  <c r="M110" i="1"/>
  <c r="N110" i="1"/>
  <c r="O110" i="1"/>
  <c r="P110" i="1"/>
  <c r="Q110" i="1"/>
  <c r="H111" i="1" a="1"/>
  <c r="H111" i="1"/>
  <c r="I111" i="1" a="1"/>
  <c r="I111" i="1"/>
  <c r="J111" i="1" a="1"/>
  <c r="J111" i="1"/>
  <c r="K111" i="1" a="1"/>
  <c r="K111" i="1"/>
  <c r="L111" i="1" a="1"/>
  <c r="L111" i="1"/>
  <c r="M111" i="1"/>
  <c r="N111" i="1"/>
  <c r="O111" i="1"/>
  <c r="P111" i="1"/>
  <c r="Q111" i="1"/>
  <c r="H112" i="1" a="1"/>
  <c r="H112" i="1"/>
  <c r="I112" i="1" a="1"/>
  <c r="I112" i="1"/>
  <c r="J112" i="1" a="1"/>
  <c r="J112" i="1"/>
  <c r="K112" i="1" a="1"/>
  <c r="K112" i="1"/>
  <c r="L112" i="1" a="1"/>
  <c r="L112" i="1"/>
  <c r="M112" i="1"/>
  <c r="N112" i="1"/>
  <c r="O112" i="1"/>
  <c r="P112" i="1"/>
  <c r="Q112" i="1"/>
  <c r="H113" i="1" a="1"/>
  <c r="H113" i="1"/>
  <c r="I113" i="1" a="1"/>
  <c r="I113" i="1"/>
  <c r="J113" i="1" a="1"/>
  <c r="J113" i="1"/>
  <c r="K113" i="1" a="1"/>
  <c r="K113" i="1"/>
  <c r="L113" i="1" a="1"/>
  <c r="L113" i="1"/>
  <c r="M113" i="1"/>
  <c r="N113" i="1"/>
  <c r="O113" i="1"/>
  <c r="P113" i="1"/>
  <c r="Q113" i="1"/>
  <c r="H114" i="1" a="1"/>
  <c r="H114" i="1"/>
  <c r="I114" i="1" a="1"/>
  <c r="I114" i="1"/>
  <c r="J114" i="1" a="1"/>
  <c r="J114" i="1"/>
  <c r="K114" i="1" a="1"/>
  <c r="K114" i="1"/>
  <c r="L114" i="1" a="1"/>
  <c r="L114" i="1"/>
  <c r="M114" i="1"/>
  <c r="N114" i="1"/>
  <c r="O114" i="1"/>
  <c r="P114" i="1"/>
  <c r="Q114" i="1"/>
  <c r="H115" i="1" a="1"/>
  <c r="H115" i="1"/>
  <c r="I115" i="1" a="1"/>
  <c r="I115" i="1"/>
  <c r="J115" i="1" a="1"/>
  <c r="J115" i="1"/>
  <c r="K115" i="1" a="1"/>
  <c r="K115" i="1"/>
  <c r="L115" i="1" a="1"/>
  <c r="L115" i="1"/>
  <c r="M115" i="1"/>
  <c r="N115" i="1"/>
  <c r="O115" i="1"/>
  <c r="P115" i="1"/>
  <c r="Q115" i="1"/>
  <c r="H116" i="1" a="1"/>
  <c r="H116" i="1"/>
  <c r="I116" i="1" a="1"/>
  <c r="I116" i="1"/>
  <c r="J116" i="1" a="1"/>
  <c r="J116" i="1"/>
  <c r="K116" i="1" a="1"/>
  <c r="K116" i="1"/>
  <c r="L116" i="1" a="1"/>
  <c r="L116" i="1"/>
  <c r="M116" i="1"/>
  <c r="N116" i="1"/>
  <c r="O116" i="1"/>
  <c r="P116" i="1"/>
  <c r="Q116" i="1"/>
  <c r="H117" i="1" a="1"/>
  <c r="H117" i="1"/>
  <c r="I117" i="1" a="1"/>
  <c r="I117" i="1"/>
  <c r="J117" i="1" a="1"/>
  <c r="J117" i="1"/>
  <c r="K117" i="1" a="1"/>
  <c r="K117" i="1"/>
  <c r="L117" i="1" a="1"/>
  <c r="L117" i="1"/>
  <c r="M117" i="1"/>
  <c r="N117" i="1"/>
  <c r="O117" i="1"/>
  <c r="P117" i="1"/>
  <c r="Q117" i="1"/>
  <c r="H118" i="1" a="1"/>
  <c r="H118" i="1"/>
  <c r="I118" i="1" a="1"/>
  <c r="I118" i="1"/>
  <c r="J118" i="1" a="1"/>
  <c r="J118" i="1"/>
  <c r="K118" i="1" a="1"/>
  <c r="K118" i="1"/>
  <c r="L118" i="1" a="1"/>
  <c r="L118" i="1"/>
  <c r="M118" i="1"/>
  <c r="N118" i="1"/>
  <c r="O118" i="1"/>
  <c r="P118" i="1"/>
  <c r="Q118" i="1"/>
  <c r="H119" i="1" a="1"/>
  <c r="H119" i="1"/>
  <c r="I119" i="1" a="1"/>
  <c r="I119" i="1"/>
  <c r="J119" i="1" a="1"/>
  <c r="J119" i="1"/>
  <c r="K119" i="1" a="1"/>
  <c r="K119" i="1"/>
  <c r="L119" i="1" a="1"/>
  <c r="L119" i="1"/>
  <c r="M119" i="1"/>
  <c r="N119" i="1"/>
  <c r="O119" i="1"/>
  <c r="P119" i="1"/>
  <c r="Q119" i="1"/>
  <c r="H120" i="1" a="1"/>
  <c r="H120" i="1"/>
  <c r="I120" i="1" a="1"/>
  <c r="I120" i="1"/>
  <c r="J120" i="1" a="1"/>
  <c r="J120" i="1"/>
  <c r="K120" i="1" a="1"/>
  <c r="K120" i="1"/>
  <c r="L120" i="1" a="1"/>
  <c r="L120" i="1"/>
  <c r="M120" i="1"/>
  <c r="N120" i="1"/>
  <c r="O120" i="1"/>
  <c r="P120" i="1"/>
  <c r="Q120" i="1"/>
  <c r="H121" i="1" a="1"/>
  <c r="H121" i="1"/>
  <c r="I121" i="1" a="1"/>
  <c r="I121" i="1"/>
  <c r="J121" i="1" a="1"/>
  <c r="J121" i="1"/>
  <c r="K121" i="1" a="1"/>
  <c r="K121" i="1"/>
  <c r="L121" i="1" a="1"/>
  <c r="L121" i="1"/>
  <c r="M121" i="1"/>
  <c r="N121" i="1"/>
  <c r="O121" i="1"/>
  <c r="P121" i="1"/>
  <c r="Q121" i="1"/>
  <c r="H122" i="1" a="1"/>
  <c r="H122" i="1"/>
  <c r="I122" i="1" a="1"/>
  <c r="I122" i="1"/>
  <c r="J122" i="1" a="1"/>
  <c r="J122" i="1"/>
  <c r="K122" i="1" a="1"/>
  <c r="K122" i="1"/>
  <c r="L122" i="1" a="1"/>
  <c r="L122" i="1"/>
  <c r="M122" i="1"/>
  <c r="N122" i="1"/>
  <c r="O122" i="1"/>
  <c r="P122" i="1"/>
  <c r="Q122" i="1"/>
  <c r="H123" i="1" a="1"/>
  <c r="H123" i="1"/>
  <c r="I123" i="1" a="1"/>
  <c r="I123" i="1"/>
  <c r="J123" i="1" a="1"/>
  <c r="J123" i="1"/>
  <c r="K123" i="1" a="1"/>
  <c r="K123" i="1"/>
  <c r="L123" i="1" a="1"/>
  <c r="L123" i="1"/>
  <c r="M123" i="1"/>
  <c r="N123" i="1"/>
  <c r="O123" i="1"/>
  <c r="P123" i="1"/>
  <c r="Q123" i="1"/>
  <c r="H124" i="1" a="1"/>
  <c r="H124" i="1"/>
  <c r="I124" i="1" a="1"/>
  <c r="I124" i="1"/>
  <c r="J124" i="1" a="1"/>
  <c r="J124" i="1"/>
  <c r="K124" i="1" a="1"/>
  <c r="K124" i="1"/>
  <c r="L124" i="1" a="1"/>
  <c r="L124" i="1"/>
  <c r="M124" i="1"/>
  <c r="N124" i="1"/>
  <c r="O124" i="1"/>
  <c r="P124" i="1"/>
  <c r="Q124" i="1"/>
  <c r="H125" i="1" a="1"/>
  <c r="H125" i="1"/>
  <c r="I125" i="1" a="1"/>
  <c r="I125" i="1"/>
  <c r="J125" i="1" a="1"/>
  <c r="J125" i="1"/>
  <c r="K125" i="1" a="1"/>
  <c r="K125" i="1"/>
  <c r="L125" i="1" a="1"/>
  <c r="L125" i="1"/>
  <c r="M125" i="1"/>
  <c r="N125" i="1"/>
  <c r="O125" i="1"/>
  <c r="P125" i="1"/>
  <c r="Q125" i="1"/>
  <c r="H126" i="1" a="1"/>
  <c r="H126" i="1"/>
  <c r="I126" i="1" a="1"/>
  <c r="I126" i="1"/>
  <c r="J126" i="1" a="1"/>
  <c r="J126" i="1"/>
  <c r="K126" i="1" a="1"/>
  <c r="K126" i="1"/>
  <c r="L126" i="1" a="1"/>
  <c r="L126" i="1"/>
  <c r="M126" i="1"/>
  <c r="N126" i="1"/>
  <c r="O126" i="1"/>
  <c r="P126" i="1"/>
  <c r="Q126" i="1"/>
  <c r="H127" i="1" a="1"/>
  <c r="H127" i="1"/>
  <c r="I127" i="1" a="1"/>
  <c r="I127" i="1"/>
  <c r="J127" i="1" a="1"/>
  <c r="J127" i="1"/>
  <c r="K127" i="1" a="1"/>
  <c r="K127" i="1"/>
  <c r="L127" i="1" a="1"/>
  <c r="L127" i="1"/>
  <c r="M127" i="1"/>
  <c r="N127" i="1"/>
  <c r="O127" i="1"/>
  <c r="P127" i="1"/>
  <c r="Q127" i="1"/>
  <c r="H128" i="1" a="1"/>
  <c r="H128" i="1"/>
  <c r="I128" i="1" a="1"/>
  <c r="I128" i="1"/>
  <c r="J128" i="1" a="1"/>
  <c r="J128" i="1"/>
  <c r="K128" i="1" a="1"/>
  <c r="K128" i="1"/>
  <c r="L128" i="1" a="1"/>
  <c r="L128" i="1"/>
  <c r="M128" i="1"/>
  <c r="N128" i="1"/>
  <c r="O128" i="1"/>
  <c r="P128" i="1"/>
  <c r="Q128" i="1"/>
  <c r="H129" i="1" a="1"/>
  <c r="H129" i="1"/>
  <c r="I129" i="1" a="1"/>
  <c r="I129" i="1"/>
  <c r="J129" i="1" a="1"/>
  <c r="J129" i="1"/>
  <c r="K129" i="1" a="1"/>
  <c r="K129" i="1"/>
  <c r="L129" i="1" a="1"/>
  <c r="L129" i="1"/>
  <c r="M129" i="1"/>
  <c r="N129" i="1"/>
  <c r="O129" i="1"/>
  <c r="P129" i="1"/>
  <c r="Q129" i="1"/>
  <c r="H130" i="1" a="1"/>
  <c r="H130" i="1"/>
  <c r="I130" i="1" a="1"/>
  <c r="I130" i="1"/>
  <c r="J130" i="1" a="1"/>
  <c r="J130" i="1"/>
  <c r="K130" i="1" a="1"/>
  <c r="K130" i="1"/>
  <c r="L130" i="1" a="1"/>
  <c r="L130" i="1"/>
  <c r="M130" i="1"/>
  <c r="N130" i="1"/>
  <c r="O130" i="1"/>
  <c r="P130" i="1"/>
  <c r="Q130" i="1"/>
  <c r="H131" i="1" a="1"/>
  <c r="H131" i="1"/>
  <c r="I131" i="1" a="1"/>
  <c r="I131" i="1"/>
  <c r="J131" i="1" a="1"/>
  <c r="J131" i="1"/>
  <c r="K131" i="1" a="1"/>
  <c r="K131" i="1"/>
  <c r="L131" i="1" a="1"/>
  <c r="L131" i="1"/>
  <c r="M131" i="1"/>
  <c r="N131" i="1"/>
  <c r="O131" i="1"/>
  <c r="P131" i="1"/>
  <c r="Q131" i="1"/>
  <c r="H132" i="1" a="1"/>
  <c r="H132" i="1"/>
  <c r="I132" i="1" a="1"/>
  <c r="I132" i="1"/>
  <c r="J132" i="1" a="1"/>
  <c r="J132" i="1"/>
  <c r="K132" i="1" a="1"/>
  <c r="K132" i="1"/>
  <c r="L132" i="1" a="1"/>
  <c r="L132" i="1"/>
  <c r="M132" i="1"/>
  <c r="N132" i="1"/>
  <c r="O132" i="1"/>
  <c r="P132" i="1"/>
  <c r="Q132" i="1"/>
  <c r="H133" i="1" a="1"/>
  <c r="H133" i="1"/>
  <c r="I133" i="1" a="1"/>
  <c r="I133" i="1"/>
  <c r="J133" i="1" a="1"/>
  <c r="J133" i="1"/>
  <c r="K133" i="1" a="1"/>
  <c r="K133" i="1"/>
  <c r="L133" i="1" a="1"/>
  <c r="L133" i="1"/>
  <c r="M133" i="1"/>
  <c r="N133" i="1"/>
  <c r="O133" i="1"/>
  <c r="P133" i="1"/>
  <c r="Q133" i="1"/>
  <c r="H134" i="1" a="1"/>
  <c r="H134" i="1"/>
  <c r="I134" i="1" a="1"/>
  <c r="I134" i="1"/>
  <c r="J134" i="1" a="1"/>
  <c r="J134" i="1"/>
  <c r="K134" i="1" a="1"/>
  <c r="K134" i="1"/>
  <c r="L134" i="1" a="1"/>
  <c r="L134" i="1"/>
  <c r="M134" i="1"/>
  <c r="N134" i="1"/>
  <c r="O134" i="1"/>
  <c r="P134" i="1"/>
  <c r="Q134" i="1"/>
  <c r="H135" i="1" a="1"/>
  <c r="H135" i="1"/>
  <c r="I135" i="1" a="1"/>
  <c r="I135" i="1"/>
  <c r="J135" i="1" a="1"/>
  <c r="J135" i="1"/>
  <c r="K135" i="1" a="1"/>
  <c r="K135" i="1"/>
  <c r="L135" i="1" a="1"/>
  <c r="L135" i="1"/>
  <c r="M135" i="1"/>
  <c r="N135" i="1"/>
  <c r="O135" i="1"/>
  <c r="P135" i="1"/>
  <c r="Q135" i="1"/>
  <c r="H136" i="1" a="1"/>
  <c r="H136" i="1"/>
  <c r="I136" i="1" a="1"/>
  <c r="I136" i="1"/>
  <c r="J136" i="1" a="1"/>
  <c r="J136" i="1"/>
  <c r="K136" i="1" a="1"/>
  <c r="K136" i="1"/>
  <c r="L136" i="1" a="1"/>
  <c r="L136" i="1"/>
  <c r="M136" i="1"/>
  <c r="N136" i="1"/>
  <c r="O136" i="1"/>
  <c r="P136" i="1"/>
  <c r="Q136" i="1"/>
  <c r="H137" i="1" a="1"/>
  <c r="H137" i="1"/>
  <c r="I137" i="1" a="1"/>
  <c r="I137" i="1"/>
  <c r="J137" i="1" a="1"/>
  <c r="J137" i="1"/>
  <c r="K137" i="1" a="1"/>
  <c r="K137" i="1"/>
  <c r="L137" i="1" a="1"/>
  <c r="L137" i="1"/>
  <c r="M137" i="1"/>
  <c r="N137" i="1"/>
  <c r="O137" i="1"/>
  <c r="P137" i="1"/>
  <c r="Q137" i="1"/>
  <c r="H138" i="1" a="1"/>
  <c r="H138" i="1"/>
  <c r="I138" i="1" a="1"/>
  <c r="I138" i="1"/>
  <c r="J138" i="1" a="1"/>
  <c r="J138" i="1"/>
  <c r="K138" i="1" a="1"/>
  <c r="K138" i="1"/>
  <c r="L138" i="1" a="1"/>
  <c r="L138" i="1"/>
  <c r="M138" i="1"/>
  <c r="N138" i="1"/>
  <c r="O138" i="1"/>
  <c r="P138" i="1"/>
  <c r="Q138" i="1"/>
  <c r="H139" i="1" a="1"/>
  <c r="H139" i="1"/>
  <c r="I139" i="1" a="1"/>
  <c r="I139" i="1"/>
  <c r="J139" i="1" a="1"/>
  <c r="J139" i="1"/>
  <c r="K139" i="1" a="1"/>
  <c r="K139" i="1"/>
  <c r="L139" i="1" a="1"/>
  <c r="L139" i="1"/>
  <c r="M139" i="1"/>
  <c r="N139" i="1"/>
  <c r="O139" i="1"/>
  <c r="P139" i="1"/>
  <c r="Q139" i="1"/>
  <c r="H140" i="1" a="1"/>
  <c r="H140" i="1"/>
  <c r="I140" i="1" a="1"/>
  <c r="I140" i="1"/>
  <c r="J140" i="1" a="1"/>
  <c r="J140" i="1"/>
  <c r="K140" i="1" a="1"/>
  <c r="K140" i="1"/>
  <c r="L140" i="1" a="1"/>
  <c r="L140" i="1"/>
  <c r="M140" i="1"/>
  <c r="N140" i="1"/>
  <c r="O140" i="1"/>
  <c r="P140" i="1"/>
  <c r="Q140" i="1"/>
  <c r="H141" i="1" a="1"/>
  <c r="H141" i="1"/>
  <c r="I141" i="1" a="1"/>
  <c r="I141" i="1"/>
  <c r="J141" i="1" a="1"/>
  <c r="J141" i="1"/>
  <c r="K141" i="1" a="1"/>
  <c r="K141" i="1"/>
  <c r="L141" i="1" a="1"/>
  <c r="L141" i="1"/>
  <c r="M141" i="1"/>
  <c r="N141" i="1"/>
  <c r="O141" i="1"/>
  <c r="P141" i="1"/>
  <c r="Q141" i="1"/>
  <c r="H142" i="1" a="1"/>
  <c r="H142" i="1"/>
  <c r="I142" i="1" a="1"/>
  <c r="I142" i="1"/>
  <c r="J142" i="1" a="1"/>
  <c r="J142" i="1"/>
  <c r="K142" i="1" a="1"/>
  <c r="K142" i="1"/>
  <c r="L142" i="1" a="1"/>
  <c r="L142" i="1"/>
  <c r="M142" i="1"/>
  <c r="N142" i="1"/>
  <c r="O142" i="1"/>
  <c r="P142" i="1"/>
  <c r="Q142" i="1"/>
  <c r="H143" i="1" a="1"/>
  <c r="H143" i="1"/>
  <c r="I143" i="1" a="1"/>
  <c r="I143" i="1"/>
  <c r="J143" i="1" a="1"/>
  <c r="J143" i="1"/>
  <c r="K143" i="1" a="1"/>
  <c r="K143" i="1"/>
  <c r="L143" i="1" a="1"/>
  <c r="L143" i="1"/>
  <c r="M143" i="1"/>
  <c r="N143" i="1"/>
  <c r="O143" i="1"/>
  <c r="P143" i="1"/>
  <c r="Q143" i="1"/>
  <c r="H144" i="1" a="1"/>
  <c r="H144" i="1"/>
  <c r="I144" i="1" a="1"/>
  <c r="I144" i="1"/>
  <c r="J144" i="1" a="1"/>
  <c r="J144" i="1"/>
  <c r="K144" i="1" a="1"/>
  <c r="K144" i="1"/>
  <c r="L144" i="1" a="1"/>
  <c r="L144" i="1"/>
  <c r="M144" i="1"/>
  <c r="N144" i="1"/>
  <c r="O144" i="1"/>
  <c r="P144" i="1"/>
  <c r="Q144" i="1"/>
  <c r="H145" i="1" a="1"/>
  <c r="H145" i="1"/>
  <c r="I145" i="1" a="1"/>
  <c r="I145" i="1"/>
  <c r="J145" i="1" a="1"/>
  <c r="J145" i="1"/>
  <c r="K145" i="1" a="1"/>
  <c r="K145" i="1"/>
  <c r="L145" i="1" a="1"/>
  <c r="L145" i="1"/>
  <c r="M145" i="1"/>
  <c r="N145" i="1"/>
  <c r="O145" i="1"/>
  <c r="P145" i="1"/>
  <c r="Q145" i="1"/>
  <c r="H146" i="1" a="1"/>
  <c r="H146" i="1"/>
  <c r="I146" i="1" a="1"/>
  <c r="I146" i="1"/>
  <c r="J146" i="1" a="1"/>
  <c r="J146" i="1"/>
  <c r="K146" i="1" a="1"/>
  <c r="K146" i="1"/>
  <c r="L146" i="1" a="1"/>
  <c r="L146" i="1"/>
  <c r="M146" i="1"/>
  <c r="N146" i="1"/>
  <c r="O146" i="1"/>
  <c r="P146" i="1"/>
  <c r="Q146" i="1"/>
  <c r="H147" i="1" a="1"/>
  <c r="H147" i="1"/>
  <c r="I147" i="1" a="1"/>
  <c r="I147" i="1"/>
  <c r="J147" i="1" a="1"/>
  <c r="J147" i="1"/>
  <c r="K147" i="1" a="1"/>
  <c r="K147" i="1"/>
  <c r="L147" i="1" a="1"/>
  <c r="L147" i="1"/>
  <c r="M147" i="1"/>
  <c r="N147" i="1"/>
  <c r="O147" i="1"/>
  <c r="P147" i="1"/>
  <c r="Q147" i="1"/>
  <c r="H148" i="1" a="1"/>
  <c r="H148" i="1"/>
  <c r="I148" i="1" a="1"/>
  <c r="I148" i="1"/>
  <c r="J148" i="1" a="1"/>
  <c r="J148" i="1"/>
  <c r="K148" i="1" a="1"/>
  <c r="K148" i="1"/>
  <c r="L148" i="1" a="1"/>
  <c r="L148" i="1"/>
  <c r="M148" i="1"/>
  <c r="N148" i="1"/>
  <c r="O148" i="1"/>
  <c r="P148" i="1"/>
  <c r="Q148" i="1"/>
  <c r="H149" i="1" a="1"/>
  <c r="H149" i="1"/>
  <c r="I149" i="1" a="1"/>
  <c r="I149" i="1"/>
  <c r="J149" i="1" a="1"/>
  <c r="J149" i="1"/>
  <c r="K149" i="1" a="1"/>
  <c r="K149" i="1"/>
  <c r="L149" i="1" a="1"/>
  <c r="L149" i="1"/>
  <c r="M149" i="1"/>
  <c r="N149" i="1"/>
  <c r="O149" i="1"/>
  <c r="P149" i="1"/>
  <c r="Q149" i="1"/>
  <c r="H150" i="1" a="1"/>
  <c r="H150" i="1"/>
  <c r="I150" i="1" a="1"/>
  <c r="I150" i="1"/>
  <c r="J150" i="1" a="1"/>
  <c r="J150" i="1"/>
  <c r="K150" i="1" a="1"/>
  <c r="K150" i="1"/>
  <c r="L150" i="1" a="1"/>
  <c r="L150" i="1"/>
  <c r="M150" i="1"/>
  <c r="N150" i="1"/>
  <c r="O150" i="1"/>
  <c r="P150" i="1"/>
  <c r="Q150" i="1"/>
  <c r="H151" i="1" a="1"/>
  <c r="H151" i="1"/>
  <c r="I151" i="1" a="1"/>
  <c r="I151" i="1"/>
  <c r="J151" i="1" a="1"/>
  <c r="J151" i="1"/>
  <c r="K151" i="1" a="1"/>
  <c r="K151" i="1"/>
  <c r="L151" i="1" a="1"/>
  <c r="L151" i="1"/>
  <c r="M151" i="1"/>
  <c r="N151" i="1"/>
  <c r="O151" i="1"/>
  <c r="P151" i="1"/>
  <c r="Q151" i="1"/>
  <c r="H152" i="1" a="1"/>
  <c r="H152" i="1"/>
  <c r="I152" i="1" a="1"/>
  <c r="I152" i="1"/>
  <c r="J152" i="1" a="1"/>
  <c r="J152" i="1"/>
  <c r="K152" i="1" a="1"/>
  <c r="K152" i="1"/>
  <c r="L152" i="1" a="1"/>
  <c r="L152" i="1"/>
  <c r="M152" i="1"/>
  <c r="N152" i="1"/>
  <c r="O152" i="1"/>
  <c r="P152" i="1"/>
  <c r="Q152" i="1"/>
  <c r="H153" i="1" a="1"/>
  <c r="H153" i="1"/>
  <c r="I153" i="1" a="1"/>
  <c r="I153" i="1"/>
  <c r="J153" i="1" a="1"/>
  <c r="J153" i="1"/>
  <c r="K153" i="1" a="1"/>
  <c r="K153" i="1"/>
  <c r="L153" i="1" a="1"/>
  <c r="L153" i="1"/>
  <c r="M153" i="1"/>
  <c r="N153" i="1"/>
  <c r="O153" i="1"/>
  <c r="P153" i="1"/>
  <c r="Q153" i="1"/>
  <c r="H154" i="1" a="1"/>
  <c r="H154" i="1"/>
  <c r="I154" i="1" a="1"/>
  <c r="I154" i="1"/>
  <c r="J154" i="1" a="1"/>
  <c r="J154" i="1"/>
  <c r="K154" i="1" a="1"/>
  <c r="K154" i="1"/>
  <c r="L154" i="1" a="1"/>
  <c r="L154" i="1"/>
  <c r="M154" i="1"/>
  <c r="N154" i="1"/>
  <c r="O154" i="1"/>
  <c r="P154" i="1"/>
  <c r="Q154" i="1"/>
  <c r="H155" i="1" a="1"/>
  <c r="H155" i="1"/>
  <c r="I155" i="1" a="1"/>
  <c r="I155" i="1"/>
  <c r="J155" i="1" a="1"/>
  <c r="J155" i="1"/>
  <c r="K155" i="1" a="1"/>
  <c r="K155" i="1"/>
  <c r="L155" i="1" a="1"/>
  <c r="L155" i="1"/>
  <c r="M155" i="1"/>
  <c r="N155" i="1"/>
  <c r="O155" i="1"/>
  <c r="P155" i="1"/>
  <c r="Q155" i="1"/>
  <c r="H156" i="1" a="1"/>
  <c r="H156" i="1"/>
  <c r="I156" i="1" a="1"/>
  <c r="I156" i="1"/>
  <c r="J156" i="1" a="1"/>
  <c r="J156" i="1"/>
  <c r="K156" i="1" a="1"/>
  <c r="K156" i="1"/>
  <c r="L156" i="1" a="1"/>
  <c r="L156" i="1"/>
  <c r="M156" i="1"/>
  <c r="N156" i="1"/>
  <c r="O156" i="1"/>
  <c r="P156" i="1"/>
  <c r="Q156" i="1"/>
  <c r="H157" i="1" a="1"/>
  <c r="H157" i="1"/>
  <c r="I157" i="1" a="1"/>
  <c r="I157" i="1"/>
  <c r="J157" i="1" a="1"/>
  <c r="J157" i="1"/>
  <c r="K157" i="1" a="1"/>
  <c r="K157" i="1"/>
  <c r="L157" i="1" a="1"/>
  <c r="L157" i="1"/>
  <c r="M157" i="1"/>
  <c r="N157" i="1"/>
  <c r="O157" i="1"/>
  <c r="P157" i="1"/>
  <c r="Q157" i="1"/>
  <c r="H158" i="1" a="1"/>
  <c r="H158" i="1"/>
  <c r="I158" i="1" a="1"/>
  <c r="I158" i="1"/>
  <c r="J158" i="1" a="1"/>
  <c r="J158" i="1"/>
  <c r="K158" i="1" a="1"/>
  <c r="K158" i="1"/>
  <c r="L158" i="1" a="1"/>
  <c r="L158" i="1"/>
  <c r="M158" i="1"/>
  <c r="N158" i="1"/>
  <c r="O158" i="1"/>
  <c r="P158" i="1"/>
  <c r="Q158" i="1"/>
  <c r="H159" i="1" a="1"/>
  <c r="H159" i="1"/>
  <c r="I159" i="1" a="1"/>
  <c r="I159" i="1"/>
  <c r="J159" i="1" a="1"/>
  <c r="J159" i="1"/>
  <c r="K159" i="1" a="1"/>
  <c r="K159" i="1"/>
  <c r="L159" i="1" a="1"/>
  <c r="L159" i="1"/>
  <c r="M159" i="1"/>
  <c r="N159" i="1"/>
  <c r="O159" i="1"/>
  <c r="P159" i="1"/>
  <c r="Q159" i="1"/>
  <c r="H160" i="1" a="1"/>
  <c r="H160" i="1"/>
  <c r="I160" i="1" a="1"/>
  <c r="I160" i="1"/>
  <c r="J160" i="1" a="1"/>
  <c r="J160" i="1"/>
  <c r="K160" i="1" a="1"/>
  <c r="K160" i="1"/>
  <c r="L160" i="1" a="1"/>
  <c r="L160" i="1"/>
  <c r="M160" i="1"/>
  <c r="N160" i="1"/>
  <c r="O160" i="1"/>
  <c r="P160" i="1"/>
  <c r="Q160" i="1"/>
  <c r="H161" i="1" a="1"/>
  <c r="H161" i="1"/>
  <c r="I161" i="1" a="1"/>
  <c r="I161" i="1"/>
  <c r="J161" i="1" a="1"/>
  <c r="J161" i="1"/>
  <c r="K161" i="1" a="1"/>
  <c r="K161" i="1"/>
  <c r="L161" i="1" a="1"/>
  <c r="L161" i="1"/>
  <c r="M161" i="1"/>
  <c r="N161" i="1"/>
  <c r="O161" i="1"/>
  <c r="P161" i="1"/>
  <c r="Q161" i="1"/>
  <c r="H162" i="1" a="1"/>
  <c r="H162" i="1"/>
  <c r="I162" i="1" a="1"/>
  <c r="I162" i="1"/>
  <c r="J162" i="1" a="1"/>
  <c r="J162" i="1"/>
  <c r="K162" i="1" a="1"/>
  <c r="K162" i="1"/>
  <c r="L162" i="1" a="1"/>
  <c r="L162" i="1"/>
  <c r="M162" i="1"/>
  <c r="N162" i="1"/>
  <c r="O162" i="1"/>
  <c r="P162" i="1"/>
  <c r="Q162" i="1"/>
  <c r="H163" i="1" a="1"/>
  <c r="H163" i="1"/>
  <c r="I163" i="1" a="1"/>
  <c r="I163" i="1"/>
  <c r="J163" i="1" a="1"/>
  <c r="J163" i="1"/>
  <c r="K163" i="1" a="1"/>
  <c r="K163" i="1"/>
  <c r="L163" i="1" a="1"/>
  <c r="L163" i="1"/>
  <c r="M163" i="1"/>
  <c r="N163" i="1"/>
  <c r="O163" i="1"/>
  <c r="P163" i="1"/>
  <c r="Q163" i="1"/>
  <c r="H164" i="1" a="1"/>
  <c r="H164" i="1"/>
  <c r="I164" i="1" a="1"/>
  <c r="I164" i="1"/>
  <c r="J164" i="1" a="1"/>
  <c r="J164" i="1"/>
  <c r="K164" i="1" a="1"/>
  <c r="K164" i="1"/>
  <c r="L164" i="1" a="1"/>
  <c r="L164" i="1"/>
  <c r="M164" i="1"/>
  <c r="N164" i="1"/>
  <c r="O164" i="1"/>
  <c r="P164" i="1"/>
  <c r="Q164" i="1"/>
  <c r="H165" i="1" a="1"/>
  <c r="H165" i="1"/>
  <c r="I165" i="1" a="1"/>
  <c r="I165" i="1"/>
  <c r="J165" i="1" a="1"/>
  <c r="J165" i="1"/>
  <c r="K165" i="1" a="1"/>
  <c r="K165" i="1"/>
  <c r="L165" i="1" a="1"/>
  <c r="L165" i="1"/>
  <c r="M165" i="1"/>
  <c r="N165" i="1"/>
  <c r="O165" i="1"/>
  <c r="P165" i="1"/>
  <c r="Q165" i="1"/>
  <c r="H166" i="1" a="1"/>
  <c r="H166" i="1"/>
  <c r="I166" i="1" a="1"/>
  <c r="I166" i="1"/>
  <c r="J166" i="1" a="1"/>
  <c r="J166" i="1"/>
  <c r="K166" i="1" a="1"/>
  <c r="K166" i="1"/>
  <c r="L166" i="1" a="1"/>
  <c r="L166" i="1"/>
  <c r="M166" i="1"/>
  <c r="N166" i="1"/>
  <c r="O166" i="1"/>
  <c r="P166" i="1"/>
  <c r="Q166" i="1"/>
  <c r="H167" i="1" a="1"/>
  <c r="H167" i="1"/>
  <c r="I167" i="1" a="1"/>
  <c r="I167" i="1"/>
  <c r="J167" i="1" a="1"/>
  <c r="J167" i="1"/>
  <c r="K167" i="1" a="1"/>
  <c r="K167" i="1"/>
  <c r="L167" i="1" a="1"/>
  <c r="L167" i="1"/>
  <c r="M167" i="1"/>
  <c r="N167" i="1"/>
  <c r="O167" i="1"/>
  <c r="P167" i="1"/>
  <c r="Q167" i="1"/>
  <c r="H168" i="1" a="1"/>
  <c r="H168" i="1"/>
  <c r="I168" i="1" a="1"/>
  <c r="I168" i="1"/>
  <c r="J168" i="1" a="1"/>
  <c r="J168" i="1"/>
  <c r="K168" i="1" a="1"/>
  <c r="K168" i="1"/>
  <c r="L168" i="1" a="1"/>
  <c r="L168" i="1"/>
  <c r="M168" i="1"/>
  <c r="N168" i="1"/>
  <c r="O168" i="1"/>
  <c r="P168" i="1"/>
  <c r="Q168" i="1"/>
  <c r="H169" i="1" a="1"/>
  <c r="H169" i="1"/>
  <c r="I169" i="1" a="1"/>
  <c r="I169" i="1"/>
  <c r="J169" i="1" a="1"/>
  <c r="J169" i="1"/>
  <c r="K169" i="1" a="1"/>
  <c r="K169" i="1"/>
  <c r="L169" i="1" a="1"/>
  <c r="L169" i="1"/>
  <c r="M169" i="1"/>
  <c r="N169" i="1"/>
  <c r="O169" i="1"/>
  <c r="P169" i="1"/>
  <c r="Q169" i="1"/>
  <c r="H170" i="1" a="1"/>
  <c r="H170" i="1"/>
  <c r="I170" i="1" a="1"/>
  <c r="I170" i="1"/>
  <c r="J170" i="1" a="1"/>
  <c r="J170" i="1"/>
  <c r="K170" i="1" a="1"/>
  <c r="K170" i="1"/>
  <c r="L170" i="1" a="1"/>
  <c r="L170" i="1"/>
  <c r="M170" i="1"/>
  <c r="N170" i="1"/>
  <c r="O170" i="1"/>
  <c r="P170" i="1"/>
  <c r="Q170" i="1"/>
  <c r="H171" i="1" a="1"/>
  <c r="H171" i="1"/>
  <c r="I171" i="1" a="1"/>
  <c r="I171" i="1"/>
  <c r="J171" i="1" a="1"/>
  <c r="J171" i="1"/>
  <c r="K171" i="1" a="1"/>
  <c r="K171" i="1"/>
  <c r="L171" i="1" a="1"/>
  <c r="L171" i="1"/>
  <c r="M171" i="1"/>
  <c r="N171" i="1"/>
  <c r="O171" i="1"/>
  <c r="P171" i="1"/>
  <c r="Q171" i="1"/>
  <c r="H172" i="1" a="1"/>
  <c r="H172" i="1"/>
  <c r="I172" i="1" a="1"/>
  <c r="I172" i="1"/>
  <c r="J172" i="1" a="1"/>
  <c r="J172" i="1"/>
  <c r="K172" i="1" a="1"/>
  <c r="K172" i="1"/>
  <c r="L172" i="1" a="1"/>
  <c r="L172" i="1"/>
  <c r="M172" i="1"/>
  <c r="N172" i="1"/>
  <c r="O172" i="1"/>
  <c r="P172" i="1"/>
  <c r="Q172" i="1"/>
  <c r="H173" i="1" a="1"/>
  <c r="H173" i="1"/>
  <c r="I173" i="1" a="1"/>
  <c r="I173" i="1"/>
  <c r="J173" i="1" a="1"/>
  <c r="J173" i="1"/>
  <c r="K173" i="1" a="1"/>
  <c r="K173" i="1"/>
  <c r="L173" i="1" a="1"/>
  <c r="L173" i="1"/>
  <c r="M173" i="1"/>
  <c r="N173" i="1"/>
  <c r="O173" i="1"/>
  <c r="P173" i="1"/>
  <c r="Q173" i="1"/>
  <c r="H174" i="1" a="1"/>
  <c r="H174" i="1"/>
  <c r="I174" i="1" a="1"/>
  <c r="I174" i="1"/>
  <c r="J174" i="1" a="1"/>
  <c r="J174" i="1"/>
  <c r="K174" i="1" a="1"/>
  <c r="K174" i="1"/>
  <c r="L174" i="1" a="1"/>
  <c r="L174" i="1"/>
  <c r="M174" i="1"/>
  <c r="N174" i="1"/>
  <c r="O174" i="1"/>
  <c r="P174" i="1"/>
  <c r="Q174" i="1"/>
  <c r="H175" i="1" a="1"/>
  <c r="H175" i="1"/>
  <c r="I175" i="1" a="1"/>
  <c r="I175" i="1"/>
  <c r="J175" i="1" a="1"/>
  <c r="J175" i="1"/>
  <c r="K175" i="1" a="1"/>
  <c r="K175" i="1"/>
  <c r="L175" i="1" a="1"/>
  <c r="L175" i="1"/>
  <c r="M175" i="1"/>
  <c r="N175" i="1"/>
  <c r="O175" i="1"/>
  <c r="P175" i="1"/>
  <c r="Q175" i="1"/>
  <c r="H176" i="1" a="1"/>
  <c r="H176" i="1"/>
  <c r="I176" i="1" a="1"/>
  <c r="I176" i="1"/>
  <c r="J176" i="1" a="1"/>
  <c r="J176" i="1"/>
  <c r="K176" i="1" a="1"/>
  <c r="K176" i="1"/>
  <c r="L176" i="1" a="1"/>
  <c r="L176" i="1"/>
  <c r="M176" i="1"/>
  <c r="N176" i="1"/>
  <c r="O176" i="1"/>
  <c r="P176" i="1"/>
  <c r="Q176" i="1"/>
  <c r="H177" i="1" a="1"/>
  <c r="H177" i="1"/>
  <c r="I177" i="1" a="1"/>
  <c r="I177" i="1"/>
  <c r="J177" i="1" a="1"/>
  <c r="J177" i="1"/>
  <c r="K177" i="1" a="1"/>
  <c r="K177" i="1"/>
  <c r="L177" i="1" a="1"/>
  <c r="L177" i="1"/>
  <c r="M177" i="1"/>
  <c r="N177" i="1"/>
  <c r="O177" i="1"/>
  <c r="P177" i="1"/>
  <c r="Q177" i="1"/>
  <c r="H178" i="1" a="1"/>
  <c r="H178" i="1"/>
  <c r="I178" i="1" a="1"/>
  <c r="I178" i="1"/>
  <c r="J178" i="1" a="1"/>
  <c r="J178" i="1"/>
  <c r="K178" i="1" a="1"/>
  <c r="K178" i="1"/>
  <c r="L178" i="1" a="1"/>
  <c r="L178" i="1"/>
  <c r="M178" i="1"/>
  <c r="N178" i="1"/>
  <c r="O178" i="1"/>
  <c r="P178" i="1"/>
  <c r="Q178" i="1"/>
  <c r="H179" i="1" a="1"/>
  <c r="H179" i="1"/>
  <c r="I179" i="1" a="1"/>
  <c r="I179" i="1"/>
  <c r="J179" i="1" a="1"/>
  <c r="J179" i="1"/>
  <c r="K179" i="1" a="1"/>
  <c r="K179" i="1"/>
  <c r="L179" i="1" a="1"/>
  <c r="L179" i="1"/>
  <c r="M179" i="1"/>
  <c r="N179" i="1"/>
  <c r="O179" i="1"/>
  <c r="P179" i="1"/>
  <c r="Q179" i="1"/>
  <c r="H180" i="1" a="1"/>
  <c r="H180" i="1"/>
  <c r="I180" i="1" a="1"/>
  <c r="I180" i="1"/>
  <c r="J180" i="1" a="1"/>
  <c r="J180" i="1"/>
  <c r="K180" i="1" a="1"/>
  <c r="K180" i="1"/>
  <c r="L180" i="1" a="1"/>
  <c r="L180" i="1"/>
  <c r="M180" i="1"/>
  <c r="N180" i="1"/>
  <c r="O180" i="1"/>
  <c r="P180" i="1"/>
  <c r="Q180" i="1"/>
  <c r="H181" i="1" a="1"/>
  <c r="H181" i="1"/>
  <c r="I181" i="1" a="1"/>
  <c r="I181" i="1"/>
  <c r="J181" i="1" a="1"/>
  <c r="J181" i="1"/>
  <c r="K181" i="1" a="1"/>
  <c r="K181" i="1"/>
  <c r="L181" i="1" a="1"/>
  <c r="L181" i="1"/>
  <c r="M181" i="1"/>
  <c r="N181" i="1"/>
  <c r="O181" i="1"/>
  <c r="P181" i="1"/>
  <c r="Q181" i="1"/>
  <c r="H182" i="1" a="1"/>
  <c r="H182" i="1"/>
  <c r="I182" i="1" a="1"/>
  <c r="I182" i="1"/>
  <c r="J182" i="1" a="1"/>
  <c r="J182" i="1"/>
  <c r="K182" i="1" a="1"/>
  <c r="K182" i="1"/>
  <c r="L182" i="1" a="1"/>
  <c r="L182" i="1"/>
  <c r="M182" i="1"/>
  <c r="N182" i="1"/>
  <c r="O182" i="1"/>
  <c r="P182" i="1"/>
  <c r="Q182" i="1"/>
  <c r="H183" i="1" a="1"/>
  <c r="H183" i="1"/>
  <c r="I183" i="1" a="1"/>
  <c r="I183" i="1"/>
  <c r="J183" i="1" a="1"/>
  <c r="J183" i="1"/>
  <c r="K183" i="1" a="1"/>
  <c r="K183" i="1"/>
  <c r="L183" i="1" a="1"/>
  <c r="L183" i="1"/>
  <c r="M183" i="1"/>
  <c r="N183" i="1"/>
  <c r="O183" i="1"/>
  <c r="P183" i="1"/>
  <c r="Q183" i="1"/>
  <c r="H184" i="1" a="1"/>
  <c r="H184" i="1"/>
  <c r="I184" i="1" a="1"/>
  <c r="I184" i="1"/>
  <c r="J184" i="1" a="1"/>
  <c r="J184" i="1"/>
  <c r="K184" i="1" a="1"/>
  <c r="K184" i="1"/>
  <c r="L184" i="1" a="1"/>
  <c r="L184" i="1"/>
  <c r="M184" i="1"/>
  <c r="N184" i="1"/>
  <c r="O184" i="1"/>
  <c r="P184" i="1"/>
  <c r="Q184" i="1"/>
  <c r="H185" i="1" a="1"/>
  <c r="H185" i="1"/>
  <c r="I185" i="1" a="1"/>
  <c r="I185" i="1"/>
  <c r="J185" i="1" a="1"/>
  <c r="J185" i="1"/>
  <c r="K185" i="1" a="1"/>
  <c r="K185" i="1"/>
  <c r="L185" i="1" a="1"/>
  <c r="L185" i="1"/>
  <c r="M185" i="1"/>
  <c r="N185" i="1"/>
  <c r="O185" i="1"/>
  <c r="P185" i="1"/>
  <c r="Q185" i="1"/>
  <c r="H186" i="1" a="1"/>
  <c r="H186" i="1"/>
  <c r="I186" i="1" a="1"/>
  <c r="I186" i="1"/>
  <c r="J186" i="1" a="1"/>
  <c r="J186" i="1"/>
  <c r="K186" i="1" a="1"/>
  <c r="K186" i="1"/>
  <c r="L186" i="1" a="1"/>
  <c r="L186" i="1"/>
  <c r="M186" i="1"/>
  <c r="N186" i="1"/>
  <c r="O186" i="1"/>
  <c r="P186" i="1"/>
  <c r="Q186" i="1"/>
  <c r="H187" i="1" a="1"/>
  <c r="H187" i="1"/>
  <c r="I187" i="1" a="1"/>
  <c r="I187" i="1"/>
  <c r="J187" i="1" a="1"/>
  <c r="J187" i="1"/>
  <c r="K187" i="1" a="1"/>
  <c r="K187" i="1"/>
  <c r="L187" i="1" a="1"/>
  <c r="L187" i="1"/>
  <c r="M187" i="1"/>
  <c r="N187" i="1"/>
  <c r="O187" i="1"/>
  <c r="P187" i="1"/>
  <c r="Q187" i="1"/>
  <c r="H188" i="1" a="1"/>
  <c r="H188" i="1"/>
  <c r="I188" i="1" a="1"/>
  <c r="I188" i="1"/>
  <c r="J188" i="1" a="1"/>
  <c r="J188" i="1"/>
  <c r="K188" i="1" a="1"/>
  <c r="K188" i="1"/>
  <c r="L188" i="1" a="1"/>
  <c r="L188" i="1"/>
  <c r="M188" i="1"/>
  <c r="N188" i="1"/>
  <c r="O188" i="1"/>
  <c r="P188" i="1"/>
  <c r="Q188" i="1"/>
  <c r="H189" i="1" a="1"/>
  <c r="H189" i="1"/>
  <c r="I189" i="1" a="1"/>
  <c r="I189" i="1"/>
  <c r="J189" i="1" a="1"/>
  <c r="J189" i="1"/>
  <c r="K189" i="1" a="1"/>
  <c r="K189" i="1"/>
  <c r="L189" i="1" a="1"/>
  <c r="L189" i="1"/>
  <c r="M189" i="1"/>
  <c r="N189" i="1"/>
  <c r="O189" i="1"/>
  <c r="P189" i="1"/>
  <c r="Q189" i="1"/>
  <c r="H190" i="1" a="1"/>
  <c r="H190" i="1"/>
  <c r="I190" i="1" a="1"/>
  <c r="I190" i="1"/>
  <c r="J190" i="1" a="1"/>
  <c r="J190" i="1"/>
  <c r="K190" i="1" a="1"/>
  <c r="K190" i="1"/>
  <c r="L190" i="1" a="1"/>
  <c r="L190" i="1"/>
  <c r="M190" i="1"/>
  <c r="N190" i="1"/>
  <c r="O190" i="1"/>
  <c r="P190" i="1"/>
  <c r="Q190" i="1"/>
  <c r="H191" i="1" a="1"/>
  <c r="H191" i="1"/>
  <c r="I191" i="1" a="1"/>
  <c r="I191" i="1"/>
  <c r="J191" i="1" a="1"/>
  <c r="J191" i="1"/>
  <c r="K191" i="1" a="1"/>
  <c r="K191" i="1"/>
  <c r="L191" i="1" a="1"/>
  <c r="L191" i="1"/>
  <c r="M191" i="1"/>
  <c r="N191" i="1"/>
  <c r="O191" i="1"/>
  <c r="P191" i="1"/>
  <c r="Q191" i="1"/>
  <c r="H192" i="1" a="1"/>
  <c r="H192" i="1"/>
  <c r="I192" i="1" a="1"/>
  <c r="I192" i="1"/>
  <c r="J192" i="1" a="1"/>
  <c r="J192" i="1"/>
  <c r="K192" i="1" a="1"/>
  <c r="K192" i="1"/>
  <c r="L192" i="1" a="1"/>
  <c r="L192" i="1"/>
  <c r="M192" i="1"/>
  <c r="N192" i="1"/>
  <c r="O192" i="1"/>
  <c r="P192" i="1"/>
  <c r="Q192" i="1"/>
  <c r="H193" i="1" a="1"/>
  <c r="H193" i="1"/>
  <c r="I193" i="1" a="1"/>
  <c r="I193" i="1"/>
  <c r="J193" i="1" a="1"/>
  <c r="J193" i="1"/>
  <c r="K193" i="1" a="1"/>
  <c r="K193" i="1"/>
  <c r="L193" i="1" a="1"/>
  <c r="L193" i="1"/>
  <c r="M193" i="1"/>
  <c r="N193" i="1"/>
  <c r="O193" i="1"/>
  <c r="P193" i="1"/>
  <c r="Q193" i="1"/>
  <c r="H194" i="1" a="1"/>
  <c r="H194" i="1"/>
  <c r="I194" i="1" a="1"/>
  <c r="I194" i="1"/>
  <c r="J194" i="1" a="1"/>
  <c r="J194" i="1"/>
  <c r="K194" i="1" a="1"/>
  <c r="K194" i="1"/>
  <c r="L194" i="1" a="1"/>
  <c r="L194" i="1"/>
  <c r="M194" i="1"/>
  <c r="N194" i="1"/>
  <c r="O194" i="1"/>
  <c r="P194" i="1"/>
  <c r="Q194" i="1"/>
  <c r="H195" i="1" a="1"/>
  <c r="H195" i="1"/>
  <c r="I195" i="1" a="1"/>
  <c r="I195" i="1"/>
  <c r="J195" i="1" a="1"/>
  <c r="J195" i="1"/>
  <c r="K195" i="1" a="1"/>
  <c r="K195" i="1"/>
  <c r="L195" i="1" a="1"/>
  <c r="L195" i="1"/>
  <c r="M195" i="1"/>
  <c r="N195" i="1"/>
  <c r="O195" i="1"/>
  <c r="P195" i="1"/>
  <c r="Q195" i="1"/>
  <c r="H196" i="1" a="1"/>
  <c r="H196" i="1"/>
  <c r="I196" i="1" a="1"/>
  <c r="I196" i="1"/>
  <c r="J196" i="1" a="1"/>
  <c r="J196" i="1"/>
  <c r="K196" i="1" a="1"/>
  <c r="K196" i="1"/>
  <c r="L196" i="1" a="1"/>
  <c r="L196" i="1"/>
  <c r="M196" i="1"/>
  <c r="N196" i="1"/>
  <c r="O196" i="1"/>
  <c r="P196" i="1"/>
  <c r="Q196" i="1"/>
  <c r="H197" i="1" a="1"/>
  <c r="H197" i="1"/>
  <c r="I197" i="1" a="1"/>
  <c r="I197" i="1"/>
  <c r="J197" i="1" a="1"/>
  <c r="J197" i="1"/>
  <c r="K197" i="1" a="1"/>
  <c r="K197" i="1"/>
  <c r="L197" i="1" a="1"/>
  <c r="L197" i="1"/>
  <c r="M197" i="1"/>
  <c r="N197" i="1"/>
  <c r="O197" i="1"/>
  <c r="P197" i="1"/>
  <c r="Q197" i="1"/>
  <c r="H198" i="1" a="1"/>
  <c r="H198" i="1"/>
  <c r="I198" i="1" a="1"/>
  <c r="I198" i="1"/>
  <c r="J198" i="1" a="1"/>
  <c r="J198" i="1"/>
  <c r="K198" i="1" a="1"/>
  <c r="K198" i="1"/>
  <c r="L198" i="1" a="1"/>
  <c r="L198" i="1"/>
  <c r="M198" i="1"/>
  <c r="N198" i="1"/>
  <c r="O198" i="1"/>
  <c r="P198" i="1"/>
  <c r="Q198" i="1"/>
  <c r="H199" i="1" a="1"/>
  <c r="H199" i="1"/>
  <c r="I199" i="1" a="1"/>
  <c r="I199" i="1"/>
  <c r="J199" i="1" a="1"/>
  <c r="J199" i="1"/>
  <c r="K199" i="1" a="1"/>
  <c r="K199" i="1"/>
  <c r="L199" i="1" a="1"/>
  <c r="L199" i="1"/>
  <c r="M199" i="1"/>
  <c r="N199" i="1"/>
  <c r="O199" i="1"/>
  <c r="P199" i="1"/>
  <c r="Q199" i="1"/>
  <c r="H200" i="1" a="1"/>
  <c r="H200" i="1"/>
  <c r="I200" i="1" a="1"/>
  <c r="I200" i="1"/>
  <c r="J200" i="1" a="1"/>
  <c r="J200" i="1"/>
  <c r="K200" i="1" a="1"/>
  <c r="K200" i="1"/>
  <c r="L200" i="1" a="1"/>
  <c r="L200" i="1"/>
  <c r="M200" i="1"/>
  <c r="N200" i="1"/>
  <c r="O200" i="1"/>
  <c r="P200" i="1"/>
  <c r="Q200" i="1"/>
  <c r="H201" i="1" a="1"/>
  <c r="H201" i="1"/>
  <c r="I201" i="1" a="1"/>
  <c r="I201" i="1"/>
  <c r="J201" i="1" a="1"/>
  <c r="J201" i="1"/>
  <c r="K201" i="1" a="1"/>
  <c r="K201" i="1"/>
  <c r="L201" i="1" a="1"/>
  <c r="L201" i="1"/>
  <c r="M201" i="1"/>
  <c r="N201" i="1"/>
  <c r="O201" i="1"/>
  <c r="P201" i="1"/>
  <c r="Q201" i="1"/>
  <c r="H202" i="1" a="1"/>
  <c r="H202" i="1"/>
  <c r="I202" i="1" a="1"/>
  <c r="I202" i="1"/>
  <c r="J202" i="1" a="1"/>
  <c r="J202" i="1"/>
  <c r="K202" i="1" a="1"/>
  <c r="K202" i="1"/>
  <c r="L202" i="1" a="1"/>
  <c r="L202" i="1"/>
  <c r="M202" i="1"/>
  <c r="N202" i="1"/>
  <c r="O202" i="1"/>
  <c r="P202" i="1"/>
  <c r="Q202" i="1"/>
  <c r="H203" i="1" a="1"/>
  <c r="H203" i="1"/>
  <c r="I203" i="1" a="1"/>
  <c r="I203" i="1"/>
  <c r="J203" i="1" a="1"/>
  <c r="J203" i="1"/>
  <c r="K203" i="1" a="1"/>
  <c r="K203" i="1"/>
  <c r="L203" i="1" a="1"/>
  <c r="L203" i="1"/>
  <c r="M203" i="1"/>
  <c r="N203" i="1"/>
  <c r="O203" i="1"/>
  <c r="P203" i="1"/>
  <c r="Q203" i="1"/>
  <c r="H204" i="1" a="1"/>
  <c r="H204" i="1"/>
  <c r="I204" i="1" a="1"/>
  <c r="I204" i="1"/>
  <c r="J204" i="1" a="1"/>
  <c r="J204" i="1"/>
  <c r="K204" i="1" a="1"/>
  <c r="K204" i="1"/>
  <c r="L204" i="1" a="1"/>
  <c r="L204" i="1"/>
  <c r="M204" i="1"/>
  <c r="N204" i="1"/>
  <c r="O204" i="1"/>
  <c r="P204" i="1"/>
  <c r="Q204" i="1"/>
  <c r="H205" i="1" a="1"/>
  <c r="H205" i="1"/>
  <c r="I205" i="1" a="1"/>
  <c r="I205" i="1"/>
  <c r="J205" i="1" a="1"/>
  <c r="J205" i="1"/>
  <c r="K205" i="1" a="1"/>
  <c r="K205" i="1"/>
  <c r="L205" i="1" a="1"/>
  <c r="L205" i="1"/>
  <c r="M205" i="1"/>
  <c r="N205" i="1"/>
  <c r="O205" i="1"/>
  <c r="P205" i="1"/>
  <c r="Q205" i="1"/>
  <c r="H206" i="1" a="1"/>
  <c r="H206" i="1"/>
  <c r="I206" i="1" a="1"/>
  <c r="I206" i="1"/>
  <c r="J206" i="1" a="1"/>
  <c r="J206" i="1"/>
  <c r="K206" i="1" a="1"/>
  <c r="K206" i="1"/>
  <c r="L206" i="1" a="1"/>
  <c r="L206" i="1"/>
  <c r="M206" i="1"/>
  <c r="N206" i="1"/>
  <c r="O206" i="1"/>
  <c r="P206" i="1"/>
  <c r="Q206" i="1"/>
  <c r="H207" i="1" a="1"/>
  <c r="H207" i="1"/>
  <c r="I207" i="1" a="1"/>
  <c r="I207" i="1"/>
  <c r="J207" i="1" a="1"/>
  <c r="J207" i="1"/>
  <c r="K207" i="1" a="1"/>
  <c r="K207" i="1"/>
  <c r="L207" i="1" a="1"/>
  <c r="L207" i="1"/>
  <c r="M207" i="1"/>
  <c r="N207" i="1"/>
  <c r="O207" i="1"/>
  <c r="P207" i="1"/>
  <c r="Q207" i="1"/>
  <c r="H208" i="1" a="1"/>
  <c r="H208" i="1"/>
  <c r="I208" i="1" a="1"/>
  <c r="I208" i="1"/>
  <c r="J208" i="1" a="1"/>
  <c r="J208" i="1"/>
  <c r="K208" i="1" a="1"/>
  <c r="K208" i="1"/>
  <c r="L208" i="1" a="1"/>
  <c r="L208" i="1"/>
  <c r="M208" i="1"/>
  <c r="N208" i="1"/>
  <c r="O208" i="1"/>
  <c r="P208" i="1"/>
  <c r="Q208" i="1"/>
  <c r="H209" i="1" a="1"/>
  <c r="H209" i="1"/>
  <c r="I209" i="1" a="1"/>
  <c r="I209" i="1"/>
  <c r="J209" i="1" a="1"/>
  <c r="J209" i="1"/>
  <c r="K209" i="1" a="1"/>
  <c r="K209" i="1"/>
  <c r="L209" i="1" a="1"/>
  <c r="L209" i="1"/>
  <c r="M209" i="1"/>
  <c r="N209" i="1"/>
  <c r="O209" i="1"/>
  <c r="P209" i="1"/>
  <c r="Q209" i="1"/>
  <c r="H210" i="1" a="1"/>
  <c r="H210" i="1"/>
  <c r="I210" i="1" a="1"/>
  <c r="I210" i="1"/>
  <c r="J210" i="1" a="1"/>
  <c r="J210" i="1"/>
  <c r="K210" i="1" a="1"/>
  <c r="K210" i="1"/>
  <c r="L210" i="1" a="1"/>
  <c r="L210" i="1"/>
  <c r="M210" i="1"/>
  <c r="N210" i="1"/>
  <c r="O210" i="1"/>
  <c r="P210" i="1"/>
  <c r="Q210" i="1"/>
  <c r="H211" i="1" a="1"/>
  <c r="H211" i="1"/>
  <c r="I211" i="1" a="1"/>
  <c r="I211" i="1"/>
  <c r="J211" i="1" a="1"/>
  <c r="J211" i="1"/>
  <c r="K211" i="1" a="1"/>
  <c r="K211" i="1"/>
  <c r="L211" i="1" a="1"/>
  <c r="L211" i="1"/>
  <c r="M211" i="1"/>
  <c r="N211" i="1"/>
  <c r="O211" i="1"/>
  <c r="P211" i="1"/>
  <c r="Q211" i="1"/>
  <c r="H212" i="1" a="1"/>
  <c r="H212" i="1"/>
  <c r="I212" i="1" a="1"/>
  <c r="I212" i="1"/>
  <c r="J212" i="1" a="1"/>
  <c r="J212" i="1"/>
  <c r="K212" i="1" a="1"/>
  <c r="K212" i="1"/>
  <c r="L212" i="1" a="1"/>
  <c r="L212" i="1"/>
  <c r="M212" i="1"/>
  <c r="N212" i="1"/>
  <c r="O212" i="1"/>
  <c r="P212" i="1"/>
  <c r="Q212" i="1"/>
  <c r="H213" i="1" a="1"/>
  <c r="H213" i="1"/>
  <c r="I213" i="1" a="1"/>
  <c r="I213" i="1"/>
  <c r="J213" i="1" a="1"/>
  <c r="J213" i="1"/>
  <c r="K213" i="1" a="1"/>
  <c r="K213" i="1"/>
  <c r="L213" i="1" a="1"/>
  <c r="L213" i="1"/>
  <c r="M213" i="1"/>
  <c r="N213" i="1"/>
  <c r="O213" i="1"/>
  <c r="P213" i="1"/>
  <c r="Q213" i="1"/>
  <c r="H214" i="1" a="1"/>
  <c r="H214" i="1"/>
  <c r="I214" i="1" a="1"/>
  <c r="I214" i="1"/>
  <c r="J214" i="1" a="1"/>
  <c r="J214" i="1"/>
  <c r="K214" i="1" a="1"/>
  <c r="K214" i="1"/>
  <c r="L214" i="1" a="1"/>
  <c r="L214" i="1"/>
  <c r="M214" i="1"/>
  <c r="N214" i="1"/>
  <c r="O214" i="1"/>
  <c r="P214" i="1"/>
  <c r="Q214" i="1"/>
  <c r="H215" i="1" a="1"/>
  <c r="H215" i="1"/>
  <c r="I215" i="1" a="1"/>
  <c r="I215" i="1"/>
  <c r="J215" i="1" a="1"/>
  <c r="J215" i="1"/>
  <c r="K215" i="1" a="1"/>
  <c r="K215" i="1"/>
  <c r="L215" i="1" a="1"/>
  <c r="L215" i="1"/>
  <c r="M215" i="1"/>
  <c r="N215" i="1"/>
  <c r="O215" i="1"/>
  <c r="P215" i="1"/>
  <c r="Q215" i="1"/>
  <c r="H216" i="1" a="1"/>
  <c r="H216" i="1"/>
  <c r="I216" i="1" a="1"/>
  <c r="I216" i="1"/>
  <c r="J216" i="1" a="1"/>
  <c r="J216" i="1"/>
  <c r="K216" i="1" a="1"/>
  <c r="K216" i="1"/>
  <c r="L216" i="1" a="1"/>
  <c r="L216" i="1"/>
  <c r="M216" i="1"/>
  <c r="N216" i="1"/>
  <c r="O216" i="1"/>
  <c r="P216" i="1"/>
  <c r="Q216" i="1"/>
  <c r="H217" i="1" a="1"/>
  <c r="H217" i="1"/>
  <c r="I217" i="1" a="1"/>
  <c r="I217" i="1"/>
  <c r="J217" i="1" a="1"/>
  <c r="J217" i="1"/>
  <c r="K217" i="1" a="1"/>
  <c r="K217" i="1"/>
  <c r="L217" i="1" a="1"/>
  <c r="L217" i="1"/>
  <c r="M217" i="1"/>
  <c r="N217" i="1"/>
  <c r="O217" i="1"/>
  <c r="P217" i="1"/>
  <c r="Q217" i="1"/>
  <c r="H218" i="1" a="1"/>
  <c r="H218" i="1"/>
  <c r="I218" i="1" a="1"/>
  <c r="I218" i="1"/>
  <c r="J218" i="1" a="1"/>
  <c r="J218" i="1"/>
  <c r="K218" i="1" a="1"/>
  <c r="K218" i="1"/>
  <c r="L218" i="1" a="1"/>
  <c r="L218" i="1"/>
  <c r="M218" i="1"/>
  <c r="N218" i="1"/>
  <c r="O218" i="1"/>
  <c r="P218" i="1"/>
  <c r="Q218" i="1"/>
  <c r="H219" i="1" a="1"/>
  <c r="H219" i="1"/>
  <c r="I219" i="1" a="1"/>
  <c r="I219" i="1"/>
  <c r="J219" i="1" a="1"/>
  <c r="J219" i="1"/>
  <c r="K219" i="1" a="1"/>
  <c r="K219" i="1"/>
  <c r="L219" i="1" a="1"/>
  <c r="L219" i="1"/>
  <c r="M219" i="1"/>
  <c r="N219" i="1"/>
  <c r="O219" i="1"/>
  <c r="P219" i="1"/>
  <c r="Q219" i="1"/>
  <c r="H220" i="1" a="1"/>
  <c r="H220" i="1"/>
  <c r="I220" i="1" a="1"/>
  <c r="I220" i="1"/>
  <c r="J220" i="1" a="1"/>
  <c r="J220" i="1"/>
  <c r="K220" i="1" a="1"/>
  <c r="K220" i="1"/>
  <c r="L220" i="1" a="1"/>
  <c r="L220" i="1"/>
  <c r="M220" i="1"/>
  <c r="N220" i="1"/>
  <c r="O220" i="1"/>
  <c r="P220" i="1"/>
  <c r="Q220" i="1"/>
  <c r="H221" i="1" a="1"/>
  <c r="H221" i="1"/>
  <c r="I221" i="1" a="1"/>
  <c r="I221" i="1"/>
  <c r="J221" i="1" a="1"/>
  <c r="J221" i="1"/>
  <c r="K221" i="1" a="1"/>
  <c r="K221" i="1"/>
  <c r="L221" i="1" a="1"/>
  <c r="L221" i="1"/>
  <c r="M221" i="1"/>
  <c r="N221" i="1"/>
  <c r="O221" i="1"/>
  <c r="P221" i="1"/>
  <c r="Q221" i="1"/>
  <c r="H222" i="1" a="1"/>
  <c r="H222" i="1"/>
  <c r="I222" i="1" a="1"/>
  <c r="I222" i="1"/>
  <c r="J222" i="1" a="1"/>
  <c r="J222" i="1"/>
  <c r="K222" i="1" a="1"/>
  <c r="K222" i="1"/>
  <c r="L222" i="1" a="1"/>
  <c r="L222" i="1"/>
  <c r="M222" i="1"/>
  <c r="N222" i="1"/>
  <c r="O222" i="1"/>
  <c r="P222" i="1"/>
  <c r="Q222" i="1"/>
  <c r="H223" i="1" a="1"/>
  <c r="H223" i="1"/>
  <c r="I223" i="1" a="1"/>
  <c r="I223" i="1"/>
  <c r="J223" i="1" a="1"/>
  <c r="J223" i="1"/>
  <c r="K223" i="1" a="1"/>
  <c r="K223" i="1"/>
  <c r="L223" i="1" a="1"/>
  <c r="L223" i="1"/>
  <c r="M223" i="1"/>
  <c r="N223" i="1"/>
  <c r="O223" i="1"/>
  <c r="P223" i="1"/>
  <c r="Q223" i="1"/>
  <c r="H224" i="1" a="1"/>
  <c r="H224" i="1"/>
  <c r="I224" i="1" a="1"/>
  <c r="I224" i="1"/>
  <c r="J224" i="1" a="1"/>
  <c r="J224" i="1"/>
  <c r="K224" i="1" a="1"/>
  <c r="K224" i="1"/>
  <c r="L224" i="1" a="1"/>
  <c r="L224" i="1"/>
  <c r="M224" i="1"/>
  <c r="N224" i="1"/>
  <c r="O224" i="1"/>
  <c r="P224" i="1"/>
  <c r="Q224" i="1"/>
  <c r="H225" i="1" a="1"/>
  <c r="H225" i="1"/>
  <c r="I225" i="1" a="1"/>
  <c r="I225" i="1"/>
  <c r="J225" i="1" a="1"/>
  <c r="J225" i="1"/>
  <c r="K225" i="1" a="1"/>
  <c r="K225" i="1"/>
  <c r="L225" i="1" a="1"/>
  <c r="L225" i="1"/>
  <c r="M225" i="1"/>
  <c r="N225" i="1"/>
  <c r="O225" i="1"/>
  <c r="P225" i="1"/>
  <c r="Q225" i="1"/>
  <c r="H226" i="1" a="1"/>
  <c r="H226" i="1"/>
  <c r="I226" i="1" a="1"/>
  <c r="I226" i="1"/>
  <c r="J226" i="1" a="1"/>
  <c r="J226" i="1"/>
  <c r="K226" i="1" a="1"/>
  <c r="K226" i="1"/>
  <c r="L226" i="1" a="1"/>
  <c r="L226" i="1"/>
  <c r="M226" i="1"/>
  <c r="N226" i="1"/>
  <c r="O226" i="1"/>
  <c r="P226" i="1"/>
  <c r="Q226" i="1"/>
  <c r="H227" i="1" a="1"/>
  <c r="H227" i="1"/>
  <c r="I227" i="1" a="1"/>
  <c r="I227" i="1"/>
  <c r="J227" i="1" a="1"/>
  <c r="J227" i="1"/>
  <c r="K227" i="1" a="1"/>
  <c r="K227" i="1"/>
  <c r="L227" i="1" a="1"/>
  <c r="L227" i="1"/>
  <c r="M227" i="1"/>
  <c r="N227" i="1"/>
  <c r="O227" i="1"/>
  <c r="P227" i="1"/>
  <c r="Q227" i="1"/>
  <c r="H228" i="1" a="1"/>
  <c r="H228" i="1"/>
  <c r="I228" i="1" a="1"/>
  <c r="I228" i="1"/>
  <c r="J228" i="1" a="1"/>
  <c r="J228" i="1"/>
  <c r="K228" i="1" a="1"/>
  <c r="K228" i="1"/>
  <c r="L228" i="1" a="1"/>
  <c r="L228" i="1"/>
  <c r="M228" i="1"/>
  <c r="N228" i="1"/>
  <c r="O228" i="1"/>
  <c r="P228" i="1"/>
  <c r="Q228" i="1"/>
  <c r="H229" i="1" a="1"/>
  <c r="H229" i="1"/>
  <c r="I229" i="1" a="1"/>
  <c r="I229" i="1"/>
  <c r="J229" i="1" a="1"/>
  <c r="J229" i="1"/>
  <c r="K229" i="1" a="1"/>
  <c r="K229" i="1"/>
  <c r="L229" i="1" a="1"/>
  <c r="L229" i="1"/>
  <c r="M229" i="1"/>
  <c r="N229" i="1"/>
  <c r="O229" i="1"/>
  <c r="P229" i="1"/>
  <c r="Q229" i="1"/>
  <c r="H230" i="1" a="1"/>
  <c r="H230" i="1"/>
  <c r="I230" i="1" a="1"/>
  <c r="I230" i="1"/>
  <c r="J230" i="1" a="1"/>
  <c r="J230" i="1"/>
  <c r="K230" i="1" a="1"/>
  <c r="K230" i="1"/>
  <c r="L230" i="1" a="1"/>
  <c r="L230" i="1"/>
  <c r="M230" i="1"/>
  <c r="N230" i="1"/>
  <c r="O230" i="1"/>
  <c r="P230" i="1"/>
  <c r="Q230" i="1"/>
  <c r="H231" i="1" a="1"/>
  <c r="H231" i="1"/>
  <c r="I231" i="1" a="1"/>
  <c r="I231" i="1"/>
  <c r="J231" i="1" a="1"/>
  <c r="J231" i="1"/>
  <c r="K231" i="1" a="1"/>
  <c r="K231" i="1"/>
  <c r="L231" i="1" a="1"/>
  <c r="L231" i="1"/>
  <c r="M231" i="1"/>
  <c r="N231" i="1"/>
  <c r="O231" i="1"/>
  <c r="P231" i="1"/>
  <c r="Q231" i="1"/>
  <c r="H232" i="1" a="1"/>
  <c r="H232" i="1"/>
  <c r="I232" i="1" a="1"/>
  <c r="I232" i="1"/>
  <c r="J232" i="1" a="1"/>
  <c r="J232" i="1"/>
  <c r="K232" i="1" a="1"/>
  <c r="K232" i="1"/>
  <c r="L232" i="1" a="1"/>
  <c r="L232" i="1"/>
  <c r="M232" i="1"/>
  <c r="N232" i="1"/>
  <c r="O232" i="1"/>
  <c r="P232" i="1"/>
  <c r="Q232" i="1"/>
  <c r="H233" i="1" a="1"/>
  <c r="H233" i="1"/>
  <c r="I233" i="1" a="1"/>
  <c r="I233" i="1"/>
  <c r="J233" i="1" a="1"/>
  <c r="J233" i="1"/>
  <c r="K233" i="1" a="1"/>
  <c r="K233" i="1"/>
  <c r="L233" i="1" a="1"/>
  <c r="L233" i="1"/>
  <c r="M233" i="1"/>
  <c r="N233" i="1"/>
  <c r="O233" i="1"/>
  <c r="P233" i="1"/>
  <c r="Q233" i="1"/>
  <c r="H234" i="1" a="1"/>
  <c r="H234" i="1"/>
  <c r="I234" i="1" a="1"/>
  <c r="I234" i="1"/>
  <c r="J234" i="1" a="1"/>
  <c r="J234" i="1"/>
  <c r="K234" i="1" a="1"/>
  <c r="K234" i="1"/>
  <c r="L234" i="1" a="1"/>
  <c r="L234" i="1"/>
  <c r="M234" i="1"/>
  <c r="N234" i="1"/>
  <c r="O234" i="1"/>
  <c r="P234" i="1"/>
  <c r="Q234" i="1"/>
  <c r="H235" i="1" a="1"/>
  <c r="H235" i="1"/>
  <c r="I235" i="1" a="1"/>
  <c r="I235" i="1"/>
  <c r="J235" i="1" a="1"/>
  <c r="J235" i="1"/>
  <c r="K235" i="1" a="1"/>
  <c r="K235" i="1"/>
  <c r="L235" i="1" a="1"/>
  <c r="L235" i="1"/>
  <c r="M235" i="1"/>
  <c r="N235" i="1"/>
  <c r="O235" i="1"/>
  <c r="P235" i="1"/>
  <c r="Q235" i="1"/>
  <c r="H236" i="1" a="1"/>
  <c r="H236" i="1"/>
  <c r="I236" i="1" a="1"/>
  <c r="I236" i="1"/>
  <c r="J236" i="1" a="1"/>
  <c r="J236" i="1"/>
  <c r="K236" i="1" a="1"/>
  <c r="K236" i="1"/>
  <c r="L236" i="1" a="1"/>
  <c r="L236" i="1"/>
  <c r="M236" i="1"/>
  <c r="N236" i="1"/>
  <c r="O236" i="1"/>
  <c r="P236" i="1"/>
  <c r="Q236" i="1"/>
  <c r="H237" i="1" a="1"/>
  <c r="H237" i="1"/>
  <c r="I237" i="1" a="1"/>
  <c r="I237" i="1"/>
  <c r="J237" i="1" a="1"/>
  <c r="J237" i="1"/>
  <c r="K237" i="1" a="1"/>
  <c r="K237" i="1"/>
  <c r="L237" i="1" a="1"/>
  <c r="L237" i="1"/>
  <c r="M237" i="1"/>
  <c r="N237" i="1"/>
  <c r="O237" i="1"/>
  <c r="P237" i="1"/>
  <c r="Q237" i="1"/>
  <c r="H238" i="1" a="1"/>
  <c r="H238" i="1"/>
  <c r="I238" i="1" a="1"/>
  <c r="I238" i="1"/>
  <c r="J238" i="1" a="1"/>
  <c r="J238" i="1"/>
  <c r="K238" i="1" a="1"/>
  <c r="K238" i="1"/>
  <c r="L238" i="1" a="1"/>
  <c r="L238" i="1"/>
  <c r="M238" i="1"/>
  <c r="N238" i="1"/>
  <c r="O238" i="1"/>
  <c r="P238" i="1"/>
  <c r="Q238" i="1"/>
  <c r="H239" i="1" a="1"/>
  <c r="H239" i="1"/>
  <c r="I239" i="1" a="1"/>
  <c r="I239" i="1"/>
  <c r="J239" i="1" a="1"/>
  <c r="J239" i="1"/>
  <c r="K239" i="1" a="1"/>
  <c r="K239" i="1"/>
  <c r="L239" i="1" a="1"/>
  <c r="L239" i="1"/>
  <c r="M239" i="1"/>
  <c r="N239" i="1"/>
  <c r="O239" i="1"/>
  <c r="P239" i="1"/>
  <c r="Q239" i="1"/>
  <c r="H240" i="1" a="1"/>
  <c r="H240" i="1"/>
  <c r="I240" i="1" a="1"/>
  <c r="I240" i="1"/>
  <c r="J240" i="1" a="1"/>
  <c r="J240" i="1"/>
  <c r="K240" i="1" a="1"/>
  <c r="K240" i="1"/>
  <c r="L240" i="1" a="1"/>
  <c r="L240" i="1"/>
  <c r="M240" i="1"/>
  <c r="N240" i="1"/>
  <c r="O240" i="1"/>
  <c r="P240" i="1"/>
  <c r="Q240" i="1"/>
  <c r="H241" i="1" a="1"/>
  <c r="H241" i="1"/>
  <c r="I241" i="1" a="1"/>
  <c r="I241" i="1"/>
  <c r="J241" i="1" a="1"/>
  <c r="J241" i="1"/>
  <c r="K241" i="1" a="1"/>
  <c r="K241" i="1"/>
  <c r="L241" i="1" a="1"/>
  <c r="L241" i="1"/>
  <c r="M241" i="1"/>
  <c r="N241" i="1"/>
  <c r="O241" i="1"/>
  <c r="P241" i="1"/>
  <c r="Q241" i="1"/>
  <c r="H242" i="1" a="1"/>
  <c r="H242" i="1"/>
  <c r="I242" i="1" a="1"/>
  <c r="I242" i="1"/>
  <c r="J242" i="1" a="1"/>
  <c r="J242" i="1"/>
  <c r="K242" i="1" a="1"/>
  <c r="K242" i="1"/>
  <c r="L242" i="1" a="1"/>
  <c r="L242" i="1"/>
  <c r="M242" i="1"/>
  <c r="N242" i="1"/>
  <c r="O242" i="1"/>
  <c r="P242" i="1"/>
  <c r="Q242" i="1"/>
  <c r="H243" i="1" a="1"/>
  <c r="H243" i="1"/>
  <c r="I243" i="1" a="1"/>
  <c r="I243" i="1"/>
  <c r="J243" i="1" a="1"/>
  <c r="J243" i="1"/>
  <c r="K243" i="1" a="1"/>
  <c r="K243" i="1"/>
  <c r="L243" i="1" a="1"/>
  <c r="L243" i="1"/>
  <c r="M243" i="1"/>
  <c r="N243" i="1"/>
  <c r="O243" i="1"/>
  <c r="P243" i="1"/>
  <c r="Q243" i="1"/>
  <c r="H244" i="1" a="1"/>
  <c r="H244" i="1"/>
  <c r="I244" i="1" a="1"/>
  <c r="I244" i="1"/>
  <c r="J244" i="1" a="1"/>
  <c r="J244" i="1"/>
  <c r="K244" i="1" a="1"/>
  <c r="K244" i="1"/>
  <c r="L244" i="1" a="1"/>
  <c r="L244" i="1"/>
  <c r="M244" i="1"/>
  <c r="N244" i="1"/>
  <c r="O244" i="1"/>
  <c r="P244" i="1"/>
  <c r="Q244" i="1"/>
  <c r="H245" i="1" a="1"/>
  <c r="H245" i="1"/>
  <c r="I245" i="1" a="1"/>
  <c r="I245" i="1"/>
  <c r="J245" i="1" a="1"/>
  <c r="J245" i="1"/>
  <c r="K245" i="1" a="1"/>
  <c r="K245" i="1"/>
  <c r="L245" i="1" a="1"/>
  <c r="L245" i="1"/>
  <c r="M245" i="1"/>
  <c r="N245" i="1"/>
  <c r="O245" i="1"/>
  <c r="P245" i="1"/>
  <c r="Q245" i="1"/>
  <c r="H246" i="1" a="1"/>
  <c r="H246" i="1"/>
  <c r="I246" i="1" a="1"/>
  <c r="I246" i="1"/>
  <c r="J246" i="1" a="1"/>
  <c r="J246" i="1"/>
  <c r="K246" i="1" a="1"/>
  <c r="K246" i="1"/>
  <c r="L246" i="1" a="1"/>
  <c r="L246" i="1"/>
  <c r="M246" i="1"/>
  <c r="N246" i="1"/>
  <c r="O246" i="1"/>
  <c r="P246" i="1"/>
  <c r="Q246" i="1"/>
  <c r="H247" i="1" a="1"/>
  <c r="H247" i="1"/>
  <c r="I247" i="1" a="1"/>
  <c r="I247" i="1"/>
  <c r="J247" i="1" a="1"/>
  <c r="J247" i="1"/>
  <c r="K247" i="1" a="1"/>
  <c r="K247" i="1"/>
  <c r="L247" i="1" a="1"/>
  <c r="L247" i="1"/>
  <c r="M247" i="1"/>
  <c r="N247" i="1"/>
  <c r="O247" i="1"/>
  <c r="P247" i="1"/>
  <c r="Q247" i="1"/>
  <c r="H248" i="1" a="1"/>
  <c r="H248" i="1"/>
  <c r="I248" i="1" a="1"/>
  <c r="I248" i="1"/>
  <c r="J248" i="1" a="1"/>
  <c r="J248" i="1"/>
  <c r="K248" i="1" a="1"/>
  <c r="K248" i="1"/>
  <c r="L248" i="1" a="1"/>
  <c r="L248" i="1"/>
  <c r="M248" i="1"/>
  <c r="N248" i="1"/>
  <c r="O248" i="1"/>
  <c r="P248" i="1"/>
  <c r="Q248" i="1"/>
  <c r="H249" i="1" a="1"/>
  <c r="H249" i="1"/>
  <c r="I249" i="1" a="1"/>
  <c r="I249" i="1"/>
  <c r="J249" i="1" a="1"/>
  <c r="J249" i="1"/>
  <c r="K249" i="1" a="1"/>
  <c r="K249" i="1"/>
  <c r="L249" i="1" a="1"/>
  <c r="L249" i="1"/>
  <c r="M249" i="1"/>
  <c r="N249" i="1"/>
  <c r="O249" i="1"/>
  <c r="P249" i="1"/>
  <c r="Q249" i="1"/>
  <c r="H250" i="1" a="1"/>
  <c r="H250" i="1"/>
  <c r="I250" i="1" a="1"/>
  <c r="I250" i="1"/>
  <c r="J250" i="1" a="1"/>
  <c r="J250" i="1"/>
  <c r="K250" i="1" a="1"/>
  <c r="K250" i="1"/>
  <c r="L250" i="1" a="1"/>
  <c r="L250" i="1"/>
  <c r="M250" i="1"/>
  <c r="N250" i="1"/>
  <c r="O250" i="1"/>
  <c r="P250" i="1"/>
  <c r="Q250" i="1"/>
  <c r="H251" i="1" a="1"/>
  <c r="H251" i="1"/>
  <c r="I251" i="1" a="1"/>
  <c r="I251" i="1"/>
  <c r="J251" i="1" a="1"/>
  <c r="J251" i="1"/>
  <c r="K251" i="1" a="1"/>
  <c r="K251" i="1"/>
  <c r="L251" i="1" a="1"/>
  <c r="L251" i="1"/>
  <c r="M251" i="1"/>
  <c r="N251" i="1"/>
  <c r="O251" i="1"/>
  <c r="P251" i="1"/>
  <c r="Q251" i="1"/>
  <c r="H252" i="1" a="1"/>
  <c r="H252" i="1"/>
  <c r="I252" i="1" a="1"/>
  <c r="I252" i="1"/>
  <c r="J252" i="1" a="1"/>
  <c r="J252" i="1"/>
  <c r="K252" i="1" a="1"/>
  <c r="K252" i="1"/>
  <c r="L252" i="1" a="1"/>
  <c r="L252" i="1"/>
  <c r="M252" i="1"/>
  <c r="N252" i="1"/>
  <c r="O252" i="1"/>
  <c r="P252" i="1"/>
  <c r="Q252" i="1"/>
  <c r="H253" i="1" a="1"/>
  <c r="H253" i="1"/>
  <c r="I253" i="1" a="1"/>
  <c r="I253" i="1"/>
  <c r="J253" i="1" a="1"/>
  <c r="J253" i="1"/>
  <c r="K253" i="1" a="1"/>
  <c r="K253" i="1"/>
  <c r="L253" i="1" a="1"/>
  <c r="L253" i="1"/>
  <c r="M253" i="1"/>
  <c r="N253" i="1"/>
  <c r="O253" i="1"/>
  <c r="P253" i="1"/>
  <c r="Q253" i="1"/>
  <c r="H254" i="1" a="1"/>
  <c r="H254" i="1"/>
  <c r="I254" i="1" a="1"/>
  <c r="I254" i="1"/>
  <c r="J254" i="1" a="1"/>
  <c r="J254" i="1"/>
  <c r="K254" i="1" a="1"/>
  <c r="K254" i="1"/>
  <c r="L254" i="1" a="1"/>
  <c r="L254" i="1"/>
  <c r="M254" i="1"/>
  <c r="N254" i="1"/>
  <c r="O254" i="1"/>
  <c r="P254" i="1"/>
  <c r="Q254" i="1"/>
  <c r="H255" i="1" a="1"/>
  <c r="H255" i="1"/>
  <c r="I255" i="1" a="1"/>
  <c r="I255" i="1"/>
  <c r="J255" i="1" a="1"/>
  <c r="J255" i="1"/>
  <c r="K255" i="1" a="1"/>
  <c r="K255" i="1"/>
  <c r="L255" i="1" a="1"/>
  <c r="L255" i="1"/>
  <c r="M255" i="1"/>
  <c r="N255" i="1"/>
  <c r="O255" i="1"/>
  <c r="P255" i="1"/>
  <c r="Q255" i="1"/>
  <c r="H256" i="1" a="1"/>
  <c r="H256" i="1"/>
  <c r="I256" i="1" a="1"/>
  <c r="I256" i="1"/>
  <c r="J256" i="1" a="1"/>
  <c r="J256" i="1"/>
  <c r="K256" i="1" a="1"/>
  <c r="K256" i="1"/>
  <c r="L256" i="1" a="1"/>
  <c r="L256" i="1"/>
  <c r="M256" i="1"/>
  <c r="N256" i="1"/>
  <c r="O256" i="1"/>
  <c r="P256" i="1"/>
  <c r="Q256" i="1"/>
  <c r="H257" i="1" a="1"/>
  <c r="H257" i="1"/>
  <c r="I257" i="1" a="1"/>
  <c r="I257" i="1"/>
  <c r="J257" i="1" a="1"/>
  <c r="J257" i="1"/>
  <c r="K257" i="1" a="1"/>
  <c r="K257" i="1"/>
  <c r="L257" i="1" a="1"/>
  <c r="L257" i="1"/>
  <c r="M257" i="1"/>
  <c r="N257" i="1"/>
  <c r="O257" i="1"/>
  <c r="P257" i="1"/>
  <c r="Q257" i="1"/>
  <c r="H258" i="1" a="1"/>
  <c r="H258" i="1"/>
  <c r="I258" i="1" a="1"/>
  <c r="I258" i="1"/>
  <c r="J258" i="1" a="1"/>
  <c r="J258" i="1"/>
  <c r="K258" i="1" a="1"/>
  <c r="K258" i="1"/>
  <c r="L258" i="1" a="1"/>
  <c r="L258" i="1"/>
  <c r="M258" i="1"/>
  <c r="N258" i="1"/>
  <c r="O258" i="1"/>
  <c r="P258" i="1"/>
  <c r="Q258" i="1"/>
  <c r="H259" i="1" a="1"/>
  <c r="H259" i="1"/>
  <c r="I259" i="1" a="1"/>
  <c r="I259" i="1"/>
  <c r="J259" i="1" a="1"/>
  <c r="J259" i="1"/>
  <c r="K259" i="1" a="1"/>
  <c r="K259" i="1"/>
  <c r="L259" i="1" a="1"/>
  <c r="L259" i="1"/>
  <c r="M259" i="1"/>
  <c r="N259" i="1"/>
  <c r="O259" i="1"/>
  <c r="P259" i="1"/>
  <c r="Q259" i="1"/>
  <c r="H260" i="1" a="1"/>
  <c r="H260" i="1"/>
  <c r="I260" i="1" a="1"/>
  <c r="I260" i="1"/>
  <c r="J260" i="1" a="1"/>
  <c r="J260" i="1"/>
  <c r="K260" i="1" a="1"/>
  <c r="K260" i="1"/>
  <c r="L260" i="1" a="1"/>
  <c r="L260" i="1"/>
  <c r="M260" i="1"/>
  <c r="N260" i="1"/>
  <c r="O260" i="1"/>
  <c r="P260" i="1"/>
  <c r="Q260" i="1"/>
  <c r="H261" i="1" a="1"/>
  <c r="H261" i="1"/>
  <c r="I261" i="1" a="1"/>
  <c r="I261" i="1"/>
  <c r="J261" i="1" a="1"/>
  <c r="J261" i="1"/>
  <c r="K261" i="1" a="1"/>
  <c r="K261" i="1"/>
  <c r="L261" i="1" a="1"/>
  <c r="L261" i="1"/>
  <c r="M261" i="1"/>
  <c r="N261" i="1"/>
  <c r="O261" i="1"/>
  <c r="P261" i="1"/>
  <c r="Q261" i="1"/>
  <c r="H262" i="1" a="1"/>
  <c r="H262" i="1"/>
  <c r="I262" i="1" a="1"/>
  <c r="I262" i="1"/>
  <c r="J262" i="1" a="1"/>
  <c r="J262" i="1"/>
  <c r="K262" i="1" a="1"/>
  <c r="K262" i="1"/>
  <c r="L262" i="1" a="1"/>
  <c r="L262" i="1"/>
  <c r="M262" i="1"/>
  <c r="N262" i="1"/>
  <c r="O262" i="1"/>
  <c r="P262" i="1"/>
  <c r="Q262" i="1"/>
  <c r="H263" i="1" a="1"/>
  <c r="H263" i="1"/>
  <c r="I263" i="1" a="1"/>
  <c r="I263" i="1"/>
  <c r="J263" i="1" a="1"/>
  <c r="J263" i="1"/>
  <c r="K263" i="1" a="1"/>
  <c r="K263" i="1"/>
  <c r="L263" i="1" a="1"/>
  <c r="L263" i="1"/>
  <c r="M263" i="1"/>
  <c r="N263" i="1"/>
  <c r="O263" i="1"/>
  <c r="P263" i="1"/>
  <c r="Q263" i="1"/>
  <c r="H264" i="1" a="1"/>
  <c r="H264" i="1"/>
  <c r="I264" i="1" a="1"/>
  <c r="I264" i="1"/>
  <c r="J264" i="1" a="1"/>
  <c r="J264" i="1"/>
  <c r="K264" i="1" a="1"/>
  <c r="K264" i="1"/>
  <c r="L264" i="1" a="1"/>
  <c r="L264" i="1"/>
  <c r="M264" i="1"/>
  <c r="N264" i="1"/>
  <c r="O264" i="1"/>
  <c r="P264" i="1"/>
  <c r="Q264" i="1"/>
  <c r="H265" i="1" a="1"/>
  <c r="H265" i="1"/>
  <c r="I265" i="1" a="1"/>
  <c r="I265" i="1"/>
  <c r="J265" i="1" a="1"/>
  <c r="J265" i="1"/>
  <c r="K265" i="1" a="1"/>
  <c r="K265" i="1"/>
  <c r="L265" i="1" a="1"/>
  <c r="L265" i="1"/>
  <c r="M265" i="1"/>
  <c r="N265" i="1"/>
  <c r="O265" i="1"/>
  <c r="P265" i="1"/>
  <c r="Q265" i="1"/>
  <c r="H266" i="1" a="1"/>
  <c r="H266" i="1"/>
  <c r="I266" i="1" a="1"/>
  <c r="I266" i="1"/>
  <c r="J266" i="1" a="1"/>
  <c r="J266" i="1"/>
  <c r="K266" i="1" a="1"/>
  <c r="K266" i="1"/>
  <c r="L266" i="1" a="1"/>
  <c r="L266" i="1"/>
  <c r="M266" i="1"/>
  <c r="N266" i="1"/>
  <c r="O266" i="1"/>
  <c r="P266" i="1"/>
  <c r="Q266" i="1"/>
  <c r="H267" i="1" a="1"/>
  <c r="H267" i="1"/>
  <c r="I267" i="1" a="1"/>
  <c r="I267" i="1"/>
  <c r="J267" i="1" a="1"/>
  <c r="J267" i="1"/>
  <c r="K267" i="1" a="1"/>
  <c r="K267" i="1"/>
  <c r="L267" i="1" a="1"/>
  <c r="L267" i="1"/>
  <c r="M267" i="1"/>
  <c r="N267" i="1"/>
  <c r="O267" i="1"/>
  <c r="P267" i="1"/>
  <c r="Q267" i="1"/>
  <c r="H268" i="1" a="1"/>
  <c r="H268" i="1"/>
  <c r="I268" i="1" a="1"/>
  <c r="I268" i="1"/>
  <c r="J268" i="1" a="1"/>
  <c r="J268" i="1"/>
  <c r="K268" i="1" a="1"/>
  <c r="K268" i="1"/>
  <c r="L268" i="1" a="1"/>
  <c r="L268" i="1"/>
  <c r="M268" i="1"/>
  <c r="N268" i="1"/>
  <c r="O268" i="1"/>
  <c r="P268" i="1"/>
  <c r="Q268" i="1"/>
  <c r="H269" i="1" a="1"/>
  <c r="H269" i="1"/>
  <c r="I269" i="1" a="1"/>
  <c r="I269" i="1"/>
  <c r="J269" i="1" a="1"/>
  <c r="J269" i="1"/>
  <c r="K269" i="1" a="1"/>
  <c r="K269" i="1"/>
  <c r="L269" i="1" a="1"/>
  <c r="L269" i="1"/>
  <c r="M269" i="1"/>
  <c r="N269" i="1"/>
  <c r="O269" i="1"/>
  <c r="P269" i="1"/>
  <c r="Q269" i="1"/>
  <c r="H270" i="1" a="1"/>
  <c r="H270" i="1"/>
  <c r="I270" i="1" a="1"/>
  <c r="I270" i="1"/>
  <c r="J270" i="1" a="1"/>
  <c r="J270" i="1"/>
  <c r="K270" i="1" a="1"/>
  <c r="K270" i="1"/>
  <c r="L270" i="1" a="1"/>
  <c r="L270" i="1"/>
  <c r="M270" i="1"/>
  <c r="N270" i="1"/>
  <c r="O270" i="1"/>
  <c r="P270" i="1"/>
  <c r="Q270" i="1"/>
  <c r="H271" i="1" a="1"/>
  <c r="H271" i="1"/>
  <c r="I271" i="1" a="1"/>
  <c r="I271" i="1"/>
  <c r="J271" i="1" a="1"/>
  <c r="J271" i="1"/>
  <c r="K271" i="1" a="1"/>
  <c r="K271" i="1"/>
  <c r="L271" i="1" a="1"/>
  <c r="L271" i="1"/>
  <c r="M271" i="1"/>
  <c r="N271" i="1"/>
  <c r="O271" i="1"/>
  <c r="P271" i="1"/>
  <c r="Q271" i="1"/>
  <c r="H272" i="1" a="1"/>
  <c r="H272" i="1"/>
  <c r="I272" i="1" a="1"/>
  <c r="I272" i="1"/>
  <c r="J272" i="1" a="1"/>
  <c r="J272" i="1"/>
  <c r="K272" i="1" a="1"/>
  <c r="K272" i="1"/>
  <c r="L272" i="1" a="1"/>
  <c r="L272" i="1"/>
  <c r="M272" i="1"/>
  <c r="N272" i="1"/>
  <c r="O272" i="1"/>
  <c r="P272" i="1"/>
  <c r="Q272" i="1"/>
  <c r="H273" i="1" a="1"/>
  <c r="H273" i="1"/>
  <c r="I273" i="1" a="1"/>
  <c r="I273" i="1"/>
  <c r="J273" i="1" a="1"/>
  <c r="J273" i="1"/>
  <c r="K273" i="1" a="1"/>
  <c r="K273" i="1"/>
  <c r="L273" i="1" a="1"/>
  <c r="L273" i="1"/>
  <c r="M273" i="1"/>
  <c r="N273" i="1"/>
  <c r="O273" i="1"/>
  <c r="P273" i="1"/>
  <c r="Q273" i="1"/>
  <c r="H274" i="1" a="1"/>
  <c r="H274" i="1"/>
  <c r="I274" i="1" a="1"/>
  <c r="I274" i="1"/>
  <c r="J274" i="1" a="1"/>
  <c r="J274" i="1"/>
  <c r="K274" i="1" a="1"/>
  <c r="K274" i="1"/>
  <c r="L274" i="1" a="1"/>
  <c r="L274" i="1"/>
  <c r="M274" i="1"/>
  <c r="N274" i="1"/>
  <c r="O274" i="1"/>
  <c r="P274" i="1"/>
  <c r="Q274" i="1"/>
  <c r="H275" i="1" a="1"/>
  <c r="H275" i="1"/>
  <c r="I275" i="1" a="1"/>
  <c r="I275" i="1"/>
  <c r="J275" i="1" a="1"/>
  <c r="J275" i="1"/>
  <c r="K275" i="1" a="1"/>
  <c r="K275" i="1"/>
  <c r="L275" i="1" a="1"/>
  <c r="L275" i="1"/>
  <c r="M275" i="1"/>
  <c r="N275" i="1"/>
  <c r="O275" i="1"/>
  <c r="P275" i="1"/>
  <c r="Q275" i="1"/>
  <c r="H276" i="1" a="1"/>
  <c r="H276" i="1"/>
  <c r="I276" i="1" a="1"/>
  <c r="I276" i="1"/>
  <c r="J276" i="1" a="1"/>
  <c r="J276" i="1"/>
  <c r="K276" i="1" a="1"/>
  <c r="K276" i="1"/>
  <c r="L276" i="1" a="1"/>
  <c r="L276" i="1"/>
  <c r="M276" i="1"/>
  <c r="N276" i="1"/>
  <c r="O276" i="1"/>
  <c r="P276" i="1"/>
  <c r="Q276" i="1"/>
  <c r="H277" i="1" a="1"/>
  <c r="H277" i="1"/>
  <c r="I277" i="1" a="1"/>
  <c r="I277" i="1"/>
  <c r="J277" i="1" a="1"/>
  <c r="J277" i="1"/>
  <c r="K277" i="1" a="1"/>
  <c r="K277" i="1"/>
  <c r="L277" i="1" a="1"/>
  <c r="L277" i="1"/>
  <c r="M277" i="1"/>
  <c r="N277" i="1"/>
  <c r="O277" i="1"/>
  <c r="P277" i="1"/>
  <c r="Q277" i="1"/>
  <c r="H278" i="1" a="1"/>
  <c r="H278" i="1"/>
  <c r="I278" i="1" a="1"/>
  <c r="I278" i="1"/>
  <c r="J278" i="1" a="1"/>
  <c r="J278" i="1"/>
  <c r="K278" i="1" a="1"/>
  <c r="K278" i="1"/>
  <c r="L278" i="1" a="1"/>
  <c r="L278" i="1"/>
  <c r="M278" i="1"/>
  <c r="N278" i="1"/>
  <c r="O278" i="1"/>
  <c r="P278" i="1"/>
  <c r="Q278" i="1"/>
  <c r="H279" i="1" a="1"/>
  <c r="H279" i="1"/>
  <c r="I279" i="1" a="1"/>
  <c r="I279" i="1"/>
  <c r="J279" i="1" a="1"/>
  <c r="J279" i="1"/>
  <c r="K279" i="1" a="1"/>
  <c r="K279" i="1"/>
  <c r="L279" i="1" a="1"/>
  <c r="L279" i="1"/>
  <c r="M279" i="1"/>
  <c r="N279" i="1"/>
  <c r="O279" i="1"/>
  <c r="P279" i="1"/>
  <c r="Q279" i="1"/>
  <c r="H280" i="1" a="1"/>
  <c r="H280" i="1"/>
  <c r="I280" i="1" a="1"/>
  <c r="I280" i="1"/>
  <c r="J280" i="1" a="1"/>
  <c r="J280" i="1"/>
  <c r="K280" i="1" a="1"/>
  <c r="K280" i="1"/>
  <c r="L280" i="1" a="1"/>
  <c r="L280" i="1"/>
  <c r="M280" i="1"/>
  <c r="N280" i="1"/>
  <c r="O280" i="1"/>
  <c r="P280" i="1"/>
  <c r="Q280" i="1"/>
  <c r="H281" i="1" a="1"/>
  <c r="H281" i="1"/>
  <c r="I281" i="1" a="1"/>
  <c r="I281" i="1"/>
  <c r="J281" i="1" a="1"/>
  <c r="J281" i="1"/>
  <c r="K281" i="1" a="1"/>
  <c r="K281" i="1"/>
  <c r="L281" i="1" a="1"/>
  <c r="L281" i="1"/>
  <c r="M281" i="1"/>
  <c r="N281" i="1"/>
  <c r="O281" i="1"/>
  <c r="P281" i="1"/>
  <c r="Q281" i="1"/>
  <c r="H282" i="1" a="1"/>
  <c r="H282" i="1"/>
  <c r="I282" i="1" a="1"/>
  <c r="I282" i="1"/>
  <c r="J282" i="1" a="1"/>
  <c r="J282" i="1"/>
  <c r="K282" i="1" a="1"/>
  <c r="K282" i="1"/>
  <c r="L282" i="1" a="1"/>
  <c r="L282" i="1"/>
  <c r="M282" i="1"/>
  <c r="N282" i="1"/>
  <c r="O282" i="1"/>
  <c r="P282" i="1"/>
  <c r="Q282" i="1"/>
  <c r="H283" i="1" a="1"/>
  <c r="H283" i="1"/>
  <c r="I283" i="1" a="1"/>
  <c r="I283" i="1"/>
  <c r="J283" i="1" a="1"/>
  <c r="J283" i="1"/>
  <c r="K283" i="1" a="1"/>
  <c r="K283" i="1"/>
  <c r="L283" i="1" a="1"/>
  <c r="L283" i="1"/>
  <c r="M283" i="1"/>
  <c r="N283" i="1"/>
  <c r="O283" i="1"/>
  <c r="P283" i="1"/>
  <c r="Q283" i="1"/>
  <c r="H284" i="1" a="1"/>
  <c r="H284" i="1"/>
  <c r="I284" i="1" a="1"/>
  <c r="I284" i="1"/>
  <c r="J284" i="1" a="1"/>
  <c r="J284" i="1"/>
  <c r="K284" i="1" a="1"/>
  <c r="K284" i="1"/>
  <c r="L284" i="1" a="1"/>
  <c r="L284" i="1"/>
  <c r="M284" i="1"/>
  <c r="N284" i="1"/>
  <c r="O284" i="1"/>
  <c r="P284" i="1"/>
  <c r="Q284" i="1"/>
  <c r="H285" i="1" a="1"/>
  <c r="H285" i="1"/>
  <c r="I285" i="1" a="1"/>
  <c r="I285" i="1"/>
  <c r="J285" i="1" a="1"/>
  <c r="J285" i="1"/>
  <c r="K285" i="1" a="1"/>
  <c r="K285" i="1"/>
  <c r="L285" i="1" a="1"/>
  <c r="L285" i="1"/>
  <c r="M285" i="1"/>
  <c r="N285" i="1"/>
  <c r="O285" i="1"/>
  <c r="P285" i="1"/>
  <c r="Q285" i="1"/>
  <c r="H286" i="1" a="1"/>
  <c r="H286" i="1"/>
  <c r="I286" i="1" a="1"/>
  <c r="I286" i="1"/>
  <c r="J286" i="1" a="1"/>
  <c r="J286" i="1"/>
  <c r="K286" i="1" a="1"/>
  <c r="K286" i="1"/>
  <c r="L286" i="1" a="1"/>
  <c r="L286" i="1"/>
  <c r="M286" i="1"/>
  <c r="N286" i="1"/>
  <c r="O286" i="1"/>
  <c r="P286" i="1"/>
  <c r="Q286" i="1"/>
  <c r="H287" i="1" a="1"/>
  <c r="H287" i="1"/>
  <c r="I287" i="1" a="1"/>
  <c r="I287" i="1"/>
  <c r="J287" i="1" a="1"/>
  <c r="J287" i="1"/>
  <c r="K287" i="1" a="1"/>
  <c r="K287" i="1"/>
  <c r="L287" i="1" a="1"/>
  <c r="L287" i="1"/>
  <c r="M287" i="1"/>
  <c r="N287" i="1"/>
  <c r="O287" i="1"/>
  <c r="P287" i="1"/>
  <c r="Q287" i="1"/>
  <c r="H288" i="1" a="1"/>
  <c r="H288" i="1"/>
  <c r="I288" i="1" a="1"/>
  <c r="I288" i="1"/>
  <c r="J288" i="1" a="1"/>
  <c r="J288" i="1"/>
  <c r="K288" i="1" a="1"/>
  <c r="K288" i="1"/>
  <c r="L288" i="1" a="1"/>
  <c r="L288" i="1"/>
  <c r="M288" i="1"/>
  <c r="N288" i="1"/>
  <c r="O288" i="1"/>
  <c r="P288" i="1"/>
  <c r="Q288" i="1"/>
  <c r="H289" i="1" a="1"/>
  <c r="H289" i="1"/>
  <c r="I289" i="1" a="1"/>
  <c r="I289" i="1"/>
  <c r="J289" i="1" a="1"/>
  <c r="J289" i="1"/>
  <c r="K289" i="1" a="1"/>
  <c r="K289" i="1"/>
  <c r="L289" i="1" a="1"/>
  <c r="L289" i="1"/>
  <c r="M289" i="1"/>
  <c r="N289" i="1"/>
  <c r="O289" i="1"/>
  <c r="P289" i="1"/>
  <c r="Q289" i="1"/>
  <c r="H290" i="1" a="1"/>
  <c r="H290" i="1"/>
  <c r="I290" i="1" a="1"/>
  <c r="I290" i="1"/>
  <c r="J290" i="1" a="1"/>
  <c r="J290" i="1"/>
  <c r="K290" i="1" a="1"/>
  <c r="K290" i="1"/>
  <c r="L290" i="1" a="1"/>
  <c r="L290" i="1"/>
  <c r="M290" i="1"/>
  <c r="N290" i="1"/>
  <c r="O290" i="1"/>
  <c r="P290" i="1"/>
  <c r="Q290" i="1"/>
  <c r="H291" i="1" a="1"/>
  <c r="H291" i="1"/>
  <c r="I291" i="1" a="1"/>
  <c r="I291" i="1"/>
  <c r="J291" i="1" a="1"/>
  <c r="J291" i="1"/>
  <c r="K291" i="1" a="1"/>
  <c r="K291" i="1"/>
  <c r="L291" i="1" a="1"/>
  <c r="L291" i="1"/>
  <c r="M291" i="1"/>
  <c r="N291" i="1"/>
  <c r="O291" i="1"/>
  <c r="P291" i="1"/>
  <c r="Q291" i="1"/>
  <c r="H292" i="1" a="1"/>
  <c r="H292" i="1"/>
  <c r="I292" i="1" a="1"/>
  <c r="I292" i="1"/>
  <c r="J292" i="1" a="1"/>
  <c r="J292" i="1"/>
  <c r="K292" i="1" a="1"/>
  <c r="K292" i="1"/>
  <c r="L292" i="1" a="1"/>
  <c r="L292" i="1"/>
  <c r="M292" i="1"/>
  <c r="N292" i="1"/>
  <c r="O292" i="1"/>
  <c r="P292" i="1"/>
  <c r="Q292" i="1"/>
  <c r="H293" i="1" a="1"/>
  <c r="H293" i="1"/>
  <c r="I293" i="1" a="1"/>
  <c r="I293" i="1"/>
  <c r="J293" i="1" a="1"/>
  <c r="J293" i="1"/>
  <c r="K293" i="1" a="1"/>
  <c r="K293" i="1"/>
  <c r="L293" i="1" a="1"/>
  <c r="L293" i="1"/>
  <c r="M293" i="1"/>
  <c r="N293" i="1"/>
  <c r="O293" i="1"/>
  <c r="P293" i="1"/>
  <c r="Q293" i="1"/>
  <c r="H294" i="1" a="1"/>
  <c r="H294" i="1"/>
  <c r="I294" i="1" a="1"/>
  <c r="I294" i="1"/>
  <c r="J294" i="1" a="1"/>
  <c r="J294" i="1"/>
  <c r="K294" i="1" a="1"/>
  <c r="K294" i="1"/>
  <c r="L294" i="1" a="1"/>
  <c r="L294" i="1"/>
  <c r="M294" i="1"/>
  <c r="N294" i="1"/>
  <c r="O294" i="1"/>
  <c r="P294" i="1"/>
  <c r="Q294" i="1"/>
  <c r="H295" i="1" a="1"/>
  <c r="H295" i="1"/>
  <c r="I295" i="1" a="1"/>
  <c r="I295" i="1"/>
  <c r="J295" i="1" a="1"/>
  <c r="J295" i="1"/>
  <c r="K295" i="1" a="1"/>
  <c r="K295" i="1"/>
  <c r="L295" i="1" a="1"/>
  <c r="L295" i="1"/>
  <c r="M295" i="1"/>
  <c r="N295" i="1"/>
  <c r="O295" i="1"/>
  <c r="P295" i="1"/>
  <c r="Q295" i="1"/>
  <c r="H296" i="1" a="1"/>
  <c r="H296" i="1"/>
  <c r="I296" i="1" a="1"/>
  <c r="I296" i="1"/>
  <c r="J296" i="1" a="1"/>
  <c r="J296" i="1"/>
  <c r="K296" i="1" a="1"/>
  <c r="K296" i="1"/>
  <c r="L296" i="1" a="1"/>
  <c r="L296" i="1"/>
  <c r="M296" i="1"/>
  <c r="N296" i="1"/>
  <c r="O296" i="1"/>
  <c r="P296" i="1"/>
  <c r="Q296" i="1"/>
  <c r="H297" i="1" a="1"/>
  <c r="H297" i="1"/>
  <c r="I297" i="1" a="1"/>
  <c r="I297" i="1"/>
  <c r="J297" i="1" a="1"/>
  <c r="J297" i="1"/>
  <c r="K297" i="1" a="1"/>
  <c r="K297" i="1"/>
  <c r="L297" i="1" a="1"/>
  <c r="L297" i="1"/>
  <c r="M297" i="1"/>
  <c r="N297" i="1"/>
  <c r="O297" i="1"/>
  <c r="P297" i="1"/>
  <c r="Q297" i="1"/>
  <c r="H298" i="1" a="1"/>
  <c r="H298" i="1"/>
  <c r="I298" i="1" a="1"/>
  <c r="I298" i="1"/>
  <c r="J298" i="1" a="1"/>
  <c r="J298" i="1"/>
  <c r="K298" i="1" a="1"/>
  <c r="K298" i="1"/>
  <c r="L298" i="1" a="1"/>
  <c r="L298" i="1"/>
  <c r="M298" i="1"/>
  <c r="N298" i="1"/>
  <c r="O298" i="1"/>
  <c r="P298" i="1"/>
  <c r="Q298" i="1"/>
  <c r="H299" i="1" a="1"/>
  <c r="H299" i="1"/>
  <c r="I299" i="1" a="1"/>
  <c r="I299" i="1"/>
  <c r="J299" i="1" a="1"/>
  <c r="J299" i="1"/>
  <c r="K299" i="1" a="1"/>
  <c r="K299" i="1"/>
  <c r="L299" i="1" a="1"/>
  <c r="L299" i="1"/>
  <c r="M299" i="1"/>
  <c r="N299" i="1"/>
  <c r="O299" i="1"/>
  <c r="P299" i="1"/>
  <c r="Q299" i="1"/>
  <c r="H300" i="1" a="1"/>
  <c r="H300" i="1"/>
  <c r="I300" i="1" a="1"/>
  <c r="I300" i="1"/>
  <c r="J300" i="1" a="1"/>
  <c r="J300" i="1"/>
  <c r="K300" i="1" a="1"/>
  <c r="K300" i="1"/>
  <c r="L300" i="1" a="1"/>
  <c r="L300" i="1"/>
  <c r="M300" i="1"/>
  <c r="N300" i="1"/>
  <c r="O300" i="1"/>
  <c r="P300" i="1"/>
  <c r="Q300" i="1"/>
  <c r="H301" i="1" a="1"/>
  <c r="H301" i="1"/>
  <c r="I301" i="1" a="1"/>
  <c r="I301" i="1"/>
  <c r="J301" i="1" a="1"/>
  <c r="J301" i="1"/>
  <c r="K301" i="1" a="1"/>
  <c r="K301" i="1"/>
  <c r="L301" i="1" a="1"/>
  <c r="L301" i="1"/>
  <c r="M301" i="1"/>
  <c r="N301" i="1"/>
  <c r="O301" i="1"/>
  <c r="P301" i="1"/>
  <c r="Q301" i="1"/>
  <c r="H302" i="1" a="1"/>
  <c r="H302" i="1"/>
  <c r="I302" i="1" a="1"/>
  <c r="I302" i="1"/>
  <c r="J302" i="1" a="1"/>
  <c r="J302" i="1"/>
  <c r="K302" i="1" a="1"/>
  <c r="K302" i="1"/>
  <c r="L302" i="1" a="1"/>
  <c r="L302" i="1"/>
  <c r="M302" i="1"/>
  <c r="N302" i="1"/>
  <c r="O302" i="1"/>
  <c r="P302" i="1"/>
  <c r="Q302" i="1"/>
  <c r="H303" i="1" a="1"/>
  <c r="H303" i="1"/>
  <c r="I303" i="1" a="1"/>
  <c r="I303" i="1"/>
  <c r="J303" i="1" a="1"/>
  <c r="J303" i="1"/>
  <c r="K303" i="1" a="1"/>
  <c r="K303" i="1"/>
  <c r="L303" i="1" a="1"/>
  <c r="L303" i="1"/>
  <c r="M303" i="1"/>
  <c r="N303" i="1"/>
  <c r="O303" i="1"/>
  <c r="P303" i="1"/>
  <c r="Q303" i="1"/>
  <c r="H304" i="1" a="1"/>
  <c r="H304" i="1"/>
  <c r="I304" i="1" a="1"/>
  <c r="I304" i="1"/>
  <c r="J304" i="1" a="1"/>
  <c r="J304" i="1"/>
  <c r="K304" i="1" a="1"/>
  <c r="K304" i="1"/>
  <c r="L304" i="1" a="1"/>
  <c r="L304" i="1"/>
  <c r="M304" i="1"/>
  <c r="N304" i="1"/>
  <c r="O304" i="1"/>
  <c r="P304" i="1"/>
  <c r="Q304" i="1"/>
  <c r="H305" i="1" a="1"/>
  <c r="H305" i="1"/>
  <c r="I305" i="1" a="1"/>
  <c r="I305" i="1"/>
  <c r="J305" i="1" a="1"/>
  <c r="J305" i="1"/>
  <c r="K305" i="1" a="1"/>
  <c r="K305" i="1"/>
  <c r="L305" i="1" a="1"/>
  <c r="L305" i="1"/>
  <c r="M305" i="1"/>
  <c r="N305" i="1"/>
  <c r="O305" i="1"/>
  <c r="P305" i="1"/>
  <c r="Q305" i="1"/>
  <c r="H306" i="1" a="1"/>
  <c r="H306" i="1"/>
  <c r="I306" i="1" a="1"/>
  <c r="I306" i="1"/>
  <c r="J306" i="1" a="1"/>
  <c r="J306" i="1"/>
  <c r="K306" i="1" a="1"/>
  <c r="K306" i="1"/>
  <c r="L306" i="1" a="1"/>
  <c r="L306" i="1"/>
  <c r="M306" i="1"/>
  <c r="N306" i="1"/>
  <c r="O306" i="1"/>
  <c r="P306" i="1"/>
  <c r="Q306" i="1"/>
  <c r="H307" i="1" a="1"/>
  <c r="H307" i="1"/>
  <c r="I307" i="1" a="1"/>
  <c r="I307" i="1"/>
  <c r="J307" i="1" a="1"/>
  <c r="J307" i="1"/>
  <c r="K307" i="1" a="1"/>
  <c r="K307" i="1"/>
  <c r="L307" i="1" a="1"/>
  <c r="L307" i="1"/>
  <c r="M307" i="1"/>
  <c r="N307" i="1"/>
  <c r="O307" i="1"/>
  <c r="P307" i="1"/>
  <c r="Q307" i="1"/>
  <c r="H308" i="1" a="1"/>
  <c r="H308" i="1"/>
  <c r="I308" i="1" a="1"/>
  <c r="I308" i="1"/>
  <c r="J308" i="1" a="1"/>
  <c r="J308" i="1"/>
  <c r="K308" i="1" a="1"/>
  <c r="K308" i="1"/>
  <c r="L308" i="1" a="1"/>
  <c r="L308" i="1"/>
  <c r="M308" i="1"/>
  <c r="N308" i="1"/>
  <c r="O308" i="1"/>
  <c r="P308" i="1"/>
  <c r="Q308" i="1"/>
  <c r="H309" i="1" a="1"/>
  <c r="H309" i="1"/>
  <c r="I309" i="1" a="1"/>
  <c r="I309" i="1"/>
  <c r="J309" i="1" a="1"/>
  <c r="J309" i="1"/>
  <c r="K309" i="1" a="1"/>
  <c r="K309" i="1"/>
  <c r="L309" i="1" a="1"/>
  <c r="L309" i="1"/>
  <c r="M309" i="1"/>
  <c r="N309" i="1"/>
  <c r="O309" i="1"/>
  <c r="P309" i="1"/>
  <c r="Q309" i="1"/>
  <c r="H310" i="1" a="1"/>
  <c r="H310" i="1"/>
  <c r="I310" i="1" a="1"/>
  <c r="I310" i="1"/>
  <c r="J310" i="1" a="1"/>
  <c r="J310" i="1"/>
  <c r="K310" i="1" a="1"/>
  <c r="K310" i="1"/>
  <c r="L310" i="1" a="1"/>
  <c r="L310" i="1"/>
  <c r="M310" i="1"/>
  <c r="N310" i="1"/>
  <c r="O310" i="1"/>
  <c r="P310" i="1"/>
  <c r="Q310" i="1"/>
  <c r="H311" i="1" a="1"/>
  <c r="H311" i="1"/>
  <c r="I311" i="1" a="1"/>
  <c r="I311" i="1"/>
  <c r="J311" i="1" a="1"/>
  <c r="J311" i="1"/>
  <c r="K311" i="1" a="1"/>
  <c r="K311" i="1"/>
  <c r="L311" i="1" a="1"/>
  <c r="L311" i="1"/>
  <c r="M311" i="1"/>
  <c r="N311" i="1"/>
  <c r="O311" i="1"/>
  <c r="P311" i="1"/>
  <c r="Q311" i="1"/>
  <c r="H312" i="1" a="1"/>
  <c r="H312" i="1"/>
  <c r="I312" i="1" a="1"/>
  <c r="I312" i="1"/>
  <c r="J312" i="1" a="1"/>
  <c r="J312" i="1"/>
  <c r="K312" i="1" a="1"/>
  <c r="K312" i="1"/>
  <c r="L312" i="1" a="1"/>
  <c r="L312" i="1"/>
  <c r="M312" i="1"/>
  <c r="N312" i="1"/>
  <c r="O312" i="1"/>
  <c r="P312" i="1"/>
  <c r="Q312" i="1"/>
  <c r="H313" i="1" a="1"/>
  <c r="H313" i="1"/>
  <c r="I313" i="1" a="1"/>
  <c r="I313" i="1"/>
  <c r="J313" i="1" a="1"/>
  <c r="J313" i="1"/>
  <c r="K313" i="1" a="1"/>
  <c r="K313" i="1"/>
  <c r="L313" i="1" a="1"/>
  <c r="L313" i="1"/>
  <c r="M313" i="1"/>
  <c r="N313" i="1"/>
  <c r="O313" i="1"/>
  <c r="P313" i="1"/>
  <c r="Q313" i="1"/>
  <c r="H314" i="1" a="1"/>
  <c r="H314" i="1"/>
  <c r="I314" i="1" a="1"/>
  <c r="I314" i="1"/>
  <c r="J314" i="1" a="1"/>
  <c r="J314" i="1"/>
  <c r="K314" i="1" a="1"/>
  <c r="K314" i="1"/>
  <c r="L314" i="1" a="1"/>
  <c r="L314" i="1"/>
  <c r="M314" i="1"/>
  <c r="N314" i="1"/>
  <c r="O314" i="1"/>
  <c r="P314" i="1"/>
  <c r="Q314" i="1"/>
  <c r="H315" i="1" a="1"/>
  <c r="H315" i="1"/>
  <c r="I315" i="1" a="1"/>
  <c r="I315" i="1"/>
  <c r="J315" i="1" a="1"/>
  <c r="J315" i="1"/>
  <c r="K315" i="1" a="1"/>
  <c r="K315" i="1"/>
  <c r="L315" i="1" a="1"/>
  <c r="L315" i="1"/>
  <c r="M315" i="1"/>
  <c r="N315" i="1"/>
  <c r="O315" i="1"/>
  <c r="P315" i="1"/>
  <c r="Q315" i="1"/>
  <c r="H316" i="1" a="1"/>
  <c r="H316" i="1"/>
  <c r="I316" i="1" a="1"/>
  <c r="I316" i="1"/>
  <c r="J316" i="1" a="1"/>
  <c r="J316" i="1"/>
  <c r="K316" i="1" a="1"/>
  <c r="K316" i="1"/>
  <c r="L316" i="1" a="1"/>
  <c r="L316" i="1"/>
  <c r="M316" i="1"/>
  <c r="N316" i="1"/>
  <c r="O316" i="1"/>
  <c r="P316" i="1"/>
  <c r="Q316" i="1"/>
  <c r="H317" i="1" a="1"/>
  <c r="H317" i="1"/>
  <c r="I317" i="1" a="1"/>
  <c r="I317" i="1"/>
  <c r="J317" i="1" a="1"/>
  <c r="J317" i="1"/>
  <c r="K317" i="1" a="1"/>
  <c r="K317" i="1"/>
  <c r="L317" i="1" a="1"/>
  <c r="L317" i="1"/>
  <c r="M317" i="1"/>
  <c r="N317" i="1"/>
  <c r="O317" i="1"/>
  <c r="P317" i="1"/>
  <c r="Q317" i="1"/>
  <c r="H318" i="1" a="1"/>
  <c r="H318" i="1"/>
  <c r="I318" i="1" a="1"/>
  <c r="I318" i="1"/>
  <c r="J318" i="1" a="1"/>
  <c r="J318" i="1"/>
  <c r="K318" i="1" a="1"/>
  <c r="K318" i="1"/>
  <c r="L318" i="1" a="1"/>
  <c r="L318" i="1"/>
  <c r="M318" i="1"/>
  <c r="N318" i="1"/>
  <c r="O318" i="1"/>
  <c r="P318" i="1"/>
  <c r="Q318" i="1"/>
  <c r="H319" i="1" a="1"/>
  <c r="H319" i="1"/>
  <c r="I319" i="1" a="1"/>
  <c r="I319" i="1"/>
  <c r="J319" i="1" a="1"/>
  <c r="J319" i="1"/>
  <c r="K319" i="1" a="1"/>
  <c r="K319" i="1"/>
  <c r="L319" i="1" a="1"/>
  <c r="L319" i="1"/>
  <c r="M319" i="1"/>
  <c r="N319" i="1"/>
  <c r="O319" i="1"/>
  <c r="P319" i="1"/>
  <c r="Q319" i="1"/>
  <c r="H320" i="1" a="1"/>
  <c r="H320" i="1"/>
  <c r="I320" i="1" a="1"/>
  <c r="I320" i="1"/>
  <c r="J320" i="1" a="1"/>
  <c r="J320" i="1"/>
  <c r="K320" i="1" a="1"/>
  <c r="K320" i="1"/>
  <c r="L320" i="1" a="1"/>
  <c r="L320" i="1"/>
  <c r="M320" i="1"/>
  <c r="N320" i="1"/>
  <c r="O320" i="1"/>
  <c r="P320" i="1"/>
  <c r="Q320" i="1"/>
  <c r="H321" i="1" a="1"/>
  <c r="H321" i="1"/>
  <c r="I321" i="1" a="1"/>
  <c r="I321" i="1"/>
  <c r="J321" i="1" a="1"/>
  <c r="J321" i="1"/>
  <c r="K321" i="1" a="1"/>
  <c r="K321" i="1"/>
  <c r="L321" i="1" a="1"/>
  <c r="L321" i="1"/>
  <c r="M321" i="1"/>
  <c r="N321" i="1"/>
  <c r="O321" i="1"/>
  <c r="P321" i="1"/>
  <c r="Q321" i="1"/>
  <c r="H322" i="1" a="1"/>
  <c r="H322" i="1"/>
  <c r="I322" i="1" a="1"/>
  <c r="I322" i="1"/>
  <c r="J322" i="1" a="1"/>
  <c r="J322" i="1"/>
  <c r="K322" i="1" a="1"/>
  <c r="K322" i="1"/>
  <c r="L322" i="1" a="1"/>
  <c r="L322" i="1"/>
  <c r="M322" i="1"/>
  <c r="N322" i="1"/>
  <c r="O322" i="1"/>
  <c r="P322" i="1"/>
  <c r="Q322" i="1"/>
  <c r="H323" i="1" a="1"/>
  <c r="H323" i="1"/>
  <c r="I323" i="1" a="1"/>
  <c r="I323" i="1"/>
  <c r="J323" i="1" a="1"/>
  <c r="J323" i="1"/>
  <c r="K323" i="1" a="1"/>
  <c r="K323" i="1"/>
  <c r="L323" i="1" a="1"/>
  <c r="L323" i="1"/>
  <c r="M323" i="1"/>
  <c r="N323" i="1"/>
  <c r="O323" i="1"/>
  <c r="P323" i="1"/>
  <c r="Q323" i="1"/>
  <c r="H324" i="1" a="1"/>
  <c r="H324" i="1"/>
  <c r="I324" i="1" a="1"/>
  <c r="I324" i="1"/>
  <c r="J324" i="1" a="1"/>
  <c r="J324" i="1"/>
  <c r="K324" i="1" a="1"/>
  <c r="K324" i="1"/>
  <c r="L324" i="1" a="1"/>
  <c r="L324" i="1"/>
  <c r="M324" i="1"/>
  <c r="N324" i="1"/>
  <c r="O324" i="1"/>
  <c r="P324" i="1"/>
  <c r="Q324" i="1"/>
  <c r="H325" i="1" a="1"/>
  <c r="H325" i="1"/>
  <c r="I325" i="1" a="1"/>
  <c r="I325" i="1"/>
  <c r="J325" i="1" a="1"/>
  <c r="J325" i="1"/>
  <c r="K325" i="1" a="1"/>
  <c r="K325" i="1"/>
  <c r="L325" i="1" a="1"/>
  <c r="L325" i="1"/>
  <c r="M325" i="1"/>
  <c r="N325" i="1"/>
  <c r="O325" i="1"/>
  <c r="P325" i="1"/>
  <c r="Q325" i="1"/>
  <c r="H326" i="1" a="1"/>
  <c r="H326" i="1"/>
  <c r="I326" i="1" a="1"/>
  <c r="I326" i="1"/>
  <c r="J326" i="1" a="1"/>
  <c r="J326" i="1"/>
  <c r="K326" i="1" a="1"/>
  <c r="K326" i="1"/>
  <c r="L326" i="1" a="1"/>
  <c r="L326" i="1"/>
  <c r="M326" i="1"/>
  <c r="N326" i="1"/>
  <c r="O326" i="1"/>
  <c r="P326" i="1"/>
  <c r="Q326" i="1"/>
  <c r="H327" i="1" a="1"/>
  <c r="H327" i="1"/>
  <c r="I327" i="1" a="1"/>
  <c r="I327" i="1"/>
  <c r="J327" i="1" a="1"/>
  <c r="J327" i="1"/>
  <c r="K327" i="1" a="1"/>
  <c r="K327" i="1"/>
  <c r="L327" i="1" a="1"/>
  <c r="L327" i="1"/>
  <c r="M327" i="1"/>
  <c r="N327" i="1"/>
  <c r="O327" i="1"/>
  <c r="P327" i="1"/>
  <c r="Q327" i="1"/>
  <c r="H328" i="1" a="1"/>
  <c r="H328" i="1"/>
  <c r="I328" i="1" a="1"/>
  <c r="I328" i="1"/>
  <c r="J328" i="1" a="1"/>
  <c r="J328" i="1"/>
  <c r="K328" i="1" a="1"/>
  <c r="K328" i="1"/>
  <c r="L328" i="1" a="1"/>
  <c r="L328" i="1"/>
  <c r="M328" i="1"/>
  <c r="N328" i="1"/>
  <c r="O328" i="1"/>
  <c r="P328" i="1"/>
  <c r="Q328" i="1"/>
  <c r="H329" i="1" a="1"/>
  <c r="H329" i="1"/>
  <c r="I329" i="1" a="1"/>
  <c r="I329" i="1"/>
  <c r="J329" i="1" a="1"/>
  <c r="J329" i="1"/>
  <c r="K329" i="1" a="1"/>
  <c r="K329" i="1"/>
  <c r="L329" i="1" a="1"/>
  <c r="L329" i="1"/>
  <c r="M329" i="1"/>
  <c r="N329" i="1"/>
  <c r="O329" i="1"/>
  <c r="P329" i="1"/>
  <c r="Q329" i="1"/>
  <c r="H330" i="1" a="1"/>
  <c r="H330" i="1"/>
  <c r="I330" i="1" a="1"/>
  <c r="I330" i="1"/>
  <c r="J330" i="1" a="1"/>
  <c r="J330" i="1"/>
  <c r="K330" i="1" a="1"/>
  <c r="K330" i="1"/>
  <c r="L330" i="1" a="1"/>
  <c r="L330" i="1"/>
  <c r="M330" i="1"/>
  <c r="N330" i="1"/>
  <c r="O330" i="1"/>
  <c r="P330" i="1"/>
  <c r="Q330" i="1"/>
  <c r="H331" i="1" a="1"/>
  <c r="H331" i="1"/>
  <c r="I331" i="1" a="1"/>
  <c r="I331" i="1"/>
  <c r="J331" i="1" a="1"/>
  <c r="J331" i="1"/>
  <c r="K331" i="1" a="1"/>
  <c r="K331" i="1"/>
  <c r="L331" i="1" a="1"/>
  <c r="L331" i="1"/>
  <c r="M331" i="1"/>
  <c r="N331" i="1"/>
  <c r="O331" i="1"/>
  <c r="P331" i="1"/>
  <c r="Q331" i="1"/>
  <c r="H332" i="1" a="1"/>
  <c r="H332" i="1"/>
  <c r="I332" i="1" a="1"/>
  <c r="I332" i="1"/>
  <c r="J332" i="1" a="1"/>
  <c r="J332" i="1"/>
  <c r="K332" i="1" a="1"/>
  <c r="K332" i="1"/>
  <c r="L332" i="1" a="1"/>
  <c r="L332" i="1"/>
  <c r="M332" i="1"/>
  <c r="N332" i="1"/>
  <c r="O332" i="1"/>
  <c r="P332" i="1"/>
  <c r="Q332" i="1"/>
  <c r="H333" i="1" a="1"/>
  <c r="H333" i="1"/>
  <c r="I333" i="1" a="1"/>
  <c r="I333" i="1"/>
  <c r="J333" i="1" a="1"/>
  <c r="J333" i="1"/>
  <c r="K333" i="1" a="1"/>
  <c r="K333" i="1"/>
  <c r="L333" i="1" a="1"/>
  <c r="L333" i="1"/>
  <c r="M333" i="1"/>
  <c r="N333" i="1"/>
  <c r="O333" i="1"/>
  <c r="P333" i="1"/>
  <c r="Q333" i="1"/>
  <c r="H334" i="1" a="1"/>
  <c r="H334" i="1"/>
  <c r="I334" i="1" a="1"/>
  <c r="I334" i="1"/>
  <c r="J334" i="1" a="1"/>
  <c r="J334" i="1"/>
  <c r="K334" i="1" a="1"/>
  <c r="K334" i="1"/>
  <c r="L334" i="1" a="1"/>
  <c r="L334" i="1"/>
  <c r="M334" i="1"/>
  <c r="N334" i="1"/>
  <c r="O334" i="1"/>
  <c r="P334" i="1"/>
  <c r="Q334" i="1"/>
  <c r="H335" i="1" a="1"/>
  <c r="H335" i="1"/>
  <c r="I335" i="1" a="1"/>
  <c r="I335" i="1"/>
  <c r="J335" i="1" a="1"/>
  <c r="J335" i="1"/>
  <c r="K335" i="1" a="1"/>
  <c r="K335" i="1"/>
  <c r="L335" i="1" a="1"/>
  <c r="L335" i="1"/>
  <c r="M335" i="1"/>
  <c r="N335" i="1"/>
  <c r="O335" i="1"/>
  <c r="P335" i="1"/>
  <c r="Q335" i="1"/>
  <c r="H336" i="1" a="1"/>
  <c r="H336" i="1"/>
  <c r="I336" i="1" a="1"/>
  <c r="I336" i="1"/>
  <c r="J336" i="1" a="1"/>
  <c r="J336" i="1"/>
  <c r="K336" i="1" a="1"/>
  <c r="K336" i="1"/>
  <c r="L336" i="1" a="1"/>
  <c r="L336" i="1"/>
  <c r="M336" i="1"/>
  <c r="N336" i="1"/>
  <c r="O336" i="1"/>
  <c r="P336" i="1"/>
  <c r="Q336" i="1"/>
  <c r="H337" i="1" a="1"/>
  <c r="H337" i="1"/>
  <c r="I337" i="1" a="1"/>
  <c r="I337" i="1"/>
  <c r="J337" i="1" a="1"/>
  <c r="J337" i="1"/>
  <c r="K337" i="1" a="1"/>
  <c r="K337" i="1"/>
  <c r="L337" i="1" a="1"/>
  <c r="L337" i="1"/>
  <c r="M337" i="1"/>
  <c r="N337" i="1"/>
  <c r="O337" i="1"/>
  <c r="P337" i="1"/>
  <c r="Q337" i="1"/>
  <c r="H338" i="1" a="1"/>
  <c r="H338" i="1"/>
  <c r="I338" i="1" a="1"/>
  <c r="I338" i="1"/>
  <c r="J338" i="1" a="1"/>
  <c r="J338" i="1"/>
  <c r="K338" i="1" a="1"/>
  <c r="K338" i="1"/>
  <c r="L338" i="1" a="1"/>
  <c r="L338" i="1"/>
  <c r="M338" i="1"/>
  <c r="N338" i="1"/>
  <c r="O338" i="1"/>
  <c r="P338" i="1"/>
  <c r="Q338" i="1"/>
  <c r="H339" i="1" a="1"/>
  <c r="H339" i="1"/>
  <c r="I339" i="1" a="1"/>
  <c r="I339" i="1"/>
  <c r="J339" i="1" a="1"/>
  <c r="J339" i="1"/>
  <c r="K339" i="1" a="1"/>
  <c r="K339" i="1"/>
  <c r="L339" i="1" a="1"/>
  <c r="L339" i="1"/>
  <c r="M339" i="1"/>
  <c r="N339" i="1"/>
  <c r="O339" i="1"/>
  <c r="P339" i="1"/>
  <c r="Q339" i="1"/>
  <c r="H340" i="1" a="1"/>
  <c r="H340" i="1"/>
  <c r="I340" i="1" a="1"/>
  <c r="I340" i="1"/>
  <c r="J340" i="1" a="1"/>
  <c r="J340" i="1"/>
  <c r="K340" i="1" a="1"/>
  <c r="K340" i="1"/>
  <c r="L340" i="1" a="1"/>
  <c r="L340" i="1"/>
  <c r="M340" i="1"/>
  <c r="N340" i="1"/>
  <c r="O340" i="1"/>
  <c r="P340" i="1"/>
  <c r="Q340" i="1"/>
  <c r="H341" i="1" a="1"/>
  <c r="H341" i="1"/>
  <c r="I341" i="1" a="1"/>
  <c r="I341" i="1"/>
  <c r="J341" i="1" a="1"/>
  <c r="J341" i="1"/>
  <c r="K341" i="1" a="1"/>
  <c r="K341" i="1"/>
  <c r="L341" i="1" a="1"/>
  <c r="L341" i="1"/>
  <c r="M341" i="1"/>
  <c r="N341" i="1"/>
  <c r="O341" i="1"/>
  <c r="P341" i="1"/>
  <c r="Q341" i="1"/>
  <c r="H342" i="1" a="1"/>
  <c r="H342" i="1"/>
  <c r="I342" i="1" a="1"/>
  <c r="I342" i="1"/>
  <c r="J342" i="1" a="1"/>
  <c r="J342" i="1"/>
  <c r="K342" i="1" a="1"/>
  <c r="K342" i="1"/>
  <c r="L342" i="1" a="1"/>
  <c r="L342" i="1"/>
  <c r="M342" i="1"/>
  <c r="N342" i="1"/>
  <c r="O342" i="1"/>
  <c r="P342" i="1"/>
  <c r="Q342" i="1"/>
  <c r="H343" i="1" a="1"/>
  <c r="H343" i="1"/>
  <c r="I343" i="1" a="1"/>
  <c r="I343" i="1"/>
  <c r="J343" i="1" a="1"/>
  <c r="J343" i="1"/>
  <c r="K343" i="1" a="1"/>
  <c r="K343" i="1"/>
  <c r="L343" i="1" a="1"/>
  <c r="L343" i="1"/>
  <c r="M343" i="1"/>
  <c r="N343" i="1"/>
  <c r="O343" i="1"/>
  <c r="P343" i="1"/>
  <c r="Q343" i="1"/>
  <c r="H344" i="1" a="1"/>
  <c r="H344" i="1"/>
  <c r="I344" i="1" a="1"/>
  <c r="I344" i="1"/>
  <c r="J344" i="1" a="1"/>
  <c r="J344" i="1"/>
  <c r="K344" i="1" a="1"/>
  <c r="K344" i="1"/>
  <c r="L344" i="1" a="1"/>
  <c r="L344" i="1"/>
  <c r="M344" i="1"/>
  <c r="N344" i="1"/>
  <c r="O344" i="1"/>
  <c r="P344" i="1"/>
  <c r="Q344" i="1"/>
  <c r="H345" i="1" a="1"/>
  <c r="H345" i="1"/>
  <c r="I345" i="1" a="1"/>
  <c r="I345" i="1"/>
  <c r="J345" i="1" a="1"/>
  <c r="J345" i="1"/>
  <c r="K345" i="1" a="1"/>
  <c r="K345" i="1"/>
  <c r="L345" i="1" a="1"/>
  <c r="L345" i="1"/>
  <c r="M345" i="1"/>
  <c r="N345" i="1"/>
  <c r="O345" i="1"/>
  <c r="P345" i="1"/>
  <c r="Q345" i="1"/>
  <c r="H346" i="1" a="1"/>
  <c r="H346" i="1"/>
  <c r="I346" i="1" a="1"/>
  <c r="I346" i="1"/>
  <c r="J346" i="1" a="1"/>
  <c r="J346" i="1"/>
  <c r="K346" i="1" a="1"/>
  <c r="K346" i="1"/>
  <c r="L346" i="1" a="1"/>
  <c r="L346" i="1"/>
  <c r="M346" i="1"/>
  <c r="N346" i="1"/>
  <c r="O346" i="1"/>
  <c r="P346" i="1"/>
  <c r="Q346" i="1"/>
  <c r="H347" i="1" a="1"/>
  <c r="H347" i="1"/>
  <c r="I347" i="1" a="1"/>
  <c r="I347" i="1"/>
  <c r="J347" i="1" a="1"/>
  <c r="J347" i="1"/>
  <c r="K347" i="1" a="1"/>
  <c r="K347" i="1"/>
  <c r="L347" i="1" a="1"/>
  <c r="L347" i="1"/>
  <c r="M347" i="1"/>
  <c r="N347" i="1"/>
  <c r="O347" i="1"/>
  <c r="P347" i="1"/>
  <c r="Q347" i="1"/>
  <c r="H348" i="1" a="1"/>
  <c r="H348" i="1"/>
  <c r="I348" i="1" a="1"/>
  <c r="I348" i="1"/>
  <c r="J348" i="1" a="1"/>
  <c r="J348" i="1"/>
  <c r="K348" i="1" a="1"/>
  <c r="K348" i="1"/>
  <c r="L348" i="1" a="1"/>
  <c r="L348" i="1"/>
  <c r="M348" i="1"/>
  <c r="N348" i="1"/>
  <c r="O348" i="1"/>
  <c r="P348" i="1"/>
  <c r="Q348" i="1"/>
  <c r="H349" i="1" a="1"/>
  <c r="H349" i="1"/>
  <c r="I349" i="1" a="1"/>
  <c r="I349" i="1"/>
  <c r="J349" i="1" a="1"/>
  <c r="J349" i="1"/>
  <c r="K349" i="1" a="1"/>
  <c r="K349" i="1"/>
  <c r="L349" i="1" a="1"/>
  <c r="L349" i="1"/>
  <c r="M349" i="1"/>
  <c r="N349" i="1"/>
  <c r="O349" i="1"/>
  <c r="P349" i="1"/>
  <c r="Q349" i="1"/>
  <c r="H350" i="1" a="1"/>
  <c r="H350" i="1"/>
  <c r="I350" i="1" a="1"/>
  <c r="I350" i="1"/>
  <c r="J350" i="1" a="1"/>
  <c r="J350" i="1"/>
  <c r="K350" i="1" a="1"/>
  <c r="K350" i="1"/>
  <c r="L350" i="1" a="1"/>
  <c r="L350" i="1"/>
  <c r="M350" i="1"/>
  <c r="N350" i="1"/>
  <c r="O350" i="1"/>
  <c r="P350" i="1"/>
  <c r="Q350" i="1"/>
  <c r="H351" i="1" a="1"/>
  <c r="H351" i="1"/>
  <c r="I351" i="1" a="1"/>
  <c r="I351" i="1"/>
  <c r="J351" i="1" a="1"/>
  <c r="J351" i="1"/>
  <c r="K351" i="1" a="1"/>
  <c r="K351" i="1"/>
  <c r="L351" i="1" a="1"/>
  <c r="L351" i="1"/>
  <c r="M351" i="1"/>
  <c r="N351" i="1"/>
  <c r="O351" i="1"/>
  <c r="P351" i="1"/>
  <c r="Q351" i="1"/>
  <c r="H352" i="1" a="1"/>
  <c r="H352" i="1"/>
  <c r="I352" i="1" a="1"/>
  <c r="I352" i="1"/>
  <c r="J352" i="1" a="1"/>
  <c r="J352" i="1"/>
  <c r="K352" i="1" a="1"/>
  <c r="K352" i="1"/>
  <c r="L352" i="1" a="1"/>
  <c r="L352" i="1"/>
  <c r="M352" i="1"/>
  <c r="N352" i="1"/>
  <c r="O352" i="1"/>
  <c r="P352" i="1"/>
  <c r="Q352" i="1"/>
  <c r="H353" i="1" a="1"/>
  <c r="H353" i="1"/>
  <c r="I353" i="1" a="1"/>
  <c r="I353" i="1"/>
  <c r="J353" i="1" a="1"/>
  <c r="J353" i="1"/>
  <c r="K353" i="1" a="1"/>
  <c r="K353" i="1"/>
  <c r="L353" i="1" a="1"/>
  <c r="L353" i="1"/>
  <c r="M353" i="1"/>
  <c r="N353" i="1"/>
  <c r="O353" i="1"/>
  <c r="P353" i="1"/>
  <c r="Q353" i="1"/>
  <c r="H354" i="1" a="1"/>
  <c r="H354" i="1"/>
  <c r="I354" i="1" a="1"/>
  <c r="I354" i="1"/>
  <c r="J354" i="1" a="1"/>
  <c r="J354" i="1"/>
  <c r="K354" i="1" a="1"/>
  <c r="K354" i="1"/>
  <c r="L354" i="1" a="1"/>
  <c r="L354" i="1"/>
  <c r="M354" i="1"/>
  <c r="N354" i="1"/>
  <c r="O354" i="1"/>
  <c r="P354" i="1"/>
  <c r="Q354" i="1"/>
  <c r="H355" i="1" a="1"/>
  <c r="H355" i="1"/>
  <c r="I355" i="1" a="1"/>
  <c r="I355" i="1"/>
  <c r="J355" i="1" a="1"/>
  <c r="J355" i="1"/>
  <c r="K355" i="1" a="1"/>
  <c r="K355" i="1"/>
  <c r="L355" i="1" a="1"/>
  <c r="L355" i="1"/>
  <c r="M355" i="1"/>
  <c r="N355" i="1"/>
  <c r="O355" i="1"/>
  <c r="P355" i="1"/>
  <c r="Q355" i="1"/>
  <c r="H356" i="1" a="1"/>
  <c r="H356" i="1"/>
  <c r="I356" i="1" a="1"/>
  <c r="I356" i="1"/>
  <c r="J356" i="1" a="1"/>
  <c r="J356" i="1"/>
  <c r="K356" i="1" a="1"/>
  <c r="K356" i="1"/>
  <c r="L356" i="1" a="1"/>
  <c r="L356" i="1"/>
  <c r="M356" i="1"/>
  <c r="N356" i="1"/>
  <c r="O356" i="1"/>
  <c r="P356" i="1"/>
  <c r="Q356" i="1"/>
  <c r="H357" i="1" a="1"/>
  <c r="H357" i="1"/>
  <c r="I357" i="1" a="1"/>
  <c r="I357" i="1"/>
  <c r="J357" i="1" a="1"/>
  <c r="J357" i="1"/>
  <c r="K357" i="1" a="1"/>
  <c r="K357" i="1"/>
  <c r="L357" i="1" a="1"/>
  <c r="L357" i="1"/>
  <c r="M357" i="1"/>
  <c r="N357" i="1"/>
  <c r="O357" i="1"/>
  <c r="P357" i="1"/>
  <c r="Q357" i="1"/>
  <c r="H358" i="1" a="1"/>
  <c r="H358" i="1"/>
  <c r="I358" i="1" a="1"/>
  <c r="I358" i="1"/>
  <c r="J358" i="1" a="1"/>
  <c r="J358" i="1"/>
  <c r="K358" i="1" a="1"/>
  <c r="K358" i="1"/>
  <c r="L358" i="1" a="1"/>
  <c r="L358" i="1"/>
  <c r="M358" i="1"/>
  <c r="N358" i="1"/>
  <c r="O358" i="1"/>
  <c r="P358" i="1"/>
  <c r="Q358" i="1"/>
  <c r="H359" i="1" a="1"/>
  <c r="H359" i="1"/>
  <c r="I359" i="1" a="1"/>
  <c r="I359" i="1"/>
  <c r="J359" i="1" a="1"/>
  <c r="J359" i="1"/>
  <c r="K359" i="1" a="1"/>
  <c r="K359" i="1"/>
  <c r="L359" i="1" a="1"/>
  <c r="L359" i="1"/>
  <c r="M359" i="1"/>
  <c r="N359" i="1"/>
  <c r="O359" i="1"/>
  <c r="P359" i="1"/>
  <c r="Q359" i="1"/>
  <c r="H360" i="1" a="1"/>
  <c r="H360" i="1"/>
  <c r="I360" i="1" a="1"/>
  <c r="I360" i="1"/>
  <c r="J360" i="1" a="1"/>
  <c r="J360" i="1"/>
  <c r="K360" i="1" a="1"/>
  <c r="K360" i="1"/>
  <c r="L360" i="1" a="1"/>
  <c r="L360" i="1"/>
  <c r="M360" i="1"/>
  <c r="N360" i="1"/>
  <c r="O360" i="1"/>
  <c r="P360" i="1"/>
  <c r="Q360" i="1"/>
  <c r="H361" i="1" a="1"/>
  <c r="H361" i="1"/>
  <c r="I361" i="1" a="1"/>
  <c r="I361" i="1"/>
  <c r="J361" i="1" a="1"/>
  <c r="J361" i="1"/>
  <c r="K361" i="1" a="1"/>
  <c r="K361" i="1"/>
  <c r="L361" i="1" a="1"/>
  <c r="L361" i="1"/>
  <c r="M361" i="1"/>
  <c r="N361" i="1"/>
  <c r="O361" i="1"/>
  <c r="P361" i="1"/>
  <c r="Q361" i="1"/>
  <c r="H362" i="1" a="1"/>
  <c r="H362" i="1"/>
  <c r="I362" i="1" a="1"/>
  <c r="I362" i="1"/>
  <c r="J362" i="1" a="1"/>
  <c r="J362" i="1"/>
  <c r="K362" i="1" a="1"/>
  <c r="K362" i="1"/>
  <c r="L362" i="1" a="1"/>
  <c r="L362" i="1"/>
  <c r="M362" i="1"/>
  <c r="N362" i="1"/>
  <c r="O362" i="1"/>
  <c r="P362" i="1"/>
  <c r="Q362" i="1"/>
  <c r="H363" i="1" a="1"/>
  <c r="H363" i="1"/>
  <c r="I363" i="1" a="1"/>
  <c r="I363" i="1"/>
  <c r="J363" i="1" a="1"/>
  <c r="J363" i="1"/>
  <c r="K363" i="1" a="1"/>
  <c r="K363" i="1"/>
  <c r="L363" i="1" a="1"/>
  <c r="L363" i="1"/>
  <c r="M363" i="1"/>
  <c r="N363" i="1"/>
  <c r="O363" i="1"/>
  <c r="P363" i="1"/>
  <c r="Q363" i="1"/>
  <c r="H364" i="1" a="1"/>
  <c r="H364" i="1"/>
  <c r="I364" i="1" a="1"/>
  <c r="I364" i="1"/>
  <c r="J364" i="1" a="1"/>
  <c r="J364" i="1"/>
  <c r="K364" i="1" a="1"/>
  <c r="K364" i="1"/>
  <c r="L364" i="1" a="1"/>
  <c r="L364" i="1"/>
  <c r="M364" i="1"/>
  <c r="N364" i="1"/>
  <c r="O364" i="1"/>
  <c r="P364" i="1"/>
  <c r="Q364" i="1"/>
  <c r="H365" i="1" a="1"/>
  <c r="H365" i="1"/>
  <c r="I365" i="1" a="1"/>
  <c r="I365" i="1"/>
  <c r="J365" i="1" a="1"/>
  <c r="J365" i="1"/>
  <c r="K365" i="1" a="1"/>
  <c r="K365" i="1"/>
  <c r="L365" i="1" a="1"/>
  <c r="L365" i="1"/>
  <c r="M365" i="1"/>
  <c r="N365" i="1"/>
  <c r="O365" i="1"/>
  <c r="P365" i="1"/>
  <c r="Q365" i="1"/>
  <c r="H366" i="1" a="1"/>
  <c r="H366" i="1"/>
  <c r="I366" i="1" a="1"/>
  <c r="I366" i="1"/>
  <c r="J366" i="1" a="1"/>
  <c r="J366" i="1"/>
  <c r="K366" i="1" a="1"/>
  <c r="K366" i="1"/>
  <c r="L366" i="1" a="1"/>
  <c r="L366" i="1"/>
  <c r="M366" i="1"/>
  <c r="N366" i="1"/>
  <c r="O366" i="1"/>
  <c r="P366" i="1"/>
  <c r="Q366" i="1"/>
</calcChain>
</file>

<file path=xl/sharedStrings.xml><?xml version="1.0" encoding="utf-8"?>
<sst xmlns="http://schemas.openxmlformats.org/spreadsheetml/2006/main" count="16" uniqueCount="14">
  <si>
    <t>省区</t>
  </si>
  <si>
    <t>2017年</t>
  </si>
  <si>
    <t>辅助</t>
  </si>
  <si>
    <t>广东</t>
  </si>
  <si>
    <t>弧度大小</t>
  </si>
  <si>
    <t>江西</t>
  </si>
  <si>
    <t>数据标签</t>
  </si>
  <si>
    <t>北京</t>
  </si>
  <si>
    <t>浙江</t>
  </si>
  <si>
    <t>河北</t>
  </si>
  <si>
    <t>角度</t>
  </si>
  <si>
    <t>作图思路</t>
  </si>
  <si>
    <t>同样使用雷达图制作</t>
  </si>
  <si>
    <t>使用360个点制作圆形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</si>
</sst>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12"/>
      <color theme="0"/>
      <name val="Arial Unicode MS"/>
      <family val="2"/>
    </font>
    <font>
      <sz val="12"/>
      <name val="Arial Unicode MS"/>
      <family val="2"/>
    </font>
    <font>
      <sz val="14"/>
      <color rgb="FF0293E4"/>
      <name val="黑体"/>
      <family val="3"/>
      <charset val="134"/>
    </font>
    <font>
      <sz val="14"/>
      <color rgb="FFE71945"/>
      <name val="黑体"/>
      <family val="3"/>
      <charset val="134"/>
    </font>
    <font>
      <sz val="14"/>
      <color theme="1" tint="0.499984740745262"/>
      <name val="黑体"/>
      <family val="3"/>
      <charset val="134"/>
    </font>
    <font>
      <sz val="14"/>
      <color rgb="FF7EC234"/>
      <name val="黑体"/>
      <family val="3"/>
      <charset val="134"/>
    </font>
    <font>
      <sz val="14"/>
      <color rgb="FF7030A0"/>
      <name val="黑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2" applyFont="1" applyBorder="1" applyAlignment="1">
      <alignment horizontal="right"/>
    </xf>
    <xf numFmtId="0" fontId="2" fillId="0" borderId="0" xfId="2" applyFont="1" applyBorder="1"/>
    <xf numFmtId="0" fontId="3" fillId="0" borderId="0" xfId="1" applyBorder="1" applyAlignment="1">
      <alignment horizontal="right"/>
    </xf>
    <xf numFmtId="0" fontId="4" fillId="2" borderId="0" xfId="2" applyFont="1" applyFill="1" applyBorder="1" applyAlignment="1">
      <alignment horizontal="center" vertical="center"/>
    </xf>
    <xf numFmtId="9" fontId="5" fillId="0" borderId="0" xfId="2" applyNumberFormat="1" applyFont="1" applyBorder="1" applyAlignment="1">
      <alignment horizontal="center" vertical="center"/>
    </xf>
    <xf numFmtId="1" fontId="5" fillId="0" borderId="0" xfId="2" applyNumberFormat="1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6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7" fillId="0" borderId="0" xfId="2" applyFont="1" applyBorder="1" applyAlignment="1">
      <alignment horizontal="left" vertical="center"/>
    </xf>
    <xf numFmtId="0" fontId="8" fillId="0" borderId="0" xfId="2" applyFont="1" applyBorder="1" applyAlignment="1">
      <alignment horizontal="left" vertical="center"/>
    </xf>
    <xf numFmtId="0" fontId="9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</cellXfs>
  <cellStyles count="4">
    <cellStyle name="常规" xfId="0" builtinId="0"/>
    <cellStyle name="常规 3" xfId="2" xr:uid="{00000000-0005-0000-0000-000001000000}"/>
    <cellStyle name="常规 5" xfId="3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案例!$H$6</c:f>
              <c:strCache>
                <c:ptCount val="1"/>
                <c:pt idx="0">
                  <c:v>河北</c:v>
                </c:pt>
              </c:strCache>
            </c:strRef>
          </c:tx>
          <c:spPr>
            <a:ln w="12700" cap="rnd">
              <a:solidFill>
                <a:srgbClr val="0293E4"/>
              </a:solidFill>
              <a:round/>
            </a:ln>
            <a:effectLst/>
          </c:spPr>
          <c:marker>
            <c:symbol val="none"/>
          </c:marker>
          <c:val>
            <c:numRef>
              <c:f>案例!$H$7:$H$366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6-4676-9F15-61DEFC7D1835}"/>
            </c:ext>
          </c:extLst>
        </c:ser>
        <c:ser>
          <c:idx val="1"/>
          <c:order val="1"/>
          <c:tx>
            <c:strRef>
              <c:f>案例!$I$6</c:f>
              <c:strCache>
                <c:ptCount val="1"/>
                <c:pt idx="0">
                  <c:v>浙江</c:v>
                </c:pt>
              </c:strCache>
            </c:strRef>
          </c:tx>
          <c:spPr>
            <a:ln w="12700" cap="rnd">
              <a:solidFill>
                <a:srgbClr val="E71945"/>
              </a:solidFill>
              <a:round/>
            </a:ln>
            <a:effectLst/>
          </c:spPr>
          <c:marker>
            <c:symbol val="none"/>
          </c:marker>
          <c:val>
            <c:numRef>
              <c:f>案例!$I$7:$I$366</c:f>
              <c:numCache>
                <c:formatCode>General</c:formatCode>
                <c:ptCount val="360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9.3000000000000007</c:v>
                </c:pt>
                <c:pt idx="7">
                  <c:v>9.3000000000000007</c:v>
                </c:pt>
                <c:pt idx="8">
                  <c:v>9.3000000000000007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9.3000000000000007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9.3000000000000007</c:v>
                </c:pt>
                <c:pt idx="18">
                  <c:v>9.3000000000000007</c:v>
                </c:pt>
                <c:pt idx="19">
                  <c:v>9.3000000000000007</c:v>
                </c:pt>
                <c:pt idx="20">
                  <c:v>9.3000000000000007</c:v>
                </c:pt>
                <c:pt idx="21">
                  <c:v>9.3000000000000007</c:v>
                </c:pt>
                <c:pt idx="22">
                  <c:v>9.3000000000000007</c:v>
                </c:pt>
                <c:pt idx="23">
                  <c:v>9.3000000000000007</c:v>
                </c:pt>
                <c:pt idx="24">
                  <c:v>9.3000000000000007</c:v>
                </c:pt>
                <c:pt idx="25">
                  <c:v>9.3000000000000007</c:v>
                </c:pt>
                <c:pt idx="26">
                  <c:v>9.3000000000000007</c:v>
                </c:pt>
                <c:pt idx="27">
                  <c:v>9.3000000000000007</c:v>
                </c:pt>
                <c:pt idx="28">
                  <c:v>9.3000000000000007</c:v>
                </c:pt>
                <c:pt idx="29">
                  <c:v>9.3000000000000007</c:v>
                </c:pt>
                <c:pt idx="30">
                  <c:v>9.3000000000000007</c:v>
                </c:pt>
                <c:pt idx="31">
                  <c:v>9.3000000000000007</c:v>
                </c:pt>
                <c:pt idx="32">
                  <c:v>9.3000000000000007</c:v>
                </c:pt>
                <c:pt idx="33">
                  <c:v>9.3000000000000007</c:v>
                </c:pt>
                <c:pt idx="34">
                  <c:v>9.3000000000000007</c:v>
                </c:pt>
                <c:pt idx="35">
                  <c:v>9.3000000000000007</c:v>
                </c:pt>
                <c:pt idx="36">
                  <c:v>9.3000000000000007</c:v>
                </c:pt>
                <c:pt idx="37">
                  <c:v>9.3000000000000007</c:v>
                </c:pt>
                <c:pt idx="38">
                  <c:v>9.3000000000000007</c:v>
                </c:pt>
                <c:pt idx="39">
                  <c:v>9.3000000000000007</c:v>
                </c:pt>
                <c:pt idx="40">
                  <c:v>9.3000000000000007</c:v>
                </c:pt>
                <c:pt idx="41">
                  <c:v>9.3000000000000007</c:v>
                </c:pt>
                <c:pt idx="42">
                  <c:v>9.3000000000000007</c:v>
                </c:pt>
                <c:pt idx="43">
                  <c:v>9.3000000000000007</c:v>
                </c:pt>
                <c:pt idx="44">
                  <c:v>9.3000000000000007</c:v>
                </c:pt>
                <c:pt idx="45">
                  <c:v>9.3000000000000007</c:v>
                </c:pt>
                <c:pt idx="46">
                  <c:v>9.3000000000000007</c:v>
                </c:pt>
                <c:pt idx="47">
                  <c:v>9.3000000000000007</c:v>
                </c:pt>
                <c:pt idx="48">
                  <c:v>9.3000000000000007</c:v>
                </c:pt>
                <c:pt idx="49">
                  <c:v>9.3000000000000007</c:v>
                </c:pt>
                <c:pt idx="50">
                  <c:v>9.3000000000000007</c:v>
                </c:pt>
                <c:pt idx="51">
                  <c:v>9.3000000000000007</c:v>
                </c:pt>
                <c:pt idx="52">
                  <c:v>9.3000000000000007</c:v>
                </c:pt>
                <c:pt idx="53">
                  <c:v>9.3000000000000007</c:v>
                </c:pt>
                <c:pt idx="54">
                  <c:v>9.3000000000000007</c:v>
                </c:pt>
                <c:pt idx="55">
                  <c:v>9.3000000000000007</c:v>
                </c:pt>
                <c:pt idx="56">
                  <c:v>9.3000000000000007</c:v>
                </c:pt>
                <c:pt idx="57">
                  <c:v>9.3000000000000007</c:v>
                </c:pt>
                <c:pt idx="58">
                  <c:v>9.3000000000000007</c:v>
                </c:pt>
                <c:pt idx="59">
                  <c:v>9.3000000000000007</c:v>
                </c:pt>
                <c:pt idx="60">
                  <c:v>9.3000000000000007</c:v>
                </c:pt>
                <c:pt idx="61">
                  <c:v>9.3000000000000007</c:v>
                </c:pt>
                <c:pt idx="62">
                  <c:v>9.3000000000000007</c:v>
                </c:pt>
                <c:pt idx="63">
                  <c:v>9.3000000000000007</c:v>
                </c:pt>
                <c:pt idx="64">
                  <c:v>9.3000000000000007</c:v>
                </c:pt>
                <c:pt idx="65">
                  <c:v>9.3000000000000007</c:v>
                </c:pt>
                <c:pt idx="66">
                  <c:v>9.3000000000000007</c:v>
                </c:pt>
                <c:pt idx="67">
                  <c:v>9.3000000000000007</c:v>
                </c:pt>
                <c:pt idx="68">
                  <c:v>9.3000000000000007</c:v>
                </c:pt>
                <c:pt idx="69">
                  <c:v>9.3000000000000007</c:v>
                </c:pt>
                <c:pt idx="70">
                  <c:v>9.3000000000000007</c:v>
                </c:pt>
                <c:pt idx="71">
                  <c:v>9.3000000000000007</c:v>
                </c:pt>
                <c:pt idx="72">
                  <c:v>9.3000000000000007</c:v>
                </c:pt>
                <c:pt idx="73">
                  <c:v>9.3000000000000007</c:v>
                </c:pt>
                <c:pt idx="74">
                  <c:v>9.3000000000000007</c:v>
                </c:pt>
                <c:pt idx="75">
                  <c:v>9.3000000000000007</c:v>
                </c:pt>
                <c:pt idx="76">
                  <c:v>9.3000000000000007</c:v>
                </c:pt>
                <c:pt idx="77">
                  <c:v>9.3000000000000007</c:v>
                </c:pt>
                <c:pt idx="78">
                  <c:v>9.3000000000000007</c:v>
                </c:pt>
                <c:pt idx="79">
                  <c:v>9.3000000000000007</c:v>
                </c:pt>
                <c:pt idx="80">
                  <c:v>9.3000000000000007</c:v>
                </c:pt>
                <c:pt idx="81">
                  <c:v>9.3000000000000007</c:v>
                </c:pt>
                <c:pt idx="82">
                  <c:v>9.3000000000000007</c:v>
                </c:pt>
                <c:pt idx="83">
                  <c:v>9.3000000000000007</c:v>
                </c:pt>
                <c:pt idx="84">
                  <c:v>9.3000000000000007</c:v>
                </c:pt>
                <c:pt idx="85">
                  <c:v>9.3000000000000007</c:v>
                </c:pt>
                <c:pt idx="86">
                  <c:v>9.3000000000000007</c:v>
                </c:pt>
                <c:pt idx="87">
                  <c:v>9.3000000000000007</c:v>
                </c:pt>
                <c:pt idx="88">
                  <c:v>9.3000000000000007</c:v>
                </c:pt>
                <c:pt idx="89">
                  <c:v>9.3000000000000007</c:v>
                </c:pt>
                <c:pt idx="90">
                  <c:v>9.3000000000000007</c:v>
                </c:pt>
                <c:pt idx="91">
                  <c:v>9.3000000000000007</c:v>
                </c:pt>
                <c:pt idx="92">
                  <c:v>9.3000000000000007</c:v>
                </c:pt>
                <c:pt idx="93">
                  <c:v>9.3000000000000007</c:v>
                </c:pt>
                <c:pt idx="94">
                  <c:v>9.3000000000000007</c:v>
                </c:pt>
                <c:pt idx="95">
                  <c:v>9.3000000000000007</c:v>
                </c:pt>
                <c:pt idx="96">
                  <c:v>9.3000000000000007</c:v>
                </c:pt>
                <c:pt idx="97">
                  <c:v>9.3000000000000007</c:v>
                </c:pt>
                <c:pt idx="98">
                  <c:v>9.3000000000000007</c:v>
                </c:pt>
                <c:pt idx="99">
                  <c:v>9.3000000000000007</c:v>
                </c:pt>
                <c:pt idx="100">
                  <c:v>9.3000000000000007</c:v>
                </c:pt>
                <c:pt idx="101">
                  <c:v>9.3000000000000007</c:v>
                </c:pt>
                <c:pt idx="102">
                  <c:v>9.3000000000000007</c:v>
                </c:pt>
                <c:pt idx="103">
                  <c:v>9.3000000000000007</c:v>
                </c:pt>
                <c:pt idx="104">
                  <c:v>9.3000000000000007</c:v>
                </c:pt>
                <c:pt idx="105">
                  <c:v>9.3000000000000007</c:v>
                </c:pt>
                <c:pt idx="106">
                  <c:v>9.3000000000000007</c:v>
                </c:pt>
                <c:pt idx="107">
                  <c:v>9.3000000000000007</c:v>
                </c:pt>
                <c:pt idx="108">
                  <c:v>9.3000000000000007</c:v>
                </c:pt>
                <c:pt idx="109">
                  <c:v>9.3000000000000007</c:v>
                </c:pt>
                <c:pt idx="110">
                  <c:v>9.3000000000000007</c:v>
                </c:pt>
                <c:pt idx="111">
                  <c:v>9.3000000000000007</c:v>
                </c:pt>
                <c:pt idx="112">
                  <c:v>9.3000000000000007</c:v>
                </c:pt>
                <c:pt idx="113">
                  <c:v>9.3000000000000007</c:v>
                </c:pt>
                <c:pt idx="114">
                  <c:v>9.3000000000000007</c:v>
                </c:pt>
                <c:pt idx="115">
                  <c:v>9.3000000000000007</c:v>
                </c:pt>
                <c:pt idx="116">
                  <c:v>9.3000000000000007</c:v>
                </c:pt>
                <c:pt idx="117">
                  <c:v>9.3000000000000007</c:v>
                </c:pt>
                <c:pt idx="118">
                  <c:v>9.3000000000000007</c:v>
                </c:pt>
                <c:pt idx="119">
                  <c:v>9.3000000000000007</c:v>
                </c:pt>
                <c:pt idx="120">
                  <c:v>9.3000000000000007</c:v>
                </c:pt>
                <c:pt idx="121">
                  <c:v>9.3000000000000007</c:v>
                </c:pt>
                <c:pt idx="122">
                  <c:v>9.3000000000000007</c:v>
                </c:pt>
                <c:pt idx="123">
                  <c:v>9.3000000000000007</c:v>
                </c:pt>
                <c:pt idx="124">
                  <c:v>9.3000000000000007</c:v>
                </c:pt>
                <c:pt idx="125">
                  <c:v>9.3000000000000007</c:v>
                </c:pt>
                <c:pt idx="126">
                  <c:v>9.3000000000000007</c:v>
                </c:pt>
                <c:pt idx="127">
                  <c:v>9.3000000000000007</c:v>
                </c:pt>
                <c:pt idx="128">
                  <c:v>9.3000000000000007</c:v>
                </c:pt>
                <c:pt idx="129">
                  <c:v>9.3000000000000007</c:v>
                </c:pt>
                <c:pt idx="130">
                  <c:v>9.3000000000000007</c:v>
                </c:pt>
                <c:pt idx="131">
                  <c:v>9.3000000000000007</c:v>
                </c:pt>
                <c:pt idx="132">
                  <c:v>9.3000000000000007</c:v>
                </c:pt>
                <c:pt idx="133">
                  <c:v>9.3000000000000007</c:v>
                </c:pt>
                <c:pt idx="134">
                  <c:v>9.3000000000000007</c:v>
                </c:pt>
                <c:pt idx="135">
                  <c:v>9.3000000000000007</c:v>
                </c:pt>
                <c:pt idx="136">
                  <c:v>9.3000000000000007</c:v>
                </c:pt>
                <c:pt idx="137">
                  <c:v>9.3000000000000007</c:v>
                </c:pt>
                <c:pt idx="138">
                  <c:v>9.3000000000000007</c:v>
                </c:pt>
                <c:pt idx="139">
                  <c:v>9.3000000000000007</c:v>
                </c:pt>
                <c:pt idx="140">
                  <c:v>9.3000000000000007</c:v>
                </c:pt>
                <c:pt idx="141">
                  <c:v>9.3000000000000007</c:v>
                </c:pt>
                <c:pt idx="142">
                  <c:v>9.3000000000000007</c:v>
                </c:pt>
                <c:pt idx="143">
                  <c:v>9.3000000000000007</c:v>
                </c:pt>
                <c:pt idx="144">
                  <c:v>9.3000000000000007</c:v>
                </c:pt>
                <c:pt idx="145">
                  <c:v>9.3000000000000007</c:v>
                </c:pt>
                <c:pt idx="146">
                  <c:v>9.3000000000000007</c:v>
                </c:pt>
                <c:pt idx="147">
                  <c:v>9.3000000000000007</c:v>
                </c:pt>
                <c:pt idx="148">
                  <c:v>9.3000000000000007</c:v>
                </c:pt>
                <c:pt idx="149">
                  <c:v>9.3000000000000007</c:v>
                </c:pt>
                <c:pt idx="150">
                  <c:v>9.3000000000000007</c:v>
                </c:pt>
                <c:pt idx="151">
                  <c:v>9.3000000000000007</c:v>
                </c:pt>
                <c:pt idx="152">
                  <c:v>9.3000000000000007</c:v>
                </c:pt>
                <c:pt idx="153">
                  <c:v>9.3000000000000007</c:v>
                </c:pt>
                <c:pt idx="154">
                  <c:v>9.3000000000000007</c:v>
                </c:pt>
                <c:pt idx="155">
                  <c:v>9.3000000000000007</c:v>
                </c:pt>
                <c:pt idx="156">
                  <c:v>9.3000000000000007</c:v>
                </c:pt>
                <c:pt idx="157">
                  <c:v>9.3000000000000007</c:v>
                </c:pt>
                <c:pt idx="158">
                  <c:v>9.3000000000000007</c:v>
                </c:pt>
                <c:pt idx="159">
                  <c:v>9.3000000000000007</c:v>
                </c:pt>
                <c:pt idx="160">
                  <c:v>9.3000000000000007</c:v>
                </c:pt>
                <c:pt idx="161">
                  <c:v>9.3000000000000007</c:v>
                </c:pt>
                <c:pt idx="162">
                  <c:v>9.3000000000000007</c:v>
                </c:pt>
                <c:pt idx="163">
                  <c:v>9.3000000000000007</c:v>
                </c:pt>
                <c:pt idx="164">
                  <c:v>9.3000000000000007</c:v>
                </c:pt>
                <c:pt idx="165">
                  <c:v>9.3000000000000007</c:v>
                </c:pt>
                <c:pt idx="166">
                  <c:v>9.3000000000000007</c:v>
                </c:pt>
                <c:pt idx="167">
                  <c:v>9.3000000000000007</c:v>
                </c:pt>
                <c:pt idx="168">
                  <c:v>9.3000000000000007</c:v>
                </c:pt>
                <c:pt idx="169">
                  <c:v>9.3000000000000007</c:v>
                </c:pt>
                <c:pt idx="170">
                  <c:v>9.3000000000000007</c:v>
                </c:pt>
                <c:pt idx="171">
                  <c:v>9.3000000000000007</c:v>
                </c:pt>
                <c:pt idx="172">
                  <c:v>9.3000000000000007</c:v>
                </c:pt>
                <c:pt idx="173">
                  <c:v>9.3000000000000007</c:v>
                </c:pt>
                <c:pt idx="174">
                  <c:v>9.3000000000000007</c:v>
                </c:pt>
                <c:pt idx="175">
                  <c:v>9.3000000000000007</c:v>
                </c:pt>
                <c:pt idx="176">
                  <c:v>9.3000000000000007</c:v>
                </c:pt>
                <c:pt idx="177">
                  <c:v>9.3000000000000007</c:v>
                </c:pt>
                <c:pt idx="178">
                  <c:v>9.3000000000000007</c:v>
                </c:pt>
                <c:pt idx="179">
                  <c:v>9.3000000000000007</c:v>
                </c:pt>
                <c:pt idx="180">
                  <c:v>9.3000000000000007</c:v>
                </c:pt>
                <c:pt idx="181">
                  <c:v>9.3000000000000007</c:v>
                </c:pt>
                <c:pt idx="182">
                  <c:v>9.3000000000000007</c:v>
                </c:pt>
                <c:pt idx="183">
                  <c:v>9.3000000000000007</c:v>
                </c:pt>
                <c:pt idx="184">
                  <c:v>9.3000000000000007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9.3000000000000007</c:v>
                </c:pt>
                <c:pt idx="188">
                  <c:v>9.3000000000000007</c:v>
                </c:pt>
                <c:pt idx="189">
                  <c:v>9.3000000000000007</c:v>
                </c:pt>
                <c:pt idx="190">
                  <c:v>9.3000000000000007</c:v>
                </c:pt>
                <c:pt idx="191">
                  <c:v>9.3000000000000007</c:v>
                </c:pt>
                <c:pt idx="192">
                  <c:v>9.3000000000000007</c:v>
                </c:pt>
                <c:pt idx="193">
                  <c:v>9.3000000000000007</c:v>
                </c:pt>
                <c:pt idx="194">
                  <c:v>9.3000000000000007</c:v>
                </c:pt>
                <c:pt idx="195">
                  <c:v>9.3000000000000007</c:v>
                </c:pt>
                <c:pt idx="196">
                  <c:v>9.3000000000000007</c:v>
                </c:pt>
                <c:pt idx="197">
                  <c:v>9.3000000000000007</c:v>
                </c:pt>
                <c:pt idx="198">
                  <c:v>9.3000000000000007</c:v>
                </c:pt>
                <c:pt idx="199">
                  <c:v>9.3000000000000007</c:v>
                </c:pt>
                <c:pt idx="200">
                  <c:v>9.3000000000000007</c:v>
                </c:pt>
                <c:pt idx="201">
                  <c:v>9.3000000000000007</c:v>
                </c:pt>
                <c:pt idx="202">
                  <c:v>9.3000000000000007</c:v>
                </c:pt>
                <c:pt idx="203">
                  <c:v>9.3000000000000007</c:v>
                </c:pt>
                <c:pt idx="204">
                  <c:v>9.3000000000000007</c:v>
                </c:pt>
                <c:pt idx="205">
                  <c:v>9.3000000000000007</c:v>
                </c:pt>
                <c:pt idx="206">
                  <c:v>9.3000000000000007</c:v>
                </c:pt>
                <c:pt idx="207">
                  <c:v>9.3000000000000007</c:v>
                </c:pt>
                <c:pt idx="208">
                  <c:v>9.3000000000000007</c:v>
                </c:pt>
                <c:pt idx="209">
                  <c:v>9.3000000000000007</c:v>
                </c:pt>
                <c:pt idx="210">
                  <c:v>9.3000000000000007</c:v>
                </c:pt>
                <c:pt idx="211">
                  <c:v>9.3000000000000007</c:v>
                </c:pt>
                <c:pt idx="212">
                  <c:v>9.3000000000000007</c:v>
                </c:pt>
                <c:pt idx="213">
                  <c:v>9.3000000000000007</c:v>
                </c:pt>
                <c:pt idx="214">
                  <c:v>9.3000000000000007</c:v>
                </c:pt>
                <c:pt idx="215">
                  <c:v>9.3000000000000007</c:v>
                </c:pt>
                <c:pt idx="216">
                  <c:v>9.3000000000000007</c:v>
                </c:pt>
                <c:pt idx="217">
                  <c:v>9.3000000000000007</c:v>
                </c:pt>
                <c:pt idx="218">
                  <c:v>9.3000000000000007</c:v>
                </c:pt>
                <c:pt idx="219">
                  <c:v>9.3000000000000007</c:v>
                </c:pt>
                <c:pt idx="220">
                  <c:v>9.3000000000000007</c:v>
                </c:pt>
                <c:pt idx="221">
                  <c:v>9.3000000000000007</c:v>
                </c:pt>
                <c:pt idx="222">
                  <c:v>9.3000000000000007</c:v>
                </c:pt>
                <c:pt idx="223">
                  <c:v>9.3000000000000007</c:v>
                </c:pt>
                <c:pt idx="224">
                  <c:v>9.3000000000000007</c:v>
                </c:pt>
                <c:pt idx="225">
                  <c:v>9.3000000000000007</c:v>
                </c:pt>
                <c:pt idx="226">
                  <c:v>9.3000000000000007</c:v>
                </c:pt>
                <c:pt idx="227">
                  <c:v>9.3000000000000007</c:v>
                </c:pt>
                <c:pt idx="228">
                  <c:v>9.3000000000000007</c:v>
                </c:pt>
                <c:pt idx="229">
                  <c:v>9.3000000000000007</c:v>
                </c:pt>
                <c:pt idx="230">
                  <c:v>9.3000000000000007</c:v>
                </c:pt>
                <c:pt idx="231">
                  <c:v>9.3000000000000007</c:v>
                </c:pt>
                <c:pt idx="232">
                  <c:v>9.3000000000000007</c:v>
                </c:pt>
                <c:pt idx="233">
                  <c:v>9.3000000000000007</c:v>
                </c:pt>
                <c:pt idx="234">
                  <c:v>9.3000000000000007</c:v>
                </c:pt>
                <c:pt idx="235">
                  <c:v>9.3000000000000007</c:v>
                </c:pt>
                <c:pt idx="236">
                  <c:v>9.3000000000000007</c:v>
                </c:pt>
                <c:pt idx="237">
                  <c:v>9.3000000000000007</c:v>
                </c:pt>
                <c:pt idx="238">
                  <c:v>9.3000000000000007</c:v>
                </c:pt>
                <c:pt idx="239">
                  <c:v>9.3000000000000007</c:v>
                </c:pt>
                <c:pt idx="240">
                  <c:v>9.3000000000000007</c:v>
                </c:pt>
                <c:pt idx="241">
                  <c:v>9.3000000000000007</c:v>
                </c:pt>
                <c:pt idx="242">
                  <c:v>9.3000000000000007</c:v>
                </c:pt>
                <c:pt idx="243">
                  <c:v>9.3000000000000007</c:v>
                </c:pt>
                <c:pt idx="244">
                  <c:v>9.3000000000000007</c:v>
                </c:pt>
                <c:pt idx="245">
                  <c:v>9.3000000000000007</c:v>
                </c:pt>
                <c:pt idx="246">
                  <c:v>9.3000000000000007</c:v>
                </c:pt>
                <c:pt idx="247">
                  <c:v>9.3000000000000007</c:v>
                </c:pt>
                <c:pt idx="248">
                  <c:v>9.3000000000000007</c:v>
                </c:pt>
                <c:pt idx="249">
                  <c:v>9.3000000000000007</c:v>
                </c:pt>
                <c:pt idx="250">
                  <c:v>9.3000000000000007</c:v>
                </c:pt>
                <c:pt idx="251">
                  <c:v>9.3000000000000007</c:v>
                </c:pt>
                <c:pt idx="252">
                  <c:v>9.3000000000000007</c:v>
                </c:pt>
                <c:pt idx="253">
                  <c:v>9.3000000000000007</c:v>
                </c:pt>
                <c:pt idx="254">
                  <c:v>9.3000000000000007</c:v>
                </c:pt>
                <c:pt idx="255">
                  <c:v>9.3000000000000007</c:v>
                </c:pt>
                <c:pt idx="256">
                  <c:v>9.3000000000000007</c:v>
                </c:pt>
                <c:pt idx="257">
                  <c:v>9.3000000000000007</c:v>
                </c:pt>
                <c:pt idx="258">
                  <c:v>9.3000000000000007</c:v>
                </c:pt>
                <c:pt idx="259">
                  <c:v>9.3000000000000007</c:v>
                </c:pt>
                <c:pt idx="260">
                  <c:v>9.3000000000000007</c:v>
                </c:pt>
                <c:pt idx="261">
                  <c:v>9.3000000000000007</c:v>
                </c:pt>
                <c:pt idx="262">
                  <c:v>9.3000000000000007</c:v>
                </c:pt>
                <c:pt idx="263">
                  <c:v>9.3000000000000007</c:v>
                </c:pt>
                <c:pt idx="264">
                  <c:v>9.3000000000000007</c:v>
                </c:pt>
                <c:pt idx="265">
                  <c:v>9.3000000000000007</c:v>
                </c:pt>
                <c:pt idx="266">
                  <c:v>9.3000000000000007</c:v>
                </c:pt>
                <c:pt idx="267">
                  <c:v>9.3000000000000007</c:v>
                </c:pt>
                <c:pt idx="268">
                  <c:v>9.3000000000000007</c:v>
                </c:pt>
                <c:pt idx="269">
                  <c:v>9.3000000000000007</c:v>
                </c:pt>
                <c:pt idx="270">
                  <c:v>9.3000000000000007</c:v>
                </c:pt>
                <c:pt idx="271">
                  <c:v>9.3000000000000007</c:v>
                </c:pt>
                <c:pt idx="272">
                  <c:v>9.3000000000000007</c:v>
                </c:pt>
                <c:pt idx="273">
                  <c:v>9.3000000000000007</c:v>
                </c:pt>
                <c:pt idx="274">
                  <c:v>9.3000000000000007</c:v>
                </c:pt>
                <c:pt idx="275">
                  <c:v>9.3000000000000007</c:v>
                </c:pt>
                <c:pt idx="276">
                  <c:v>9.3000000000000007</c:v>
                </c:pt>
                <c:pt idx="277">
                  <c:v>9.3000000000000007</c:v>
                </c:pt>
                <c:pt idx="278">
                  <c:v>9.3000000000000007</c:v>
                </c:pt>
                <c:pt idx="279">
                  <c:v>9.3000000000000007</c:v>
                </c:pt>
                <c:pt idx="280">
                  <c:v>9.3000000000000007</c:v>
                </c:pt>
                <c:pt idx="281">
                  <c:v>9.3000000000000007</c:v>
                </c:pt>
                <c:pt idx="282">
                  <c:v>9.3000000000000007</c:v>
                </c:pt>
                <c:pt idx="283">
                  <c:v>9.3000000000000007</c:v>
                </c:pt>
                <c:pt idx="284">
                  <c:v>9.3000000000000007</c:v>
                </c:pt>
                <c:pt idx="285">
                  <c:v>9.3000000000000007</c:v>
                </c:pt>
                <c:pt idx="286">
                  <c:v>9.3000000000000007</c:v>
                </c:pt>
                <c:pt idx="287">
                  <c:v>9.3000000000000007</c:v>
                </c:pt>
                <c:pt idx="288">
                  <c:v>9.3000000000000007</c:v>
                </c:pt>
                <c:pt idx="289">
                  <c:v>9.3000000000000007</c:v>
                </c:pt>
                <c:pt idx="290">
                  <c:v>9.3000000000000007</c:v>
                </c:pt>
                <c:pt idx="291">
                  <c:v>9.3000000000000007</c:v>
                </c:pt>
                <c:pt idx="292">
                  <c:v>9.3000000000000007</c:v>
                </c:pt>
                <c:pt idx="293">
                  <c:v>9.3000000000000007</c:v>
                </c:pt>
                <c:pt idx="294">
                  <c:v>9.3000000000000007</c:v>
                </c:pt>
                <c:pt idx="295">
                  <c:v>9.3000000000000007</c:v>
                </c:pt>
                <c:pt idx="296">
                  <c:v>9.3000000000000007</c:v>
                </c:pt>
                <c:pt idx="297">
                  <c:v>9.3000000000000007</c:v>
                </c:pt>
                <c:pt idx="298">
                  <c:v>9.3000000000000007</c:v>
                </c:pt>
                <c:pt idx="299">
                  <c:v>9.3000000000000007</c:v>
                </c:pt>
                <c:pt idx="300">
                  <c:v>9.3000000000000007</c:v>
                </c:pt>
                <c:pt idx="301">
                  <c:v>9.3000000000000007</c:v>
                </c:pt>
                <c:pt idx="302">
                  <c:v>9.3000000000000007</c:v>
                </c:pt>
                <c:pt idx="303">
                  <c:v>9.3000000000000007</c:v>
                </c:pt>
                <c:pt idx="304">
                  <c:v>9.3000000000000007</c:v>
                </c:pt>
                <c:pt idx="305">
                  <c:v>9.3000000000000007</c:v>
                </c:pt>
                <c:pt idx="306">
                  <c:v>9.3000000000000007</c:v>
                </c:pt>
                <c:pt idx="307">
                  <c:v>9.3000000000000007</c:v>
                </c:pt>
                <c:pt idx="308">
                  <c:v>9.3000000000000007</c:v>
                </c:pt>
                <c:pt idx="309">
                  <c:v>9.3000000000000007</c:v>
                </c:pt>
                <c:pt idx="310">
                  <c:v>9.3000000000000007</c:v>
                </c:pt>
                <c:pt idx="311">
                  <c:v>9.3000000000000007</c:v>
                </c:pt>
                <c:pt idx="312">
                  <c:v>9.3000000000000007</c:v>
                </c:pt>
                <c:pt idx="313">
                  <c:v>9.3000000000000007</c:v>
                </c:pt>
                <c:pt idx="314">
                  <c:v>9.3000000000000007</c:v>
                </c:pt>
                <c:pt idx="315">
                  <c:v>9.3000000000000007</c:v>
                </c:pt>
                <c:pt idx="316">
                  <c:v>9.3000000000000007</c:v>
                </c:pt>
                <c:pt idx="317">
                  <c:v>9.3000000000000007</c:v>
                </c:pt>
                <c:pt idx="318">
                  <c:v>9.3000000000000007</c:v>
                </c:pt>
                <c:pt idx="319">
                  <c:v>9.3000000000000007</c:v>
                </c:pt>
                <c:pt idx="320">
                  <c:v>9.3000000000000007</c:v>
                </c:pt>
                <c:pt idx="321">
                  <c:v>9.3000000000000007</c:v>
                </c:pt>
                <c:pt idx="322">
                  <c:v>9.3000000000000007</c:v>
                </c:pt>
                <c:pt idx="323">
                  <c:v>9.3000000000000007</c:v>
                </c:pt>
                <c:pt idx="324">
                  <c:v>9.3000000000000007</c:v>
                </c:pt>
                <c:pt idx="325">
                  <c:v>9.3000000000000007</c:v>
                </c:pt>
                <c:pt idx="326">
                  <c:v>9.3000000000000007</c:v>
                </c:pt>
                <c:pt idx="327">
                  <c:v>9.3000000000000007</c:v>
                </c:pt>
                <c:pt idx="328">
                  <c:v>9.3000000000000007</c:v>
                </c:pt>
                <c:pt idx="329">
                  <c:v>9.3000000000000007</c:v>
                </c:pt>
                <c:pt idx="330">
                  <c:v>9.3000000000000007</c:v>
                </c:pt>
                <c:pt idx="331">
                  <c:v>9.3000000000000007</c:v>
                </c:pt>
                <c:pt idx="332">
                  <c:v>9.3000000000000007</c:v>
                </c:pt>
                <c:pt idx="333">
                  <c:v>9.3000000000000007</c:v>
                </c:pt>
                <c:pt idx="334">
                  <c:v>9.3000000000000007</c:v>
                </c:pt>
                <c:pt idx="335">
                  <c:v>9.3000000000000007</c:v>
                </c:pt>
                <c:pt idx="336">
                  <c:v>9.3000000000000007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6-4676-9F15-61DEFC7D1835}"/>
            </c:ext>
          </c:extLst>
        </c:ser>
        <c:ser>
          <c:idx val="2"/>
          <c:order val="2"/>
          <c:tx>
            <c:strRef>
              <c:f>案例!$J$6</c:f>
              <c:strCache>
                <c:ptCount val="1"/>
                <c:pt idx="0">
                  <c:v>江西</c:v>
                </c:pt>
              </c:strCache>
            </c:strRef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案例!$J$7:$J$366</c:f>
              <c:numCache>
                <c:formatCode>General</c:formatCode>
                <c:ptCount val="360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8.6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8.6</c:v>
                </c:pt>
                <c:pt idx="25">
                  <c:v>8.6</c:v>
                </c:pt>
                <c:pt idx="26">
                  <c:v>8.6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8.6</c:v>
                </c:pt>
                <c:pt idx="31">
                  <c:v>8.6</c:v>
                </c:pt>
                <c:pt idx="32">
                  <c:v>8.6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</c:v>
                </c:pt>
                <c:pt idx="49">
                  <c:v>8.6</c:v>
                </c:pt>
                <c:pt idx="50">
                  <c:v>8.6</c:v>
                </c:pt>
                <c:pt idx="51">
                  <c:v>8.6</c:v>
                </c:pt>
                <c:pt idx="52">
                  <c:v>8.6</c:v>
                </c:pt>
                <c:pt idx="53">
                  <c:v>8.6</c:v>
                </c:pt>
                <c:pt idx="54">
                  <c:v>8.6</c:v>
                </c:pt>
                <c:pt idx="55">
                  <c:v>8.6</c:v>
                </c:pt>
                <c:pt idx="56">
                  <c:v>8.6</c:v>
                </c:pt>
                <c:pt idx="57">
                  <c:v>8.6</c:v>
                </c:pt>
                <c:pt idx="58">
                  <c:v>8.6</c:v>
                </c:pt>
                <c:pt idx="59">
                  <c:v>8.6</c:v>
                </c:pt>
                <c:pt idx="60">
                  <c:v>8.6</c:v>
                </c:pt>
                <c:pt idx="61">
                  <c:v>8.6</c:v>
                </c:pt>
                <c:pt idx="62">
                  <c:v>8.6</c:v>
                </c:pt>
                <c:pt idx="63">
                  <c:v>8.6</c:v>
                </c:pt>
                <c:pt idx="64">
                  <c:v>8.6</c:v>
                </c:pt>
                <c:pt idx="65">
                  <c:v>8.6</c:v>
                </c:pt>
                <c:pt idx="66">
                  <c:v>8.6</c:v>
                </c:pt>
                <c:pt idx="67">
                  <c:v>8.6</c:v>
                </c:pt>
                <c:pt idx="68">
                  <c:v>8.6</c:v>
                </c:pt>
                <c:pt idx="69">
                  <c:v>8.6</c:v>
                </c:pt>
                <c:pt idx="70">
                  <c:v>8.6</c:v>
                </c:pt>
                <c:pt idx="71">
                  <c:v>8.6</c:v>
                </c:pt>
                <c:pt idx="72">
                  <c:v>8.6</c:v>
                </c:pt>
                <c:pt idx="73">
                  <c:v>8.6</c:v>
                </c:pt>
                <c:pt idx="74">
                  <c:v>8.6</c:v>
                </c:pt>
                <c:pt idx="75">
                  <c:v>8.6</c:v>
                </c:pt>
                <c:pt idx="76">
                  <c:v>8.6</c:v>
                </c:pt>
                <c:pt idx="77">
                  <c:v>8.6</c:v>
                </c:pt>
                <c:pt idx="78">
                  <c:v>8.6</c:v>
                </c:pt>
                <c:pt idx="79">
                  <c:v>8.6</c:v>
                </c:pt>
                <c:pt idx="80">
                  <c:v>8.6</c:v>
                </c:pt>
                <c:pt idx="81">
                  <c:v>8.6</c:v>
                </c:pt>
                <c:pt idx="82">
                  <c:v>8.6</c:v>
                </c:pt>
                <c:pt idx="83">
                  <c:v>8.6</c:v>
                </c:pt>
                <c:pt idx="84">
                  <c:v>8.6</c:v>
                </c:pt>
                <c:pt idx="85">
                  <c:v>8.6</c:v>
                </c:pt>
                <c:pt idx="86">
                  <c:v>8.6</c:v>
                </c:pt>
                <c:pt idx="87">
                  <c:v>8.6</c:v>
                </c:pt>
                <c:pt idx="88">
                  <c:v>8.6</c:v>
                </c:pt>
                <c:pt idx="89">
                  <c:v>8.6</c:v>
                </c:pt>
                <c:pt idx="90">
                  <c:v>8.6</c:v>
                </c:pt>
                <c:pt idx="91">
                  <c:v>8.6</c:v>
                </c:pt>
                <c:pt idx="92">
                  <c:v>8.6</c:v>
                </c:pt>
                <c:pt idx="93">
                  <c:v>8.6</c:v>
                </c:pt>
                <c:pt idx="94">
                  <c:v>8.6</c:v>
                </c:pt>
                <c:pt idx="95">
                  <c:v>8.6</c:v>
                </c:pt>
                <c:pt idx="96">
                  <c:v>8.6</c:v>
                </c:pt>
                <c:pt idx="97">
                  <c:v>8.6</c:v>
                </c:pt>
                <c:pt idx="98">
                  <c:v>8.6</c:v>
                </c:pt>
                <c:pt idx="99">
                  <c:v>8.6</c:v>
                </c:pt>
                <c:pt idx="100">
                  <c:v>8.6</c:v>
                </c:pt>
                <c:pt idx="101">
                  <c:v>8.6</c:v>
                </c:pt>
                <c:pt idx="102">
                  <c:v>8.6</c:v>
                </c:pt>
                <c:pt idx="103">
                  <c:v>8.6</c:v>
                </c:pt>
                <c:pt idx="104">
                  <c:v>8.6</c:v>
                </c:pt>
                <c:pt idx="105">
                  <c:v>8.6</c:v>
                </c:pt>
                <c:pt idx="106">
                  <c:v>8.6</c:v>
                </c:pt>
                <c:pt idx="107">
                  <c:v>8.6</c:v>
                </c:pt>
                <c:pt idx="108">
                  <c:v>8.6</c:v>
                </c:pt>
                <c:pt idx="109">
                  <c:v>8.6</c:v>
                </c:pt>
                <c:pt idx="110">
                  <c:v>8.6</c:v>
                </c:pt>
                <c:pt idx="111">
                  <c:v>8.6</c:v>
                </c:pt>
                <c:pt idx="112">
                  <c:v>8.6</c:v>
                </c:pt>
                <c:pt idx="113">
                  <c:v>8.6</c:v>
                </c:pt>
                <c:pt idx="114">
                  <c:v>8.6</c:v>
                </c:pt>
                <c:pt idx="115">
                  <c:v>8.6</c:v>
                </c:pt>
                <c:pt idx="116">
                  <c:v>8.6</c:v>
                </c:pt>
                <c:pt idx="117">
                  <c:v>8.6</c:v>
                </c:pt>
                <c:pt idx="118">
                  <c:v>8.6</c:v>
                </c:pt>
                <c:pt idx="119">
                  <c:v>8.6</c:v>
                </c:pt>
                <c:pt idx="120">
                  <c:v>8.6</c:v>
                </c:pt>
                <c:pt idx="121">
                  <c:v>8.6</c:v>
                </c:pt>
                <c:pt idx="122">
                  <c:v>8.6</c:v>
                </c:pt>
                <c:pt idx="123">
                  <c:v>8.6</c:v>
                </c:pt>
                <c:pt idx="124">
                  <c:v>8.6</c:v>
                </c:pt>
                <c:pt idx="125">
                  <c:v>8.6</c:v>
                </c:pt>
                <c:pt idx="126">
                  <c:v>8.6</c:v>
                </c:pt>
                <c:pt idx="127">
                  <c:v>8.6</c:v>
                </c:pt>
                <c:pt idx="128">
                  <c:v>8.6</c:v>
                </c:pt>
                <c:pt idx="129">
                  <c:v>8.6</c:v>
                </c:pt>
                <c:pt idx="130">
                  <c:v>8.6</c:v>
                </c:pt>
                <c:pt idx="131">
                  <c:v>8.6</c:v>
                </c:pt>
                <c:pt idx="132">
                  <c:v>8.6</c:v>
                </c:pt>
                <c:pt idx="133">
                  <c:v>8.6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6-4676-9F15-61DEFC7D1835}"/>
            </c:ext>
          </c:extLst>
        </c:ser>
        <c:ser>
          <c:idx val="3"/>
          <c:order val="3"/>
          <c:tx>
            <c:strRef>
              <c:f>案例!$K$6</c:f>
              <c:strCache>
                <c:ptCount val="1"/>
                <c:pt idx="0">
                  <c:v>北京</c:v>
                </c:pt>
              </c:strCache>
            </c:strRef>
          </c:tx>
          <c:spPr>
            <a:ln w="12700" cap="rnd">
              <a:solidFill>
                <a:srgbClr val="7EC234"/>
              </a:solidFill>
              <a:round/>
            </a:ln>
            <a:effectLst/>
          </c:spPr>
          <c:marker>
            <c:symbol val="none"/>
          </c:marker>
          <c:val>
            <c:numRef>
              <c:f>案例!$K$7:$K$366</c:f>
              <c:numCache>
                <c:formatCode>General</c:formatCode>
                <c:ptCount val="360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7.9</c:v>
                </c:pt>
                <c:pt idx="38">
                  <c:v>7.9</c:v>
                </c:pt>
                <c:pt idx="39">
                  <c:v>7.9</c:v>
                </c:pt>
                <c:pt idx="40">
                  <c:v>7.9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7.9</c:v>
                </c:pt>
                <c:pt idx="45">
                  <c:v>7.9</c:v>
                </c:pt>
                <c:pt idx="46">
                  <c:v>7.9</c:v>
                </c:pt>
                <c:pt idx="47">
                  <c:v>7.9</c:v>
                </c:pt>
                <c:pt idx="48">
                  <c:v>7.9</c:v>
                </c:pt>
                <c:pt idx="49">
                  <c:v>7.9</c:v>
                </c:pt>
                <c:pt idx="50">
                  <c:v>7.9</c:v>
                </c:pt>
                <c:pt idx="51">
                  <c:v>7.9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</c:v>
                </c:pt>
                <c:pt idx="60">
                  <c:v>7.9</c:v>
                </c:pt>
                <c:pt idx="61">
                  <c:v>7.9</c:v>
                </c:pt>
                <c:pt idx="62">
                  <c:v>7.9</c:v>
                </c:pt>
                <c:pt idx="63">
                  <c:v>7.9</c:v>
                </c:pt>
                <c:pt idx="64">
                  <c:v>7.9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7.9</c:v>
                </c:pt>
                <c:pt idx="69">
                  <c:v>7.9</c:v>
                </c:pt>
                <c:pt idx="70">
                  <c:v>7.9</c:v>
                </c:pt>
                <c:pt idx="71">
                  <c:v>7.9</c:v>
                </c:pt>
                <c:pt idx="72">
                  <c:v>7.9</c:v>
                </c:pt>
                <c:pt idx="73">
                  <c:v>7.9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7.9</c:v>
                </c:pt>
                <c:pt idx="80">
                  <c:v>7.9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7.9</c:v>
                </c:pt>
                <c:pt idx="91">
                  <c:v>7.9</c:v>
                </c:pt>
                <c:pt idx="92">
                  <c:v>7.9</c:v>
                </c:pt>
                <c:pt idx="93">
                  <c:v>7.9</c:v>
                </c:pt>
                <c:pt idx="94">
                  <c:v>7.9</c:v>
                </c:pt>
                <c:pt idx="95">
                  <c:v>7.9</c:v>
                </c:pt>
                <c:pt idx="96">
                  <c:v>7.9</c:v>
                </c:pt>
                <c:pt idx="97">
                  <c:v>7.9</c:v>
                </c:pt>
                <c:pt idx="98">
                  <c:v>7.9</c:v>
                </c:pt>
                <c:pt idx="99">
                  <c:v>7.9</c:v>
                </c:pt>
                <c:pt idx="100">
                  <c:v>7.9</c:v>
                </c:pt>
                <c:pt idx="101">
                  <c:v>7.9</c:v>
                </c:pt>
                <c:pt idx="102">
                  <c:v>7.9</c:v>
                </c:pt>
                <c:pt idx="103">
                  <c:v>7.9</c:v>
                </c:pt>
                <c:pt idx="104">
                  <c:v>7.9</c:v>
                </c:pt>
                <c:pt idx="105">
                  <c:v>7.9</c:v>
                </c:pt>
                <c:pt idx="106">
                  <c:v>7.9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7.9</c:v>
                </c:pt>
                <c:pt idx="118">
                  <c:v>7.9</c:v>
                </c:pt>
                <c:pt idx="119">
                  <c:v>7.9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6-4676-9F15-61DEFC7D1835}"/>
            </c:ext>
          </c:extLst>
        </c:ser>
        <c:ser>
          <c:idx val="4"/>
          <c:order val="4"/>
          <c:tx>
            <c:strRef>
              <c:f>案例!$L$6</c:f>
              <c:strCache>
                <c:ptCount val="1"/>
                <c:pt idx="0">
                  <c:v>广东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案例!$L$7:$L$366</c:f>
              <c:numCache>
                <c:formatCode>General</c:formatCode>
                <c:ptCount val="360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7.2</c:v>
                </c:pt>
                <c:pt idx="53">
                  <c:v>7.2</c:v>
                </c:pt>
                <c:pt idx="54">
                  <c:v>7.2</c:v>
                </c:pt>
                <c:pt idx="55">
                  <c:v>7.2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7.2</c:v>
                </c:pt>
                <c:pt idx="60">
                  <c:v>7.2</c:v>
                </c:pt>
                <c:pt idx="61">
                  <c:v>7.2</c:v>
                </c:pt>
                <c:pt idx="62">
                  <c:v>7.2</c:v>
                </c:pt>
                <c:pt idx="63">
                  <c:v>7.2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7.2</c:v>
                </c:pt>
                <c:pt idx="68">
                  <c:v>7.2</c:v>
                </c:pt>
                <c:pt idx="69">
                  <c:v>7.2</c:v>
                </c:pt>
                <c:pt idx="70">
                  <c:v>7.2</c:v>
                </c:pt>
                <c:pt idx="71">
                  <c:v>7.2</c:v>
                </c:pt>
                <c:pt idx="72">
                  <c:v>7.2</c:v>
                </c:pt>
                <c:pt idx="73">
                  <c:v>7.2</c:v>
                </c:pt>
                <c:pt idx="74">
                  <c:v>7.2</c:v>
                </c:pt>
                <c:pt idx="75">
                  <c:v>7.2</c:v>
                </c:pt>
                <c:pt idx="76">
                  <c:v>7.2</c:v>
                </c:pt>
                <c:pt idx="77">
                  <c:v>7.2</c:v>
                </c:pt>
                <c:pt idx="78">
                  <c:v>7.2</c:v>
                </c:pt>
                <c:pt idx="79">
                  <c:v>7.2</c:v>
                </c:pt>
                <c:pt idx="80">
                  <c:v>7.2</c:v>
                </c:pt>
                <c:pt idx="81">
                  <c:v>7.2</c:v>
                </c:pt>
                <c:pt idx="82">
                  <c:v>7.2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7.2</c:v>
                </c:pt>
                <c:pt idx="104">
                  <c:v>7.2</c:v>
                </c:pt>
                <c:pt idx="105">
                  <c:v>7.2</c:v>
                </c:pt>
                <c:pt idx="106">
                  <c:v>7.2</c:v>
                </c:pt>
                <c:pt idx="107">
                  <c:v>7.2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</c:v>
                </c:pt>
                <c:pt idx="113">
                  <c:v>7.2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C6-4676-9F15-61DEFC7D1835}"/>
            </c:ext>
          </c:extLst>
        </c:ser>
        <c:ser>
          <c:idx val="5"/>
          <c:order val="5"/>
          <c:tx>
            <c:strRef>
              <c:f>案例!$M$6</c:f>
              <c:strCache>
                <c:ptCount val="1"/>
                <c:pt idx="0">
                  <c:v>河北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293E4"/>
              </a:solidFill>
              <a:ln w="9525">
                <a:noFill/>
              </a:ln>
              <a:effectLst/>
            </c:spPr>
          </c:marker>
          <c:val>
            <c:numRef>
              <c:f>案例!$M$7:$M$366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10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C6-4676-9F15-61DEFC7D1835}"/>
            </c:ext>
          </c:extLst>
        </c:ser>
        <c:ser>
          <c:idx val="6"/>
          <c:order val="6"/>
          <c:tx>
            <c:strRef>
              <c:f>案例!$N$6</c:f>
              <c:strCache>
                <c:ptCount val="1"/>
                <c:pt idx="0">
                  <c:v>浙江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E71945"/>
              </a:solidFill>
              <a:ln w="9525">
                <a:noFill/>
              </a:ln>
              <a:effectLst/>
            </c:spPr>
          </c:marker>
          <c:val>
            <c:numRef>
              <c:f>案例!$N$7:$N$366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9.3000000000000007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C6-4676-9F15-61DEFC7D1835}"/>
            </c:ext>
          </c:extLst>
        </c:ser>
        <c:ser>
          <c:idx val="7"/>
          <c:order val="7"/>
          <c:tx>
            <c:strRef>
              <c:f>案例!$O$6</c:f>
              <c:strCache>
                <c:ptCount val="1"/>
                <c:pt idx="0">
                  <c:v>江西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案例!$O$7:$O$366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8.6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C6-4676-9F15-61DEFC7D1835}"/>
            </c:ext>
          </c:extLst>
        </c:ser>
        <c:ser>
          <c:idx val="8"/>
          <c:order val="8"/>
          <c:tx>
            <c:strRef>
              <c:f>案例!$P$6</c:f>
              <c:strCache>
                <c:ptCount val="1"/>
                <c:pt idx="0">
                  <c:v>北京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EC234"/>
              </a:solidFill>
              <a:ln w="9525">
                <a:noFill/>
              </a:ln>
              <a:effectLst/>
            </c:spPr>
          </c:marker>
          <c:val>
            <c:numRef>
              <c:f>案例!$P$7:$P$366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7.9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C6-4676-9F15-61DEFC7D1835}"/>
            </c:ext>
          </c:extLst>
        </c:ser>
        <c:ser>
          <c:idx val="9"/>
          <c:order val="9"/>
          <c:tx>
            <c:strRef>
              <c:f>案例!$Q$6</c:f>
              <c:strCache>
                <c:ptCount val="1"/>
                <c:pt idx="0">
                  <c:v>广东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val>
            <c:numRef>
              <c:f>案例!$Q$7:$Q$366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7.2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C6-4676-9F15-61DEFC7D1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19552"/>
        <c:axId val="178061696"/>
      </c:radarChart>
      <c:catAx>
        <c:axId val="1777195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78061696"/>
        <c:crosses val="autoZero"/>
        <c:auto val="1"/>
        <c:lblAlgn val="ctr"/>
        <c:lblOffset val="100"/>
        <c:noMultiLvlLbl val="0"/>
      </c:catAx>
      <c:valAx>
        <c:axId val="178061696"/>
        <c:scaling>
          <c:orientation val="minMax"/>
          <c:max val="10.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7771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240030</xdr:colOff>
      <xdr:row>3</xdr:row>
      <xdr:rowOff>34290</xdr:rowOff>
    </xdr:from>
    <xdr:to>
      <xdr:col>21</xdr:col>
      <xdr:colOff>409575</xdr:colOff>
      <xdr:row>13</xdr:row>
      <xdr:rowOff>85725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526655" y="805815"/>
          <a:ext cx="2703195" cy="2623185"/>
          <a:chOff x="4514850" y="34290"/>
          <a:chExt cx="2983230" cy="263271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4514850" y="34290"/>
          <a:ext cx="2983230" cy="2632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pic>
            <xdr:nvPicPr>
              <xdr:cNvPr id="4" name="图片 3">
                <a:extLs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A$16:$B$20" spid="_x0000_s1029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654577" y="797215"/>
                <a:ext cx="841333" cy="980743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:r="http://schemas.openxmlformats.org/officeDocument/2006/relationships" xmlns=""/>
      </mc:AlternateContent>
    </xdr:grpSp>
    <xdr:clientData/>
  </xdr:twoCellAnchor>
  <xdr:oneCellAnchor>
    <xdr:from>
      <xdr:col>17</xdr:col>
      <xdr:colOff>228600</xdr:colOff>
      <xdr:row>13</xdr:row>
      <xdr:rowOff>161926</xdr:rowOff>
    </xdr:from>
    <xdr:ext cx="2880189" cy="22098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20050" y="3505200"/>
          <a:ext cx="2879725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Q366"/>
  <sheetViews>
    <sheetView showGridLines="0" tabSelected="1" topLeftCell="A19" workbookViewId="0">
      <selection activeCell="U29" sqref="U29"/>
    </sheetView>
  </sheetViews>
  <sheetFormatPr defaultColWidth="8.86328125" defaultRowHeight="20.25" customHeight="1" x14ac:dyDescent="0.35"/>
  <cols>
    <col min="1" max="5" width="7" style="1" customWidth="1"/>
    <col min="6" max="6" width="2.73046875" style="1" customWidth="1"/>
    <col min="7" max="7" width="8.265625" style="1" customWidth="1"/>
    <col min="8" max="17" width="5.59765625" style="2" customWidth="1"/>
    <col min="18" max="16384" width="8.86328125" style="2"/>
  </cols>
  <sheetData>
    <row r="1" spans="1:17" ht="20.25" customHeight="1" x14ac:dyDescent="0.4">
      <c r="B1" s="3"/>
    </row>
    <row r="2" spans="1:17" ht="20.25" customHeight="1" x14ac:dyDescent="0.4">
      <c r="B2" s="3"/>
    </row>
    <row r="4" spans="1:17" ht="20.25" customHeight="1" x14ac:dyDescent="0.35">
      <c r="A4" s="4" t="s">
        <v>0</v>
      </c>
      <c r="B4" s="4" t="s">
        <v>1</v>
      </c>
      <c r="C4" s="4" t="s">
        <v>2</v>
      </c>
      <c r="D4" s="4" t="s">
        <v>0</v>
      </c>
      <c r="E4" s="4" t="s">
        <v>1</v>
      </c>
      <c r="G4" s="4"/>
      <c r="H4" s="4"/>
      <c r="I4" s="4"/>
      <c r="J4" s="4"/>
      <c r="K4" s="4"/>
      <c r="L4" s="4"/>
      <c r="M4" s="4">
        <f t="array" aca="1" ref="M4:Q4" ca="1">INT(TRANSPOSE(E5:E9))</f>
        <v>484</v>
      </c>
      <c r="N4" s="4">
        <f ca="1"/>
        <v>469</v>
      </c>
      <c r="O4" s="4">
        <f ca="1"/>
        <v>187</v>
      </c>
      <c r="P4" s="4">
        <f ca="1"/>
        <v>185</v>
      </c>
      <c r="Q4" s="4">
        <f ca="1"/>
        <v>163</v>
      </c>
    </row>
    <row r="5" spans="1:17" ht="20.25" customHeight="1" x14ac:dyDescent="0.35">
      <c r="A5" s="5" t="s">
        <v>3</v>
      </c>
      <c r="B5" s="6">
        <f t="shared" ref="B5:B9" ca="1" si="0">RANDBETWEEN(100,500)</f>
        <v>163</v>
      </c>
      <c r="C5" s="6">
        <f ca="1">B5+ROW(A1)/10000</f>
        <v>163.0001</v>
      </c>
      <c r="D5" s="6" t="str">
        <f ca="1">INDEX(A$5:A$9,MATCH(E5,C$5:C$9,))</f>
        <v>河北</v>
      </c>
      <c r="E5" s="6">
        <f ca="1">LARGE(C$5:C$9,ROW(A1))</f>
        <v>484.00049999999999</v>
      </c>
      <c r="G5" s="4" t="s">
        <v>4</v>
      </c>
      <c r="H5" s="4">
        <v>10</v>
      </c>
      <c r="I5" s="4">
        <v>9.3000000000000007</v>
      </c>
      <c r="J5" s="4">
        <v>8.6</v>
      </c>
      <c r="K5" s="4">
        <v>7.9</v>
      </c>
      <c r="L5" s="4">
        <v>7.2</v>
      </c>
      <c r="M5" s="4">
        <v>10</v>
      </c>
      <c r="N5" s="4">
        <v>9.3000000000000007</v>
      </c>
      <c r="O5" s="4">
        <v>8.6</v>
      </c>
      <c r="P5" s="4">
        <v>7.9</v>
      </c>
      <c r="Q5" s="4">
        <v>7.2</v>
      </c>
    </row>
    <row r="6" spans="1:17" ht="20.25" customHeight="1" x14ac:dyDescent="0.35">
      <c r="A6" s="5" t="s">
        <v>5</v>
      </c>
      <c r="B6" s="6">
        <f t="shared" ca="1" si="0"/>
        <v>187</v>
      </c>
      <c r="C6" s="6">
        <f t="shared" ref="C6:C9" ca="1" si="1">B6+ROW(A2)/10000</f>
        <v>187.00020000000001</v>
      </c>
      <c r="D6" s="6" t="str">
        <f t="shared" ref="D6:D9" ca="1" si="2">INDEX(A$5:A$9,MATCH(E6,C$5:C$9,))</f>
        <v>浙江</v>
      </c>
      <c r="E6" s="6">
        <f t="shared" ref="E6:E9" ca="1" si="3">LARGE(C$5:C$9,ROW(A2))</f>
        <v>469.00040000000001</v>
      </c>
      <c r="G6" s="4" t="s">
        <v>6</v>
      </c>
      <c r="H6" s="4" t="str">
        <f t="array" aca="1" ref="H6:L6" ca="1">TRANSPOSE(D5:D9)</f>
        <v>河北</v>
      </c>
      <c r="I6" s="4" t="str">
        <f ca="1"/>
        <v>浙江</v>
      </c>
      <c r="J6" s="4" t="str">
        <f ca="1"/>
        <v>江西</v>
      </c>
      <c r="K6" s="4" t="str">
        <f ca="1"/>
        <v>北京</v>
      </c>
      <c r="L6" s="4" t="str">
        <f ca="1"/>
        <v>广东</v>
      </c>
      <c r="M6" s="4" t="str">
        <f t="array" aca="1" ref="M6:Q6" ca="1">TRANSPOSE(D5:D9)</f>
        <v>河北</v>
      </c>
      <c r="N6" s="4" t="str">
        <f ca="1"/>
        <v>浙江</v>
      </c>
      <c r="O6" s="4" t="str">
        <f ca="1"/>
        <v>江西</v>
      </c>
      <c r="P6" s="4" t="str">
        <f ca="1"/>
        <v>北京</v>
      </c>
      <c r="Q6" s="4" t="str">
        <f ca="1"/>
        <v>广东</v>
      </c>
    </row>
    <row r="7" spans="1:17" ht="20.25" customHeight="1" x14ac:dyDescent="0.35">
      <c r="A7" s="5" t="s">
        <v>7</v>
      </c>
      <c r="B7" s="6">
        <f t="shared" ca="1" si="0"/>
        <v>185</v>
      </c>
      <c r="C7" s="6">
        <f t="shared" ca="1" si="1"/>
        <v>185.00030000000001</v>
      </c>
      <c r="D7" s="6" t="str">
        <f t="shared" ca="1" si="2"/>
        <v>江西</v>
      </c>
      <c r="E7" s="6">
        <f t="shared" ca="1" si="3"/>
        <v>187.00020000000001</v>
      </c>
      <c r="G7" s="7">
        <v>1</v>
      </c>
      <c r="H7" s="7">
        <f t="array" aca="1" ref="H7" ca="1">IF(INT(M$4/500*360)&gt;=$G7,H$5,NA())</f>
        <v>10</v>
      </c>
      <c r="I7" s="7">
        <f t="array" aca="1" ref="I7" ca="1">IF(INT(N$4/500*360)&gt;=$G7,I$5,NA())</f>
        <v>9.3000000000000007</v>
      </c>
      <c r="J7" s="7">
        <f t="array" aca="1" ref="J7" ca="1">IF(INT(O$4/500*360)&gt;=$G7,J$5,NA())</f>
        <v>8.6</v>
      </c>
      <c r="K7" s="7">
        <f t="array" aca="1" ref="K7" ca="1">IF(INT(P$4/500*360)&gt;=$G7,K$5,NA())</f>
        <v>7.9</v>
      </c>
      <c r="L7" s="7">
        <f t="array" aca="1" ref="L7" ca="1">IF(INT(Q$4/500*360)&gt;=$G7,L$5,NA())</f>
        <v>7.2</v>
      </c>
      <c r="M7" s="7" t="e">
        <f t="shared" ref="M7:Q16" ca="1" si="4">IF(INT(M$4/500*360)=$G7,M$5,NA())</f>
        <v>#N/A</v>
      </c>
      <c r="N7" s="7" t="e">
        <f t="shared" ca="1" si="4"/>
        <v>#N/A</v>
      </c>
      <c r="O7" s="7" t="e">
        <f t="shared" ca="1" si="4"/>
        <v>#N/A</v>
      </c>
      <c r="P7" s="7" t="e">
        <f t="shared" ca="1" si="4"/>
        <v>#N/A</v>
      </c>
      <c r="Q7" s="7" t="e">
        <f t="shared" ca="1" si="4"/>
        <v>#N/A</v>
      </c>
    </row>
    <row r="8" spans="1:17" ht="20.25" customHeight="1" x14ac:dyDescent="0.35">
      <c r="A8" s="5" t="s">
        <v>8</v>
      </c>
      <c r="B8" s="6">
        <f t="shared" ca="1" si="0"/>
        <v>469</v>
      </c>
      <c r="C8" s="6">
        <f t="shared" ca="1" si="1"/>
        <v>469.00040000000001</v>
      </c>
      <c r="D8" s="6" t="str">
        <f t="shared" ca="1" si="2"/>
        <v>北京</v>
      </c>
      <c r="E8" s="6">
        <f t="shared" ca="1" si="3"/>
        <v>185.00030000000001</v>
      </c>
      <c r="G8" s="7">
        <v>2</v>
      </c>
      <c r="H8" s="7">
        <f t="array" aca="1" ref="H8" ca="1">IF(INT(M$4/500*360)&gt;=$G8,H$5,NA())</f>
        <v>10</v>
      </c>
      <c r="I8" s="7">
        <f t="array" aca="1" ref="I8" ca="1">IF(INT(N$4/500*360)&gt;=$G8,I$5,NA())</f>
        <v>9.3000000000000007</v>
      </c>
      <c r="J8" s="7">
        <f t="array" aca="1" ref="J8" ca="1">IF(INT(O$4/500*360)&gt;=$G8,J$5,NA())</f>
        <v>8.6</v>
      </c>
      <c r="K8" s="7">
        <f t="array" aca="1" ref="K8" ca="1">IF(INT(P$4/500*360)&gt;=$G8,K$5,NA())</f>
        <v>7.9</v>
      </c>
      <c r="L8" s="7">
        <f t="array" aca="1" ref="L8" ca="1">IF(INT(Q$4/500*360)&gt;=$G8,L$5,NA())</f>
        <v>7.2</v>
      </c>
      <c r="M8" s="7" t="e">
        <f t="shared" ca="1" si="4"/>
        <v>#N/A</v>
      </c>
      <c r="N8" s="7" t="e">
        <f t="shared" ca="1" si="4"/>
        <v>#N/A</v>
      </c>
      <c r="O8" s="7" t="e">
        <f t="shared" ca="1" si="4"/>
        <v>#N/A</v>
      </c>
      <c r="P8" s="7" t="e">
        <f t="shared" ca="1" si="4"/>
        <v>#N/A</v>
      </c>
      <c r="Q8" s="7" t="e">
        <f t="shared" ca="1" si="4"/>
        <v>#N/A</v>
      </c>
    </row>
    <row r="9" spans="1:17" ht="20.25" customHeight="1" x14ac:dyDescent="0.35">
      <c r="A9" s="5" t="s">
        <v>9</v>
      </c>
      <c r="B9" s="6">
        <f t="shared" ca="1" si="0"/>
        <v>484</v>
      </c>
      <c r="C9" s="6">
        <f t="shared" ca="1" si="1"/>
        <v>484.00049999999999</v>
      </c>
      <c r="D9" s="6" t="str">
        <f t="shared" ca="1" si="2"/>
        <v>广东</v>
      </c>
      <c r="E9" s="6">
        <f t="shared" ca="1" si="3"/>
        <v>163.0001</v>
      </c>
      <c r="G9" s="7">
        <v>3</v>
      </c>
      <c r="H9" s="7">
        <f t="array" aca="1" ref="H9" ca="1">IF(INT(M$4/500*360)&gt;=$G9,H$5,NA())</f>
        <v>10</v>
      </c>
      <c r="I9" s="7">
        <f t="array" aca="1" ref="I9" ca="1">IF(INT(N$4/500*360)&gt;=$G9,I$5,NA())</f>
        <v>9.3000000000000007</v>
      </c>
      <c r="J9" s="7">
        <f t="array" aca="1" ref="J9" ca="1">IF(INT(O$4/500*360)&gt;=$G9,J$5,NA())</f>
        <v>8.6</v>
      </c>
      <c r="K9" s="7">
        <f t="array" aca="1" ref="K9" ca="1">IF(INT(P$4/500*360)&gt;=$G9,K$5,NA())</f>
        <v>7.9</v>
      </c>
      <c r="L9" s="7">
        <f t="array" aca="1" ref="L9" ca="1">IF(INT(Q$4/500*360)&gt;=$G9,L$5,NA())</f>
        <v>7.2</v>
      </c>
      <c r="M9" s="7" t="e">
        <f t="shared" ca="1" si="4"/>
        <v>#N/A</v>
      </c>
      <c r="N9" s="7" t="e">
        <f t="shared" ca="1" si="4"/>
        <v>#N/A</v>
      </c>
      <c r="O9" s="7" t="e">
        <f t="shared" ca="1" si="4"/>
        <v>#N/A</v>
      </c>
      <c r="P9" s="7" t="e">
        <f t="shared" ca="1" si="4"/>
        <v>#N/A</v>
      </c>
      <c r="Q9" s="7" t="e">
        <f t="shared" ca="1" si="4"/>
        <v>#N/A</v>
      </c>
    </row>
    <row r="10" spans="1:17" ht="20.25" customHeight="1" x14ac:dyDescent="0.35">
      <c r="G10" s="7">
        <v>4</v>
      </c>
      <c r="H10" s="7">
        <f t="array" aca="1" ref="H10" ca="1">IF(INT(M$4/500*360)&gt;=$G10,H$5,NA())</f>
        <v>10</v>
      </c>
      <c r="I10" s="7">
        <f t="array" aca="1" ref="I10" ca="1">IF(INT(N$4/500*360)&gt;=$G10,I$5,NA())</f>
        <v>9.3000000000000007</v>
      </c>
      <c r="J10" s="7">
        <f t="array" aca="1" ref="J10" ca="1">IF(INT(O$4/500*360)&gt;=$G10,J$5,NA())</f>
        <v>8.6</v>
      </c>
      <c r="K10" s="7">
        <f t="array" aca="1" ref="K10" ca="1">IF(INT(P$4/500*360)&gt;=$G10,K$5,NA())</f>
        <v>7.9</v>
      </c>
      <c r="L10" s="7">
        <f t="array" aca="1" ref="L10" ca="1">IF(INT(Q$4/500*360)&gt;=$G10,L$5,NA())</f>
        <v>7.2</v>
      </c>
      <c r="M10" s="7" t="e">
        <f t="shared" ca="1" si="4"/>
        <v>#N/A</v>
      </c>
      <c r="N10" s="7" t="e">
        <f t="shared" ca="1" si="4"/>
        <v>#N/A</v>
      </c>
      <c r="O10" s="7" t="e">
        <f t="shared" ca="1" si="4"/>
        <v>#N/A</v>
      </c>
      <c r="P10" s="7" t="e">
        <f t="shared" ca="1" si="4"/>
        <v>#N/A</v>
      </c>
      <c r="Q10" s="7" t="e">
        <f t="shared" ca="1" si="4"/>
        <v>#N/A</v>
      </c>
    </row>
    <row r="11" spans="1:17" ht="20.25" customHeight="1" x14ac:dyDescent="0.35">
      <c r="G11" s="7">
        <v>5</v>
      </c>
      <c r="H11" s="7">
        <f t="array" aca="1" ref="H11" ca="1">IF(INT(M$4/500*360)&gt;=$G11,H$5,NA())</f>
        <v>10</v>
      </c>
      <c r="I11" s="7">
        <f t="array" aca="1" ref="I11" ca="1">IF(INT(N$4/500*360)&gt;=$G11,I$5,NA())</f>
        <v>9.3000000000000007</v>
      </c>
      <c r="J11" s="7">
        <f t="array" aca="1" ref="J11" ca="1">IF(INT(O$4/500*360)&gt;=$G11,J$5,NA())</f>
        <v>8.6</v>
      </c>
      <c r="K11" s="7">
        <f t="array" aca="1" ref="K11" ca="1">IF(INT(P$4/500*360)&gt;=$G11,K$5,NA())</f>
        <v>7.9</v>
      </c>
      <c r="L11" s="7">
        <f t="array" aca="1" ref="L11" ca="1">IF(INT(Q$4/500*360)&gt;=$G11,L$5,NA())</f>
        <v>7.2</v>
      </c>
      <c r="M11" s="7" t="e">
        <f t="shared" ca="1" si="4"/>
        <v>#N/A</v>
      </c>
      <c r="N11" s="7" t="e">
        <f t="shared" ca="1" si="4"/>
        <v>#N/A</v>
      </c>
      <c r="O11" s="7" t="e">
        <f t="shared" ca="1" si="4"/>
        <v>#N/A</v>
      </c>
      <c r="P11" s="7" t="e">
        <f t="shared" ca="1" si="4"/>
        <v>#N/A</v>
      </c>
      <c r="Q11" s="7" t="e">
        <f t="shared" ca="1" si="4"/>
        <v>#N/A</v>
      </c>
    </row>
    <row r="12" spans="1:17" ht="20.25" customHeight="1" x14ac:dyDescent="0.35">
      <c r="G12" s="7">
        <v>6</v>
      </c>
      <c r="H12" s="7">
        <f t="array" aca="1" ref="H12" ca="1">IF(INT(M$4/500*360)&gt;=$G12,H$5,NA())</f>
        <v>10</v>
      </c>
      <c r="I12" s="7">
        <f t="array" aca="1" ref="I12" ca="1">IF(INT(N$4/500*360)&gt;=$G12,I$5,NA())</f>
        <v>9.3000000000000007</v>
      </c>
      <c r="J12" s="7">
        <f t="array" aca="1" ref="J12" ca="1">IF(INT(O$4/500*360)&gt;=$G12,J$5,NA())</f>
        <v>8.6</v>
      </c>
      <c r="K12" s="7">
        <f t="array" aca="1" ref="K12" ca="1">IF(INT(P$4/500*360)&gt;=$G12,K$5,NA())</f>
        <v>7.9</v>
      </c>
      <c r="L12" s="7">
        <f t="array" aca="1" ref="L12" ca="1">IF(INT(Q$4/500*360)&gt;=$G12,L$5,NA())</f>
        <v>7.2</v>
      </c>
      <c r="M12" s="7" t="e">
        <f t="shared" ca="1" si="4"/>
        <v>#N/A</v>
      </c>
      <c r="N12" s="7" t="e">
        <f t="shared" ca="1" si="4"/>
        <v>#N/A</v>
      </c>
      <c r="O12" s="7" t="e">
        <f t="shared" ca="1" si="4"/>
        <v>#N/A</v>
      </c>
      <c r="P12" s="7" t="e">
        <f t="shared" ca="1" si="4"/>
        <v>#N/A</v>
      </c>
      <c r="Q12" s="7" t="e">
        <f t="shared" ca="1" si="4"/>
        <v>#N/A</v>
      </c>
    </row>
    <row r="13" spans="1:17" ht="20.25" customHeight="1" x14ac:dyDescent="0.35">
      <c r="A13" s="4" t="s">
        <v>10</v>
      </c>
      <c r="B13" s="6">
        <v>360</v>
      </c>
      <c r="G13" s="7">
        <v>7</v>
      </c>
      <c r="H13" s="7">
        <f t="array" aca="1" ref="H13" ca="1">IF(INT(M$4/500*360)&gt;=$G13,H$5,NA())</f>
        <v>10</v>
      </c>
      <c r="I13" s="7">
        <f t="array" aca="1" ref="I13" ca="1">IF(INT(N$4/500*360)&gt;=$G13,I$5,NA())</f>
        <v>9.3000000000000007</v>
      </c>
      <c r="J13" s="7">
        <f t="array" aca="1" ref="J13" ca="1">IF(INT(O$4/500*360)&gt;=$G13,J$5,NA())</f>
        <v>8.6</v>
      </c>
      <c r="K13" s="7">
        <f t="array" aca="1" ref="K13" ca="1">IF(INT(P$4/500*360)&gt;=$G13,K$5,NA())</f>
        <v>7.9</v>
      </c>
      <c r="L13" s="7">
        <f t="array" aca="1" ref="L13" ca="1">IF(INT(Q$4/500*360)&gt;=$G13,L$5,NA())</f>
        <v>7.2</v>
      </c>
      <c r="M13" s="7" t="e">
        <f t="shared" ca="1" si="4"/>
        <v>#N/A</v>
      </c>
      <c r="N13" s="7" t="e">
        <f t="shared" ca="1" si="4"/>
        <v>#N/A</v>
      </c>
      <c r="O13" s="7" t="e">
        <f t="shared" ca="1" si="4"/>
        <v>#N/A</v>
      </c>
      <c r="P13" s="7" t="e">
        <f t="shared" ca="1" si="4"/>
        <v>#N/A</v>
      </c>
      <c r="Q13" s="7" t="e">
        <f t="shared" ca="1" si="4"/>
        <v>#N/A</v>
      </c>
    </row>
    <row r="14" spans="1:17" ht="20.25" customHeight="1" x14ac:dyDescent="0.35">
      <c r="G14" s="7">
        <v>8</v>
      </c>
      <c r="H14" s="7">
        <f t="array" aca="1" ref="H14" ca="1">IF(INT(M$4/500*360)&gt;=$G14,H$5,NA())</f>
        <v>10</v>
      </c>
      <c r="I14" s="7">
        <f t="array" aca="1" ref="I14" ca="1">IF(INT(N$4/500*360)&gt;=$G14,I$5,NA())</f>
        <v>9.3000000000000007</v>
      </c>
      <c r="J14" s="7">
        <f t="array" aca="1" ref="J14" ca="1">IF(INT(O$4/500*360)&gt;=$G14,J$5,NA())</f>
        <v>8.6</v>
      </c>
      <c r="K14" s="7">
        <f t="array" aca="1" ref="K14" ca="1">IF(INT(P$4/500*360)&gt;=$G14,K$5,NA())</f>
        <v>7.9</v>
      </c>
      <c r="L14" s="7">
        <f t="array" aca="1" ref="L14" ca="1">IF(INT(Q$4/500*360)&gt;=$G14,L$5,NA())</f>
        <v>7.2</v>
      </c>
      <c r="M14" s="7" t="e">
        <f t="shared" ca="1" si="4"/>
        <v>#N/A</v>
      </c>
      <c r="N14" s="7" t="e">
        <f t="shared" ca="1" si="4"/>
        <v>#N/A</v>
      </c>
      <c r="O14" s="7" t="e">
        <f t="shared" ca="1" si="4"/>
        <v>#N/A</v>
      </c>
      <c r="P14" s="7" t="e">
        <f t="shared" ca="1" si="4"/>
        <v>#N/A</v>
      </c>
      <c r="Q14" s="7" t="e">
        <f t="shared" ca="1" si="4"/>
        <v>#N/A</v>
      </c>
    </row>
    <row r="15" spans="1:17" ht="20.25" customHeight="1" x14ac:dyDescent="0.35">
      <c r="G15" s="7">
        <v>9</v>
      </c>
      <c r="H15" s="7">
        <f t="array" aca="1" ref="H15" ca="1">IF(INT(M$4/500*360)&gt;=$G15,H$5,NA())</f>
        <v>10</v>
      </c>
      <c r="I15" s="7">
        <f t="array" aca="1" ref="I15" ca="1">IF(INT(N$4/500*360)&gt;=$G15,I$5,NA())</f>
        <v>9.3000000000000007</v>
      </c>
      <c r="J15" s="7">
        <f t="array" aca="1" ref="J15" ca="1">IF(INT(O$4/500*360)&gt;=$G15,J$5,NA())</f>
        <v>8.6</v>
      </c>
      <c r="K15" s="7">
        <f t="array" aca="1" ref="K15" ca="1">IF(INT(P$4/500*360)&gt;=$G15,K$5,NA())</f>
        <v>7.9</v>
      </c>
      <c r="L15" s="7">
        <f t="array" aca="1" ref="L15" ca="1">IF(INT(Q$4/500*360)&gt;=$G15,L$5,NA())</f>
        <v>7.2</v>
      </c>
      <c r="M15" s="7" t="e">
        <f t="shared" ca="1" si="4"/>
        <v>#N/A</v>
      </c>
      <c r="N15" s="7" t="e">
        <f t="shared" ca="1" si="4"/>
        <v>#N/A</v>
      </c>
      <c r="O15" s="7" t="e">
        <f t="shared" ca="1" si="4"/>
        <v>#N/A</v>
      </c>
      <c r="P15" s="7" t="e">
        <f t="shared" ca="1" si="4"/>
        <v>#N/A</v>
      </c>
      <c r="Q15" s="7" t="e">
        <f t="shared" ca="1" si="4"/>
        <v>#N/A</v>
      </c>
    </row>
    <row r="16" spans="1:17" ht="20.25" customHeight="1" x14ac:dyDescent="0.35">
      <c r="A16" s="8" t="str">
        <f t="shared" ref="A16:A20" ca="1" si="5">D5&amp;":"&amp;INT(E5)</f>
        <v>河北:484</v>
      </c>
      <c r="B16" s="9"/>
      <c r="C16" s="9"/>
      <c r="D16" s="9"/>
      <c r="G16" s="7">
        <v>10</v>
      </c>
      <c r="H16" s="7">
        <f t="array" aca="1" ref="H16" ca="1">IF(INT(M$4/500*360)&gt;=$G16,H$5,NA())</f>
        <v>10</v>
      </c>
      <c r="I16" s="7">
        <f t="array" aca="1" ref="I16" ca="1">IF(INT(N$4/500*360)&gt;=$G16,I$5,NA())</f>
        <v>9.3000000000000007</v>
      </c>
      <c r="J16" s="7">
        <f t="array" aca="1" ref="J16" ca="1">IF(INT(O$4/500*360)&gt;=$G16,J$5,NA())</f>
        <v>8.6</v>
      </c>
      <c r="K16" s="7">
        <f t="array" aca="1" ref="K16" ca="1">IF(INT(P$4/500*360)&gt;=$G16,K$5,NA())</f>
        <v>7.9</v>
      </c>
      <c r="L16" s="7">
        <f t="array" aca="1" ref="L16" ca="1">IF(INT(Q$4/500*360)&gt;=$G16,L$5,NA())</f>
        <v>7.2</v>
      </c>
      <c r="M16" s="7" t="e">
        <f t="shared" ca="1" si="4"/>
        <v>#N/A</v>
      </c>
      <c r="N16" s="7" t="e">
        <f t="shared" ca="1" si="4"/>
        <v>#N/A</v>
      </c>
      <c r="O16" s="7" t="e">
        <f t="shared" ca="1" si="4"/>
        <v>#N/A</v>
      </c>
      <c r="P16" s="7" t="e">
        <f t="shared" ca="1" si="4"/>
        <v>#N/A</v>
      </c>
      <c r="Q16" s="7" t="e">
        <f t="shared" ca="1" si="4"/>
        <v>#N/A</v>
      </c>
    </row>
    <row r="17" spans="1:17" ht="20.25" customHeight="1" x14ac:dyDescent="0.35">
      <c r="A17" s="10" t="str">
        <f t="shared" ca="1" si="5"/>
        <v>浙江:469</v>
      </c>
      <c r="B17" s="9"/>
      <c r="C17" s="9"/>
      <c r="D17" s="9"/>
      <c r="G17" s="7">
        <v>11</v>
      </c>
      <c r="H17" s="7">
        <f t="array" aca="1" ref="H17" ca="1">IF(INT(M$4/500*360)&gt;=$G17,H$5,NA())</f>
        <v>10</v>
      </c>
      <c r="I17" s="7">
        <f t="array" aca="1" ref="I17" ca="1">IF(INT(N$4/500*360)&gt;=$G17,I$5,NA())</f>
        <v>9.3000000000000007</v>
      </c>
      <c r="J17" s="7">
        <f t="array" aca="1" ref="J17" ca="1">IF(INT(O$4/500*360)&gt;=$G17,J$5,NA())</f>
        <v>8.6</v>
      </c>
      <c r="K17" s="7">
        <f t="array" aca="1" ref="K17" ca="1">IF(INT(P$4/500*360)&gt;=$G17,K$5,NA())</f>
        <v>7.9</v>
      </c>
      <c r="L17" s="7">
        <f t="array" aca="1" ref="L17" ca="1">IF(INT(Q$4/500*360)&gt;=$G17,L$5,NA())</f>
        <v>7.2</v>
      </c>
      <c r="M17" s="7" t="e">
        <f t="shared" ref="M17:Q26" ca="1" si="6">IF(INT(M$4/500*360)=$G17,M$5,NA())</f>
        <v>#N/A</v>
      </c>
      <c r="N17" s="7" t="e">
        <f t="shared" ca="1" si="6"/>
        <v>#N/A</v>
      </c>
      <c r="O17" s="7" t="e">
        <f t="shared" ca="1" si="6"/>
        <v>#N/A</v>
      </c>
      <c r="P17" s="7" t="e">
        <f t="shared" ca="1" si="6"/>
        <v>#N/A</v>
      </c>
      <c r="Q17" s="7" t="e">
        <f t="shared" ca="1" si="6"/>
        <v>#N/A</v>
      </c>
    </row>
    <row r="18" spans="1:17" ht="20.25" customHeight="1" x14ac:dyDescent="0.35">
      <c r="A18" s="11" t="str">
        <f t="shared" ca="1" si="5"/>
        <v>江西:187</v>
      </c>
      <c r="B18" s="9"/>
      <c r="C18" s="9"/>
      <c r="D18" s="9"/>
      <c r="G18" s="7">
        <v>12</v>
      </c>
      <c r="H18" s="7">
        <f t="array" aca="1" ref="H18" ca="1">IF(INT(M$4/500*360)&gt;=$G18,H$5,NA())</f>
        <v>10</v>
      </c>
      <c r="I18" s="7">
        <f t="array" aca="1" ref="I18" ca="1">IF(INT(N$4/500*360)&gt;=$G18,I$5,NA())</f>
        <v>9.3000000000000007</v>
      </c>
      <c r="J18" s="7">
        <f t="array" aca="1" ref="J18" ca="1">IF(INT(O$4/500*360)&gt;=$G18,J$5,NA())</f>
        <v>8.6</v>
      </c>
      <c r="K18" s="7">
        <f t="array" aca="1" ref="K18" ca="1">IF(INT(P$4/500*360)&gt;=$G18,K$5,NA())</f>
        <v>7.9</v>
      </c>
      <c r="L18" s="7">
        <f t="array" aca="1" ref="L18" ca="1">IF(INT(Q$4/500*360)&gt;=$G18,L$5,NA())</f>
        <v>7.2</v>
      </c>
      <c r="M18" s="7" t="e">
        <f t="shared" ca="1" si="6"/>
        <v>#N/A</v>
      </c>
      <c r="N18" s="7" t="e">
        <f t="shared" ca="1" si="6"/>
        <v>#N/A</v>
      </c>
      <c r="O18" s="7" t="e">
        <f t="shared" ca="1" si="6"/>
        <v>#N/A</v>
      </c>
      <c r="P18" s="7" t="e">
        <f t="shared" ca="1" si="6"/>
        <v>#N/A</v>
      </c>
      <c r="Q18" s="7" t="e">
        <f t="shared" ca="1" si="6"/>
        <v>#N/A</v>
      </c>
    </row>
    <row r="19" spans="1:17" ht="20.25" customHeight="1" x14ac:dyDescent="0.35">
      <c r="A19" s="12" t="str">
        <f t="shared" ca="1" si="5"/>
        <v>北京:185</v>
      </c>
      <c r="B19" s="9"/>
      <c r="C19" s="9"/>
      <c r="D19" s="9"/>
      <c r="G19" s="7">
        <v>13</v>
      </c>
      <c r="H19" s="7">
        <f t="array" aca="1" ref="H19" ca="1">IF(INT(M$4/500*360)&gt;=$G19,H$5,NA())</f>
        <v>10</v>
      </c>
      <c r="I19" s="7">
        <f t="array" aca="1" ref="I19" ca="1">IF(INT(N$4/500*360)&gt;=$G19,I$5,NA())</f>
        <v>9.3000000000000007</v>
      </c>
      <c r="J19" s="7">
        <f t="array" aca="1" ref="J19" ca="1">IF(INT(O$4/500*360)&gt;=$G19,J$5,NA())</f>
        <v>8.6</v>
      </c>
      <c r="K19" s="7">
        <f t="array" aca="1" ref="K19" ca="1">IF(INT(P$4/500*360)&gt;=$G19,K$5,NA())</f>
        <v>7.9</v>
      </c>
      <c r="L19" s="7">
        <f t="array" aca="1" ref="L19" ca="1">IF(INT(Q$4/500*360)&gt;=$G19,L$5,NA())</f>
        <v>7.2</v>
      </c>
      <c r="M19" s="7" t="e">
        <f t="shared" ca="1" si="6"/>
        <v>#N/A</v>
      </c>
      <c r="N19" s="7" t="e">
        <f t="shared" ca="1" si="6"/>
        <v>#N/A</v>
      </c>
      <c r="O19" s="7" t="e">
        <f t="shared" ca="1" si="6"/>
        <v>#N/A</v>
      </c>
      <c r="P19" s="7" t="e">
        <f t="shared" ca="1" si="6"/>
        <v>#N/A</v>
      </c>
      <c r="Q19" s="7" t="e">
        <f t="shared" ca="1" si="6"/>
        <v>#N/A</v>
      </c>
    </row>
    <row r="20" spans="1:17" ht="20.25" customHeight="1" x14ac:dyDescent="0.35">
      <c r="A20" s="13" t="str">
        <f t="shared" ca="1" si="5"/>
        <v>广东:163</v>
      </c>
      <c r="G20" s="7">
        <v>14</v>
      </c>
      <c r="H20" s="7">
        <f t="array" aca="1" ref="H20" ca="1">IF(INT(M$4/500*360)&gt;=$G20,H$5,NA())</f>
        <v>10</v>
      </c>
      <c r="I20" s="7">
        <f t="array" aca="1" ref="I20" ca="1">IF(INT(N$4/500*360)&gt;=$G20,I$5,NA())</f>
        <v>9.3000000000000007</v>
      </c>
      <c r="J20" s="7">
        <f t="array" aca="1" ref="J20" ca="1">IF(INT(O$4/500*360)&gt;=$G20,J$5,NA())</f>
        <v>8.6</v>
      </c>
      <c r="K20" s="7">
        <f t="array" aca="1" ref="K20" ca="1">IF(INT(P$4/500*360)&gt;=$G20,K$5,NA())</f>
        <v>7.9</v>
      </c>
      <c r="L20" s="7">
        <f t="array" aca="1" ref="L20" ca="1">IF(INT(Q$4/500*360)&gt;=$G20,L$5,NA())</f>
        <v>7.2</v>
      </c>
      <c r="M20" s="7" t="e">
        <f t="shared" ca="1" si="6"/>
        <v>#N/A</v>
      </c>
      <c r="N20" s="7" t="e">
        <f t="shared" ca="1" si="6"/>
        <v>#N/A</v>
      </c>
      <c r="O20" s="7" t="e">
        <f t="shared" ca="1" si="6"/>
        <v>#N/A</v>
      </c>
      <c r="P20" s="7" t="e">
        <f t="shared" ca="1" si="6"/>
        <v>#N/A</v>
      </c>
      <c r="Q20" s="7" t="e">
        <f t="shared" ca="1" si="6"/>
        <v>#N/A</v>
      </c>
    </row>
    <row r="21" spans="1:17" ht="20.25" customHeight="1" x14ac:dyDescent="0.35">
      <c r="G21" s="7">
        <v>15</v>
      </c>
      <c r="H21" s="7">
        <f t="array" aca="1" ref="H21" ca="1">IF(INT(M$4/500*360)&gt;=$G21,H$5,NA())</f>
        <v>10</v>
      </c>
      <c r="I21" s="7">
        <f t="array" aca="1" ref="I21" ca="1">IF(INT(N$4/500*360)&gt;=$G21,I$5,NA())</f>
        <v>9.3000000000000007</v>
      </c>
      <c r="J21" s="7">
        <f t="array" aca="1" ref="J21" ca="1">IF(INT(O$4/500*360)&gt;=$G21,J$5,NA())</f>
        <v>8.6</v>
      </c>
      <c r="K21" s="7">
        <f t="array" aca="1" ref="K21" ca="1">IF(INT(P$4/500*360)&gt;=$G21,K$5,NA())</f>
        <v>7.9</v>
      </c>
      <c r="L21" s="7">
        <f t="array" aca="1" ref="L21" ca="1">IF(INT(Q$4/500*360)&gt;=$G21,L$5,NA())</f>
        <v>7.2</v>
      </c>
      <c r="M21" s="7" t="e">
        <f t="shared" ca="1" si="6"/>
        <v>#N/A</v>
      </c>
      <c r="N21" s="7" t="e">
        <f t="shared" ca="1" si="6"/>
        <v>#N/A</v>
      </c>
      <c r="O21" s="7" t="e">
        <f t="shared" ca="1" si="6"/>
        <v>#N/A</v>
      </c>
      <c r="P21" s="7" t="e">
        <f t="shared" ca="1" si="6"/>
        <v>#N/A</v>
      </c>
      <c r="Q21" s="7" t="e">
        <f t="shared" ca="1" si="6"/>
        <v>#N/A</v>
      </c>
    </row>
    <row r="22" spans="1:17" ht="20.25" customHeight="1" x14ac:dyDescent="0.35">
      <c r="A22" s="14" t="s">
        <v>11</v>
      </c>
      <c r="G22" s="7">
        <v>16</v>
      </c>
      <c r="H22" s="7">
        <f t="array" aca="1" ref="H22" ca="1">IF(INT(M$4/500*360)&gt;=$G22,H$5,NA())</f>
        <v>10</v>
      </c>
      <c r="I22" s="7">
        <f t="array" aca="1" ref="I22" ca="1">IF(INT(N$4/500*360)&gt;=$G22,I$5,NA())</f>
        <v>9.3000000000000007</v>
      </c>
      <c r="J22" s="7">
        <f t="array" aca="1" ref="J22" ca="1">IF(INT(O$4/500*360)&gt;=$G22,J$5,NA())</f>
        <v>8.6</v>
      </c>
      <c r="K22" s="7">
        <f t="array" aca="1" ref="K22" ca="1">IF(INT(P$4/500*360)&gt;=$G22,K$5,NA())</f>
        <v>7.9</v>
      </c>
      <c r="L22" s="7">
        <f t="array" aca="1" ref="L22" ca="1">IF(INT(Q$4/500*360)&gt;=$G22,L$5,NA())</f>
        <v>7.2</v>
      </c>
      <c r="M22" s="7" t="e">
        <f t="shared" ca="1" si="6"/>
        <v>#N/A</v>
      </c>
      <c r="N22" s="7" t="e">
        <f t="shared" ca="1" si="6"/>
        <v>#N/A</v>
      </c>
      <c r="O22" s="7" t="e">
        <f t="shared" ca="1" si="6"/>
        <v>#N/A</v>
      </c>
      <c r="P22" s="7" t="e">
        <f t="shared" ca="1" si="6"/>
        <v>#N/A</v>
      </c>
      <c r="Q22" s="7" t="e">
        <f t="shared" ca="1" si="6"/>
        <v>#N/A</v>
      </c>
    </row>
    <row r="23" spans="1:17" ht="20.25" customHeight="1" x14ac:dyDescent="0.35">
      <c r="A23" s="14" t="s">
        <v>12</v>
      </c>
      <c r="G23" s="7">
        <v>17</v>
      </c>
      <c r="H23" s="7">
        <f t="array" aca="1" ref="H23" ca="1">IF(INT(M$4/500*360)&gt;=$G23,H$5,NA())</f>
        <v>10</v>
      </c>
      <c r="I23" s="7">
        <f t="array" aca="1" ref="I23" ca="1">IF(INT(N$4/500*360)&gt;=$G23,I$5,NA())</f>
        <v>9.3000000000000007</v>
      </c>
      <c r="J23" s="7">
        <f t="array" aca="1" ref="J23" ca="1">IF(INT(O$4/500*360)&gt;=$G23,J$5,NA())</f>
        <v>8.6</v>
      </c>
      <c r="K23" s="7">
        <f t="array" aca="1" ref="K23" ca="1">IF(INT(P$4/500*360)&gt;=$G23,K$5,NA())</f>
        <v>7.9</v>
      </c>
      <c r="L23" s="7">
        <f t="array" aca="1" ref="L23" ca="1">IF(INT(Q$4/500*360)&gt;=$G23,L$5,NA())</f>
        <v>7.2</v>
      </c>
      <c r="M23" s="7" t="e">
        <f t="shared" ca="1" si="6"/>
        <v>#N/A</v>
      </c>
      <c r="N23" s="7" t="e">
        <f t="shared" ca="1" si="6"/>
        <v>#N/A</v>
      </c>
      <c r="O23" s="7" t="e">
        <f t="shared" ca="1" si="6"/>
        <v>#N/A</v>
      </c>
      <c r="P23" s="7" t="e">
        <f t="shared" ca="1" si="6"/>
        <v>#N/A</v>
      </c>
      <c r="Q23" s="7" t="e">
        <f t="shared" ca="1" si="6"/>
        <v>#N/A</v>
      </c>
    </row>
    <row r="24" spans="1:17" ht="20.25" customHeight="1" x14ac:dyDescent="0.35">
      <c r="A24" s="14" t="s">
        <v>13</v>
      </c>
      <c r="G24" s="7">
        <v>18</v>
      </c>
      <c r="H24" s="7">
        <f t="array" aca="1" ref="H24" ca="1">IF(INT(M$4/500*360)&gt;=$G24,H$5,NA())</f>
        <v>10</v>
      </c>
      <c r="I24" s="7">
        <f t="array" aca="1" ref="I24" ca="1">IF(INT(N$4/500*360)&gt;=$G24,I$5,NA())</f>
        <v>9.3000000000000007</v>
      </c>
      <c r="J24" s="7">
        <f t="array" aca="1" ref="J24" ca="1">IF(INT(O$4/500*360)&gt;=$G24,J$5,NA())</f>
        <v>8.6</v>
      </c>
      <c r="K24" s="7">
        <f t="array" aca="1" ref="K24" ca="1">IF(INT(P$4/500*360)&gt;=$G24,K$5,NA())</f>
        <v>7.9</v>
      </c>
      <c r="L24" s="7">
        <f t="array" aca="1" ref="L24" ca="1">IF(INT(Q$4/500*360)&gt;=$G24,L$5,NA())</f>
        <v>7.2</v>
      </c>
      <c r="M24" s="7" t="e">
        <f t="shared" ca="1" si="6"/>
        <v>#N/A</v>
      </c>
      <c r="N24" s="7" t="e">
        <f t="shared" ca="1" si="6"/>
        <v>#N/A</v>
      </c>
      <c r="O24" s="7" t="e">
        <f t="shared" ca="1" si="6"/>
        <v>#N/A</v>
      </c>
      <c r="P24" s="7" t="e">
        <f t="shared" ca="1" si="6"/>
        <v>#N/A</v>
      </c>
      <c r="Q24" s="7" t="e">
        <f t="shared" ca="1" si="6"/>
        <v>#N/A</v>
      </c>
    </row>
    <row r="25" spans="1:17" ht="20.25" customHeight="1" x14ac:dyDescent="0.35">
      <c r="G25" s="7">
        <v>19</v>
      </c>
      <c r="H25" s="7">
        <f t="array" aca="1" ref="H25" ca="1">IF(INT(M$4/500*360)&gt;=$G25,H$5,NA())</f>
        <v>10</v>
      </c>
      <c r="I25" s="7">
        <f t="array" aca="1" ref="I25" ca="1">IF(INT(N$4/500*360)&gt;=$G25,I$5,NA())</f>
        <v>9.3000000000000007</v>
      </c>
      <c r="J25" s="7">
        <f t="array" aca="1" ref="J25" ca="1">IF(INT(O$4/500*360)&gt;=$G25,J$5,NA())</f>
        <v>8.6</v>
      </c>
      <c r="K25" s="7">
        <f t="array" aca="1" ref="K25" ca="1">IF(INT(P$4/500*360)&gt;=$G25,K$5,NA())</f>
        <v>7.9</v>
      </c>
      <c r="L25" s="7">
        <f t="array" aca="1" ref="L25" ca="1">IF(INT(Q$4/500*360)&gt;=$G25,L$5,NA())</f>
        <v>7.2</v>
      </c>
      <c r="M25" s="7" t="e">
        <f t="shared" ca="1" si="6"/>
        <v>#N/A</v>
      </c>
      <c r="N25" s="7" t="e">
        <f t="shared" ca="1" si="6"/>
        <v>#N/A</v>
      </c>
      <c r="O25" s="7" t="e">
        <f t="shared" ca="1" si="6"/>
        <v>#N/A</v>
      </c>
      <c r="P25" s="7" t="e">
        <f t="shared" ca="1" si="6"/>
        <v>#N/A</v>
      </c>
      <c r="Q25" s="7" t="e">
        <f t="shared" ca="1" si="6"/>
        <v>#N/A</v>
      </c>
    </row>
    <row r="26" spans="1:17" ht="20.25" customHeight="1" x14ac:dyDescent="0.35">
      <c r="G26" s="7">
        <v>20</v>
      </c>
      <c r="H26" s="7">
        <f t="array" aca="1" ref="H26" ca="1">IF(INT(M$4/500*360)&gt;=$G26,H$5,NA())</f>
        <v>10</v>
      </c>
      <c r="I26" s="7">
        <f t="array" aca="1" ref="I26" ca="1">IF(INT(N$4/500*360)&gt;=$G26,I$5,NA())</f>
        <v>9.3000000000000007</v>
      </c>
      <c r="J26" s="7">
        <f t="array" aca="1" ref="J26" ca="1">IF(INT(O$4/500*360)&gt;=$G26,J$5,NA())</f>
        <v>8.6</v>
      </c>
      <c r="K26" s="7">
        <f t="array" aca="1" ref="K26" ca="1">IF(INT(P$4/500*360)&gt;=$G26,K$5,NA())</f>
        <v>7.9</v>
      </c>
      <c r="L26" s="7">
        <f t="array" aca="1" ref="L26" ca="1">IF(INT(Q$4/500*360)&gt;=$G26,L$5,NA())</f>
        <v>7.2</v>
      </c>
      <c r="M26" s="7" t="e">
        <f t="shared" ca="1" si="6"/>
        <v>#N/A</v>
      </c>
      <c r="N26" s="7" t="e">
        <f t="shared" ca="1" si="6"/>
        <v>#N/A</v>
      </c>
      <c r="O26" s="7" t="e">
        <f t="shared" ca="1" si="6"/>
        <v>#N/A</v>
      </c>
      <c r="P26" s="7" t="e">
        <f t="shared" ca="1" si="6"/>
        <v>#N/A</v>
      </c>
      <c r="Q26" s="7" t="e">
        <f t="shared" ca="1" si="6"/>
        <v>#N/A</v>
      </c>
    </row>
    <row r="27" spans="1:17" ht="20.25" customHeight="1" x14ac:dyDescent="0.35">
      <c r="G27" s="7">
        <v>21</v>
      </c>
      <c r="H27" s="7">
        <f t="array" aca="1" ref="H27" ca="1">IF(INT(M$4/500*360)&gt;=$G27,H$5,NA())</f>
        <v>10</v>
      </c>
      <c r="I27" s="7">
        <f t="array" aca="1" ref="I27" ca="1">IF(INT(N$4/500*360)&gt;=$G27,I$5,NA())</f>
        <v>9.3000000000000007</v>
      </c>
      <c r="J27" s="7">
        <f t="array" aca="1" ref="J27" ca="1">IF(INT(O$4/500*360)&gt;=$G27,J$5,NA())</f>
        <v>8.6</v>
      </c>
      <c r="K27" s="7">
        <f t="array" aca="1" ref="K27" ca="1">IF(INT(P$4/500*360)&gt;=$G27,K$5,NA())</f>
        <v>7.9</v>
      </c>
      <c r="L27" s="7">
        <f t="array" aca="1" ref="L27" ca="1">IF(INT(Q$4/500*360)&gt;=$G27,L$5,NA())</f>
        <v>7.2</v>
      </c>
      <c r="M27" s="7" t="e">
        <f t="shared" ref="M27:Q36" ca="1" si="7">IF(INT(M$4/500*360)=$G27,M$5,NA())</f>
        <v>#N/A</v>
      </c>
      <c r="N27" s="7" t="e">
        <f t="shared" ca="1" si="7"/>
        <v>#N/A</v>
      </c>
      <c r="O27" s="7" t="e">
        <f t="shared" ca="1" si="7"/>
        <v>#N/A</v>
      </c>
      <c r="P27" s="7" t="e">
        <f t="shared" ca="1" si="7"/>
        <v>#N/A</v>
      </c>
      <c r="Q27" s="7" t="e">
        <f t="shared" ca="1" si="7"/>
        <v>#N/A</v>
      </c>
    </row>
    <row r="28" spans="1:17" ht="20.25" customHeight="1" x14ac:dyDescent="0.35">
      <c r="G28" s="7">
        <v>22</v>
      </c>
      <c r="H28" s="7">
        <f t="array" aca="1" ref="H28" ca="1">IF(INT(M$4/500*360)&gt;=$G28,H$5,NA())</f>
        <v>10</v>
      </c>
      <c r="I28" s="7">
        <f t="array" aca="1" ref="I28" ca="1">IF(INT(N$4/500*360)&gt;=$G28,I$5,NA())</f>
        <v>9.3000000000000007</v>
      </c>
      <c r="J28" s="7">
        <f t="array" aca="1" ref="J28" ca="1">IF(INT(O$4/500*360)&gt;=$G28,J$5,NA())</f>
        <v>8.6</v>
      </c>
      <c r="K28" s="7">
        <f t="array" aca="1" ref="K28" ca="1">IF(INT(P$4/500*360)&gt;=$G28,K$5,NA())</f>
        <v>7.9</v>
      </c>
      <c r="L28" s="7">
        <f t="array" aca="1" ref="L28" ca="1">IF(INT(Q$4/500*360)&gt;=$G28,L$5,NA())</f>
        <v>7.2</v>
      </c>
      <c r="M28" s="7" t="e">
        <f t="shared" ca="1" si="7"/>
        <v>#N/A</v>
      </c>
      <c r="N28" s="7" t="e">
        <f t="shared" ca="1" si="7"/>
        <v>#N/A</v>
      </c>
      <c r="O28" s="7" t="e">
        <f t="shared" ca="1" si="7"/>
        <v>#N/A</v>
      </c>
      <c r="P28" s="7" t="e">
        <f t="shared" ca="1" si="7"/>
        <v>#N/A</v>
      </c>
      <c r="Q28" s="7" t="e">
        <f t="shared" ca="1" si="7"/>
        <v>#N/A</v>
      </c>
    </row>
    <row r="29" spans="1:17" ht="20.25" customHeight="1" x14ac:dyDescent="0.35">
      <c r="G29" s="7">
        <v>23</v>
      </c>
      <c r="H29" s="7">
        <f t="array" aca="1" ref="H29" ca="1">IF(INT(M$4/500*360)&gt;=$G29,H$5,NA())</f>
        <v>10</v>
      </c>
      <c r="I29" s="7">
        <f t="array" aca="1" ref="I29" ca="1">IF(INT(N$4/500*360)&gt;=$G29,I$5,NA())</f>
        <v>9.3000000000000007</v>
      </c>
      <c r="J29" s="7">
        <f t="array" aca="1" ref="J29" ca="1">IF(INT(O$4/500*360)&gt;=$G29,J$5,NA())</f>
        <v>8.6</v>
      </c>
      <c r="K29" s="7">
        <f t="array" aca="1" ref="K29" ca="1">IF(INT(P$4/500*360)&gt;=$G29,K$5,NA())</f>
        <v>7.9</v>
      </c>
      <c r="L29" s="7">
        <f t="array" aca="1" ref="L29" ca="1">IF(INT(Q$4/500*360)&gt;=$G29,L$5,NA())</f>
        <v>7.2</v>
      </c>
      <c r="M29" s="7" t="e">
        <f t="shared" ca="1" si="7"/>
        <v>#N/A</v>
      </c>
      <c r="N29" s="7" t="e">
        <f t="shared" ca="1" si="7"/>
        <v>#N/A</v>
      </c>
      <c r="O29" s="7" t="e">
        <f t="shared" ca="1" si="7"/>
        <v>#N/A</v>
      </c>
      <c r="P29" s="7" t="e">
        <f t="shared" ca="1" si="7"/>
        <v>#N/A</v>
      </c>
      <c r="Q29" s="7" t="e">
        <f t="shared" ca="1" si="7"/>
        <v>#N/A</v>
      </c>
    </row>
    <row r="30" spans="1:17" ht="20.25" customHeight="1" x14ac:dyDescent="0.35">
      <c r="G30" s="7">
        <v>24</v>
      </c>
      <c r="H30" s="7">
        <f t="array" aca="1" ref="H30" ca="1">IF(INT(M$4/500*360)&gt;=$G30,H$5,NA())</f>
        <v>10</v>
      </c>
      <c r="I30" s="7">
        <f t="array" aca="1" ref="I30" ca="1">IF(INT(N$4/500*360)&gt;=$G30,I$5,NA())</f>
        <v>9.3000000000000007</v>
      </c>
      <c r="J30" s="7">
        <f t="array" aca="1" ref="J30" ca="1">IF(INT(O$4/500*360)&gt;=$G30,J$5,NA())</f>
        <v>8.6</v>
      </c>
      <c r="K30" s="7">
        <f t="array" aca="1" ref="K30" ca="1">IF(INT(P$4/500*360)&gt;=$G30,K$5,NA())</f>
        <v>7.9</v>
      </c>
      <c r="L30" s="7">
        <f t="array" aca="1" ref="L30" ca="1">IF(INT(Q$4/500*360)&gt;=$G30,L$5,NA())</f>
        <v>7.2</v>
      </c>
      <c r="M30" s="7" t="e">
        <f t="shared" ca="1" si="7"/>
        <v>#N/A</v>
      </c>
      <c r="N30" s="7" t="e">
        <f t="shared" ca="1" si="7"/>
        <v>#N/A</v>
      </c>
      <c r="O30" s="7" t="e">
        <f t="shared" ca="1" si="7"/>
        <v>#N/A</v>
      </c>
      <c r="P30" s="7" t="e">
        <f t="shared" ca="1" si="7"/>
        <v>#N/A</v>
      </c>
      <c r="Q30" s="7" t="e">
        <f t="shared" ca="1" si="7"/>
        <v>#N/A</v>
      </c>
    </row>
    <row r="31" spans="1:17" ht="20.25" customHeight="1" x14ac:dyDescent="0.35">
      <c r="G31" s="7">
        <v>25</v>
      </c>
      <c r="H31" s="7">
        <f t="array" aca="1" ref="H31" ca="1">IF(INT(M$4/500*360)&gt;=$G31,H$5,NA())</f>
        <v>10</v>
      </c>
      <c r="I31" s="7">
        <f t="array" aca="1" ref="I31" ca="1">IF(INT(N$4/500*360)&gt;=$G31,I$5,NA())</f>
        <v>9.3000000000000007</v>
      </c>
      <c r="J31" s="7">
        <f t="array" aca="1" ref="J31" ca="1">IF(INT(O$4/500*360)&gt;=$G31,J$5,NA())</f>
        <v>8.6</v>
      </c>
      <c r="K31" s="7">
        <f t="array" aca="1" ref="K31" ca="1">IF(INT(P$4/500*360)&gt;=$G31,K$5,NA())</f>
        <v>7.9</v>
      </c>
      <c r="L31" s="7">
        <f t="array" aca="1" ref="L31" ca="1">IF(INT(Q$4/500*360)&gt;=$G31,L$5,NA())</f>
        <v>7.2</v>
      </c>
      <c r="M31" s="7" t="e">
        <f t="shared" ca="1" si="7"/>
        <v>#N/A</v>
      </c>
      <c r="N31" s="7" t="e">
        <f t="shared" ca="1" si="7"/>
        <v>#N/A</v>
      </c>
      <c r="O31" s="7" t="e">
        <f t="shared" ca="1" si="7"/>
        <v>#N/A</v>
      </c>
      <c r="P31" s="7" t="e">
        <f t="shared" ca="1" si="7"/>
        <v>#N/A</v>
      </c>
      <c r="Q31" s="7" t="e">
        <f t="shared" ca="1" si="7"/>
        <v>#N/A</v>
      </c>
    </row>
    <row r="32" spans="1:17" ht="20.25" customHeight="1" x14ac:dyDescent="0.35">
      <c r="G32" s="7">
        <v>26</v>
      </c>
      <c r="H32" s="7">
        <f t="array" aca="1" ref="H32" ca="1">IF(INT(M$4/500*360)&gt;=$G32,H$5,NA())</f>
        <v>10</v>
      </c>
      <c r="I32" s="7">
        <f t="array" aca="1" ref="I32" ca="1">IF(INT(N$4/500*360)&gt;=$G32,I$5,NA())</f>
        <v>9.3000000000000007</v>
      </c>
      <c r="J32" s="7">
        <f t="array" aca="1" ref="J32" ca="1">IF(INT(O$4/500*360)&gt;=$G32,J$5,NA())</f>
        <v>8.6</v>
      </c>
      <c r="K32" s="7">
        <f t="array" aca="1" ref="K32" ca="1">IF(INT(P$4/500*360)&gt;=$G32,K$5,NA())</f>
        <v>7.9</v>
      </c>
      <c r="L32" s="7">
        <f t="array" aca="1" ref="L32" ca="1">IF(INT(Q$4/500*360)&gt;=$G32,L$5,NA())</f>
        <v>7.2</v>
      </c>
      <c r="M32" s="7" t="e">
        <f t="shared" ca="1" si="7"/>
        <v>#N/A</v>
      </c>
      <c r="N32" s="7" t="e">
        <f t="shared" ca="1" si="7"/>
        <v>#N/A</v>
      </c>
      <c r="O32" s="7" t="e">
        <f t="shared" ca="1" si="7"/>
        <v>#N/A</v>
      </c>
      <c r="P32" s="7" t="e">
        <f t="shared" ca="1" si="7"/>
        <v>#N/A</v>
      </c>
      <c r="Q32" s="7" t="e">
        <f t="shared" ca="1" si="7"/>
        <v>#N/A</v>
      </c>
    </row>
    <row r="33" spans="7:17" ht="20.25" customHeight="1" x14ac:dyDescent="0.35">
      <c r="G33" s="7">
        <v>27</v>
      </c>
      <c r="H33" s="7">
        <f t="array" aca="1" ref="H33" ca="1">IF(INT(M$4/500*360)&gt;=$G33,H$5,NA())</f>
        <v>10</v>
      </c>
      <c r="I33" s="7">
        <f t="array" aca="1" ref="I33" ca="1">IF(INT(N$4/500*360)&gt;=$G33,I$5,NA())</f>
        <v>9.3000000000000007</v>
      </c>
      <c r="J33" s="7">
        <f t="array" aca="1" ref="J33" ca="1">IF(INT(O$4/500*360)&gt;=$G33,J$5,NA())</f>
        <v>8.6</v>
      </c>
      <c r="K33" s="7">
        <f t="array" aca="1" ref="K33" ca="1">IF(INT(P$4/500*360)&gt;=$G33,K$5,NA())</f>
        <v>7.9</v>
      </c>
      <c r="L33" s="7">
        <f t="array" aca="1" ref="L33" ca="1">IF(INT(Q$4/500*360)&gt;=$G33,L$5,NA())</f>
        <v>7.2</v>
      </c>
      <c r="M33" s="7" t="e">
        <f t="shared" ca="1" si="7"/>
        <v>#N/A</v>
      </c>
      <c r="N33" s="7" t="e">
        <f t="shared" ca="1" si="7"/>
        <v>#N/A</v>
      </c>
      <c r="O33" s="7" t="e">
        <f t="shared" ca="1" si="7"/>
        <v>#N/A</v>
      </c>
      <c r="P33" s="7" t="e">
        <f t="shared" ca="1" si="7"/>
        <v>#N/A</v>
      </c>
      <c r="Q33" s="7" t="e">
        <f t="shared" ca="1" si="7"/>
        <v>#N/A</v>
      </c>
    </row>
    <row r="34" spans="7:17" ht="20.25" customHeight="1" x14ac:dyDescent="0.35">
      <c r="G34" s="7">
        <v>28</v>
      </c>
      <c r="H34" s="7">
        <f t="array" aca="1" ref="H34" ca="1">IF(INT(M$4/500*360)&gt;=$G34,H$5,NA())</f>
        <v>10</v>
      </c>
      <c r="I34" s="7">
        <f t="array" aca="1" ref="I34" ca="1">IF(INT(N$4/500*360)&gt;=$G34,I$5,NA())</f>
        <v>9.3000000000000007</v>
      </c>
      <c r="J34" s="7">
        <f t="array" aca="1" ref="J34" ca="1">IF(INT(O$4/500*360)&gt;=$G34,J$5,NA())</f>
        <v>8.6</v>
      </c>
      <c r="K34" s="7">
        <f t="array" aca="1" ref="K34" ca="1">IF(INT(P$4/500*360)&gt;=$G34,K$5,NA())</f>
        <v>7.9</v>
      </c>
      <c r="L34" s="7">
        <f t="array" aca="1" ref="L34" ca="1">IF(INT(Q$4/500*360)&gt;=$G34,L$5,NA())</f>
        <v>7.2</v>
      </c>
      <c r="M34" s="7" t="e">
        <f t="shared" ca="1" si="7"/>
        <v>#N/A</v>
      </c>
      <c r="N34" s="7" t="e">
        <f t="shared" ca="1" si="7"/>
        <v>#N/A</v>
      </c>
      <c r="O34" s="7" t="e">
        <f t="shared" ca="1" si="7"/>
        <v>#N/A</v>
      </c>
      <c r="P34" s="7" t="e">
        <f t="shared" ca="1" si="7"/>
        <v>#N/A</v>
      </c>
      <c r="Q34" s="7" t="e">
        <f t="shared" ca="1" si="7"/>
        <v>#N/A</v>
      </c>
    </row>
    <row r="35" spans="7:17" ht="20.25" customHeight="1" x14ac:dyDescent="0.35">
      <c r="G35" s="7">
        <v>29</v>
      </c>
      <c r="H35" s="7">
        <f t="array" aca="1" ref="H35" ca="1">IF(INT(M$4/500*360)&gt;=$G35,H$5,NA())</f>
        <v>10</v>
      </c>
      <c r="I35" s="7">
        <f t="array" aca="1" ref="I35" ca="1">IF(INT(N$4/500*360)&gt;=$G35,I$5,NA())</f>
        <v>9.3000000000000007</v>
      </c>
      <c r="J35" s="7">
        <f t="array" aca="1" ref="J35" ca="1">IF(INT(O$4/500*360)&gt;=$G35,J$5,NA())</f>
        <v>8.6</v>
      </c>
      <c r="K35" s="7">
        <f t="array" aca="1" ref="K35" ca="1">IF(INT(P$4/500*360)&gt;=$G35,K$5,NA())</f>
        <v>7.9</v>
      </c>
      <c r="L35" s="7">
        <f t="array" aca="1" ref="L35" ca="1">IF(INT(Q$4/500*360)&gt;=$G35,L$5,NA())</f>
        <v>7.2</v>
      </c>
      <c r="M35" s="7" t="e">
        <f t="shared" ca="1" si="7"/>
        <v>#N/A</v>
      </c>
      <c r="N35" s="7" t="e">
        <f t="shared" ca="1" si="7"/>
        <v>#N/A</v>
      </c>
      <c r="O35" s="7" t="e">
        <f t="shared" ca="1" si="7"/>
        <v>#N/A</v>
      </c>
      <c r="P35" s="7" t="e">
        <f t="shared" ca="1" si="7"/>
        <v>#N/A</v>
      </c>
      <c r="Q35" s="7" t="e">
        <f t="shared" ca="1" si="7"/>
        <v>#N/A</v>
      </c>
    </row>
    <row r="36" spans="7:17" ht="20.25" customHeight="1" x14ac:dyDescent="0.35">
      <c r="G36" s="7">
        <v>30</v>
      </c>
      <c r="H36" s="7">
        <f t="array" aca="1" ref="H36" ca="1">IF(INT(M$4/500*360)&gt;=$G36,H$5,NA())</f>
        <v>10</v>
      </c>
      <c r="I36" s="7">
        <f t="array" aca="1" ref="I36" ca="1">IF(INT(N$4/500*360)&gt;=$G36,I$5,NA())</f>
        <v>9.3000000000000007</v>
      </c>
      <c r="J36" s="7">
        <f t="array" aca="1" ref="J36" ca="1">IF(INT(O$4/500*360)&gt;=$G36,J$5,NA())</f>
        <v>8.6</v>
      </c>
      <c r="K36" s="7">
        <f t="array" aca="1" ref="K36" ca="1">IF(INT(P$4/500*360)&gt;=$G36,K$5,NA())</f>
        <v>7.9</v>
      </c>
      <c r="L36" s="7">
        <f t="array" aca="1" ref="L36" ca="1">IF(INT(Q$4/500*360)&gt;=$G36,L$5,NA())</f>
        <v>7.2</v>
      </c>
      <c r="M36" s="7" t="e">
        <f t="shared" ca="1" si="7"/>
        <v>#N/A</v>
      </c>
      <c r="N36" s="7" t="e">
        <f t="shared" ca="1" si="7"/>
        <v>#N/A</v>
      </c>
      <c r="O36" s="7" t="e">
        <f t="shared" ca="1" si="7"/>
        <v>#N/A</v>
      </c>
      <c r="P36" s="7" t="e">
        <f t="shared" ca="1" si="7"/>
        <v>#N/A</v>
      </c>
      <c r="Q36" s="7" t="e">
        <f t="shared" ca="1" si="7"/>
        <v>#N/A</v>
      </c>
    </row>
    <row r="37" spans="7:17" ht="20.25" customHeight="1" x14ac:dyDescent="0.35">
      <c r="G37" s="7">
        <v>31</v>
      </c>
      <c r="H37" s="7">
        <f t="array" aca="1" ref="H37" ca="1">IF(INT(M$4/500*360)&gt;=$G37,H$5,NA())</f>
        <v>10</v>
      </c>
      <c r="I37" s="7">
        <f t="array" aca="1" ref="I37" ca="1">IF(INT(N$4/500*360)&gt;=$G37,I$5,NA())</f>
        <v>9.3000000000000007</v>
      </c>
      <c r="J37" s="7">
        <f t="array" aca="1" ref="J37" ca="1">IF(INT(O$4/500*360)&gt;=$G37,J$5,NA())</f>
        <v>8.6</v>
      </c>
      <c r="K37" s="7">
        <f t="array" aca="1" ref="K37" ca="1">IF(INT(P$4/500*360)&gt;=$G37,K$5,NA())</f>
        <v>7.9</v>
      </c>
      <c r="L37" s="7">
        <f t="array" aca="1" ref="L37" ca="1">IF(INT(Q$4/500*360)&gt;=$G37,L$5,NA())</f>
        <v>7.2</v>
      </c>
      <c r="M37" s="7" t="e">
        <f t="shared" ref="M37:Q46" ca="1" si="8">IF(INT(M$4/500*360)=$G37,M$5,NA())</f>
        <v>#N/A</v>
      </c>
      <c r="N37" s="7" t="e">
        <f t="shared" ca="1" si="8"/>
        <v>#N/A</v>
      </c>
      <c r="O37" s="7" t="e">
        <f t="shared" ca="1" si="8"/>
        <v>#N/A</v>
      </c>
      <c r="P37" s="7" t="e">
        <f t="shared" ca="1" si="8"/>
        <v>#N/A</v>
      </c>
      <c r="Q37" s="7" t="e">
        <f t="shared" ca="1" si="8"/>
        <v>#N/A</v>
      </c>
    </row>
    <row r="38" spans="7:17" ht="20.25" customHeight="1" x14ac:dyDescent="0.35">
      <c r="G38" s="7">
        <v>32</v>
      </c>
      <c r="H38" s="7">
        <f t="array" aca="1" ref="H38" ca="1">IF(INT(M$4/500*360)&gt;=$G38,H$5,NA())</f>
        <v>10</v>
      </c>
      <c r="I38" s="7">
        <f t="array" aca="1" ref="I38" ca="1">IF(INT(N$4/500*360)&gt;=$G38,I$5,NA())</f>
        <v>9.3000000000000007</v>
      </c>
      <c r="J38" s="7">
        <f t="array" aca="1" ref="J38" ca="1">IF(INT(O$4/500*360)&gt;=$G38,J$5,NA())</f>
        <v>8.6</v>
      </c>
      <c r="K38" s="7">
        <f t="array" aca="1" ref="K38" ca="1">IF(INT(P$4/500*360)&gt;=$G38,K$5,NA())</f>
        <v>7.9</v>
      </c>
      <c r="L38" s="7">
        <f t="array" aca="1" ref="L38" ca="1">IF(INT(Q$4/500*360)&gt;=$G38,L$5,NA())</f>
        <v>7.2</v>
      </c>
      <c r="M38" s="7" t="e">
        <f t="shared" ca="1" si="8"/>
        <v>#N/A</v>
      </c>
      <c r="N38" s="7" t="e">
        <f t="shared" ca="1" si="8"/>
        <v>#N/A</v>
      </c>
      <c r="O38" s="7" t="e">
        <f t="shared" ca="1" si="8"/>
        <v>#N/A</v>
      </c>
      <c r="P38" s="7" t="e">
        <f t="shared" ca="1" si="8"/>
        <v>#N/A</v>
      </c>
      <c r="Q38" s="7" t="e">
        <f t="shared" ca="1" si="8"/>
        <v>#N/A</v>
      </c>
    </row>
    <row r="39" spans="7:17" ht="20.25" customHeight="1" x14ac:dyDescent="0.35">
      <c r="G39" s="7">
        <v>33</v>
      </c>
      <c r="H39" s="7">
        <f t="array" aca="1" ref="H39" ca="1">IF(INT(M$4/500*360)&gt;=$G39,H$5,NA())</f>
        <v>10</v>
      </c>
      <c r="I39" s="7">
        <f t="array" aca="1" ref="I39" ca="1">IF(INT(N$4/500*360)&gt;=$G39,I$5,NA())</f>
        <v>9.3000000000000007</v>
      </c>
      <c r="J39" s="7">
        <f t="array" aca="1" ref="J39" ca="1">IF(INT(O$4/500*360)&gt;=$G39,J$5,NA())</f>
        <v>8.6</v>
      </c>
      <c r="K39" s="7">
        <f t="array" aca="1" ref="K39" ca="1">IF(INT(P$4/500*360)&gt;=$G39,K$5,NA())</f>
        <v>7.9</v>
      </c>
      <c r="L39" s="7">
        <f t="array" aca="1" ref="L39" ca="1">IF(INT(Q$4/500*360)&gt;=$G39,L$5,NA())</f>
        <v>7.2</v>
      </c>
      <c r="M39" s="7" t="e">
        <f t="shared" ca="1" si="8"/>
        <v>#N/A</v>
      </c>
      <c r="N39" s="7" t="e">
        <f t="shared" ca="1" si="8"/>
        <v>#N/A</v>
      </c>
      <c r="O39" s="7" t="e">
        <f t="shared" ca="1" si="8"/>
        <v>#N/A</v>
      </c>
      <c r="P39" s="7" t="e">
        <f t="shared" ca="1" si="8"/>
        <v>#N/A</v>
      </c>
      <c r="Q39" s="7" t="e">
        <f t="shared" ca="1" si="8"/>
        <v>#N/A</v>
      </c>
    </row>
    <row r="40" spans="7:17" ht="20.25" customHeight="1" x14ac:dyDescent="0.35">
      <c r="G40" s="7">
        <v>34</v>
      </c>
      <c r="H40" s="7">
        <f t="array" aca="1" ref="H40" ca="1">IF(INT(M$4/500*360)&gt;=$G40,H$5,NA())</f>
        <v>10</v>
      </c>
      <c r="I40" s="7">
        <f t="array" aca="1" ref="I40" ca="1">IF(INT(N$4/500*360)&gt;=$G40,I$5,NA())</f>
        <v>9.3000000000000007</v>
      </c>
      <c r="J40" s="7">
        <f t="array" aca="1" ref="J40" ca="1">IF(INT(O$4/500*360)&gt;=$G40,J$5,NA())</f>
        <v>8.6</v>
      </c>
      <c r="K40" s="7">
        <f t="array" aca="1" ref="K40" ca="1">IF(INT(P$4/500*360)&gt;=$G40,K$5,NA())</f>
        <v>7.9</v>
      </c>
      <c r="L40" s="7">
        <f t="array" aca="1" ref="L40" ca="1">IF(INT(Q$4/500*360)&gt;=$G40,L$5,NA())</f>
        <v>7.2</v>
      </c>
      <c r="M40" s="7" t="e">
        <f t="shared" ca="1" si="8"/>
        <v>#N/A</v>
      </c>
      <c r="N40" s="7" t="e">
        <f t="shared" ca="1" si="8"/>
        <v>#N/A</v>
      </c>
      <c r="O40" s="7" t="e">
        <f t="shared" ca="1" si="8"/>
        <v>#N/A</v>
      </c>
      <c r="P40" s="7" t="e">
        <f t="shared" ca="1" si="8"/>
        <v>#N/A</v>
      </c>
      <c r="Q40" s="7" t="e">
        <f t="shared" ca="1" si="8"/>
        <v>#N/A</v>
      </c>
    </row>
    <row r="41" spans="7:17" ht="20.25" customHeight="1" x14ac:dyDescent="0.35">
      <c r="G41" s="7">
        <v>35</v>
      </c>
      <c r="H41" s="7">
        <f t="array" aca="1" ref="H41" ca="1">IF(INT(M$4/500*360)&gt;=$G41,H$5,NA())</f>
        <v>10</v>
      </c>
      <c r="I41" s="7">
        <f t="array" aca="1" ref="I41" ca="1">IF(INT(N$4/500*360)&gt;=$G41,I$5,NA())</f>
        <v>9.3000000000000007</v>
      </c>
      <c r="J41" s="7">
        <f t="array" aca="1" ref="J41" ca="1">IF(INT(O$4/500*360)&gt;=$G41,J$5,NA())</f>
        <v>8.6</v>
      </c>
      <c r="K41" s="7">
        <f t="array" aca="1" ref="K41" ca="1">IF(INT(P$4/500*360)&gt;=$G41,K$5,NA())</f>
        <v>7.9</v>
      </c>
      <c r="L41" s="7">
        <f t="array" aca="1" ref="L41" ca="1">IF(INT(Q$4/500*360)&gt;=$G41,L$5,NA())</f>
        <v>7.2</v>
      </c>
      <c r="M41" s="7" t="e">
        <f t="shared" ca="1" si="8"/>
        <v>#N/A</v>
      </c>
      <c r="N41" s="7" t="e">
        <f t="shared" ca="1" si="8"/>
        <v>#N/A</v>
      </c>
      <c r="O41" s="7" t="e">
        <f t="shared" ca="1" si="8"/>
        <v>#N/A</v>
      </c>
      <c r="P41" s="7" t="e">
        <f t="shared" ca="1" si="8"/>
        <v>#N/A</v>
      </c>
      <c r="Q41" s="7" t="e">
        <f t="shared" ca="1" si="8"/>
        <v>#N/A</v>
      </c>
    </row>
    <row r="42" spans="7:17" ht="20.25" customHeight="1" x14ac:dyDescent="0.35">
      <c r="G42" s="7">
        <v>36</v>
      </c>
      <c r="H42" s="7">
        <f t="array" aca="1" ref="H42" ca="1">IF(INT(M$4/500*360)&gt;=$G42,H$5,NA())</f>
        <v>10</v>
      </c>
      <c r="I42" s="7">
        <f t="array" aca="1" ref="I42" ca="1">IF(INT(N$4/500*360)&gt;=$G42,I$5,NA())</f>
        <v>9.3000000000000007</v>
      </c>
      <c r="J42" s="7">
        <f t="array" aca="1" ref="J42" ca="1">IF(INT(O$4/500*360)&gt;=$G42,J$5,NA())</f>
        <v>8.6</v>
      </c>
      <c r="K42" s="7">
        <f t="array" aca="1" ref="K42" ca="1">IF(INT(P$4/500*360)&gt;=$G42,K$5,NA())</f>
        <v>7.9</v>
      </c>
      <c r="L42" s="7">
        <f t="array" aca="1" ref="L42" ca="1">IF(INT(Q$4/500*360)&gt;=$G42,L$5,NA())</f>
        <v>7.2</v>
      </c>
      <c r="M42" s="7" t="e">
        <f t="shared" ca="1" si="8"/>
        <v>#N/A</v>
      </c>
      <c r="N42" s="7" t="e">
        <f t="shared" ca="1" si="8"/>
        <v>#N/A</v>
      </c>
      <c r="O42" s="7" t="e">
        <f t="shared" ca="1" si="8"/>
        <v>#N/A</v>
      </c>
      <c r="P42" s="7" t="e">
        <f t="shared" ca="1" si="8"/>
        <v>#N/A</v>
      </c>
      <c r="Q42" s="7" t="e">
        <f t="shared" ca="1" si="8"/>
        <v>#N/A</v>
      </c>
    </row>
    <row r="43" spans="7:17" ht="20.25" customHeight="1" x14ac:dyDescent="0.35">
      <c r="G43" s="7">
        <v>37</v>
      </c>
      <c r="H43" s="7">
        <f t="array" aca="1" ref="H43" ca="1">IF(INT(M$4/500*360)&gt;=$G43,H$5,NA())</f>
        <v>10</v>
      </c>
      <c r="I43" s="7">
        <f t="array" aca="1" ref="I43" ca="1">IF(INT(N$4/500*360)&gt;=$G43,I$5,NA())</f>
        <v>9.3000000000000007</v>
      </c>
      <c r="J43" s="7">
        <f t="array" aca="1" ref="J43" ca="1">IF(INT(O$4/500*360)&gt;=$G43,J$5,NA())</f>
        <v>8.6</v>
      </c>
      <c r="K43" s="7">
        <f t="array" aca="1" ref="K43" ca="1">IF(INT(P$4/500*360)&gt;=$G43,K$5,NA())</f>
        <v>7.9</v>
      </c>
      <c r="L43" s="7">
        <f t="array" aca="1" ref="L43" ca="1">IF(INT(Q$4/500*360)&gt;=$G43,L$5,NA())</f>
        <v>7.2</v>
      </c>
      <c r="M43" s="7" t="e">
        <f t="shared" ca="1" si="8"/>
        <v>#N/A</v>
      </c>
      <c r="N43" s="7" t="e">
        <f t="shared" ca="1" si="8"/>
        <v>#N/A</v>
      </c>
      <c r="O43" s="7" t="e">
        <f t="shared" ca="1" si="8"/>
        <v>#N/A</v>
      </c>
      <c r="P43" s="7" t="e">
        <f t="shared" ca="1" si="8"/>
        <v>#N/A</v>
      </c>
      <c r="Q43" s="7" t="e">
        <f t="shared" ca="1" si="8"/>
        <v>#N/A</v>
      </c>
    </row>
    <row r="44" spans="7:17" ht="20.25" customHeight="1" x14ac:dyDescent="0.35">
      <c r="G44" s="7">
        <v>38</v>
      </c>
      <c r="H44" s="7">
        <f t="array" aca="1" ref="H44" ca="1">IF(INT(M$4/500*360)&gt;=$G44,H$5,NA())</f>
        <v>10</v>
      </c>
      <c r="I44" s="7">
        <f t="array" aca="1" ref="I44" ca="1">IF(INT(N$4/500*360)&gt;=$G44,I$5,NA())</f>
        <v>9.3000000000000007</v>
      </c>
      <c r="J44" s="7">
        <f t="array" aca="1" ref="J44" ca="1">IF(INT(O$4/500*360)&gt;=$G44,J$5,NA())</f>
        <v>8.6</v>
      </c>
      <c r="K44" s="7">
        <f t="array" aca="1" ref="K44" ca="1">IF(INT(P$4/500*360)&gt;=$G44,K$5,NA())</f>
        <v>7.9</v>
      </c>
      <c r="L44" s="7">
        <f t="array" aca="1" ref="L44" ca="1">IF(INT(Q$4/500*360)&gt;=$G44,L$5,NA())</f>
        <v>7.2</v>
      </c>
      <c r="M44" s="7" t="e">
        <f t="shared" ca="1" si="8"/>
        <v>#N/A</v>
      </c>
      <c r="N44" s="7" t="e">
        <f t="shared" ca="1" si="8"/>
        <v>#N/A</v>
      </c>
      <c r="O44" s="7" t="e">
        <f t="shared" ca="1" si="8"/>
        <v>#N/A</v>
      </c>
      <c r="P44" s="7" t="e">
        <f t="shared" ca="1" si="8"/>
        <v>#N/A</v>
      </c>
      <c r="Q44" s="7" t="e">
        <f t="shared" ca="1" si="8"/>
        <v>#N/A</v>
      </c>
    </row>
    <row r="45" spans="7:17" ht="20.25" customHeight="1" x14ac:dyDescent="0.35">
      <c r="G45" s="7">
        <v>39</v>
      </c>
      <c r="H45" s="7">
        <f t="array" aca="1" ref="H45" ca="1">IF(INT(M$4/500*360)&gt;=$G45,H$5,NA())</f>
        <v>10</v>
      </c>
      <c r="I45" s="7">
        <f t="array" aca="1" ref="I45" ca="1">IF(INT(N$4/500*360)&gt;=$G45,I$5,NA())</f>
        <v>9.3000000000000007</v>
      </c>
      <c r="J45" s="7">
        <f t="array" aca="1" ref="J45" ca="1">IF(INT(O$4/500*360)&gt;=$G45,J$5,NA())</f>
        <v>8.6</v>
      </c>
      <c r="K45" s="7">
        <f t="array" aca="1" ref="K45" ca="1">IF(INT(P$4/500*360)&gt;=$G45,K$5,NA())</f>
        <v>7.9</v>
      </c>
      <c r="L45" s="7">
        <f t="array" aca="1" ref="L45" ca="1">IF(INT(Q$4/500*360)&gt;=$G45,L$5,NA())</f>
        <v>7.2</v>
      </c>
      <c r="M45" s="7" t="e">
        <f t="shared" ca="1" si="8"/>
        <v>#N/A</v>
      </c>
      <c r="N45" s="7" t="e">
        <f t="shared" ca="1" si="8"/>
        <v>#N/A</v>
      </c>
      <c r="O45" s="7" t="e">
        <f t="shared" ca="1" si="8"/>
        <v>#N/A</v>
      </c>
      <c r="P45" s="7" t="e">
        <f t="shared" ca="1" si="8"/>
        <v>#N/A</v>
      </c>
      <c r="Q45" s="7" t="e">
        <f t="shared" ca="1" si="8"/>
        <v>#N/A</v>
      </c>
    </row>
    <row r="46" spans="7:17" ht="20.25" customHeight="1" x14ac:dyDescent="0.35">
      <c r="G46" s="7">
        <v>40</v>
      </c>
      <c r="H46" s="7">
        <f t="array" aca="1" ref="H46" ca="1">IF(INT(M$4/500*360)&gt;=$G46,H$5,NA())</f>
        <v>10</v>
      </c>
      <c r="I46" s="7">
        <f t="array" aca="1" ref="I46" ca="1">IF(INT(N$4/500*360)&gt;=$G46,I$5,NA())</f>
        <v>9.3000000000000007</v>
      </c>
      <c r="J46" s="7">
        <f t="array" aca="1" ref="J46" ca="1">IF(INT(O$4/500*360)&gt;=$G46,J$5,NA())</f>
        <v>8.6</v>
      </c>
      <c r="K46" s="7">
        <f t="array" aca="1" ref="K46" ca="1">IF(INT(P$4/500*360)&gt;=$G46,K$5,NA())</f>
        <v>7.9</v>
      </c>
      <c r="L46" s="7">
        <f t="array" aca="1" ref="L46" ca="1">IF(INT(Q$4/500*360)&gt;=$G46,L$5,NA())</f>
        <v>7.2</v>
      </c>
      <c r="M46" s="7" t="e">
        <f t="shared" ca="1" si="8"/>
        <v>#N/A</v>
      </c>
      <c r="N46" s="7" t="e">
        <f t="shared" ca="1" si="8"/>
        <v>#N/A</v>
      </c>
      <c r="O46" s="7" t="e">
        <f t="shared" ca="1" si="8"/>
        <v>#N/A</v>
      </c>
      <c r="P46" s="7" t="e">
        <f t="shared" ca="1" si="8"/>
        <v>#N/A</v>
      </c>
      <c r="Q46" s="7" t="e">
        <f t="shared" ca="1" si="8"/>
        <v>#N/A</v>
      </c>
    </row>
    <row r="47" spans="7:17" ht="20.25" customHeight="1" x14ac:dyDescent="0.35">
      <c r="G47" s="7">
        <v>41</v>
      </c>
      <c r="H47" s="7">
        <f t="array" aca="1" ref="H47" ca="1">IF(INT(M$4/500*360)&gt;=$G47,H$5,NA())</f>
        <v>10</v>
      </c>
      <c r="I47" s="7">
        <f t="array" aca="1" ref="I47" ca="1">IF(INT(N$4/500*360)&gt;=$G47,I$5,NA())</f>
        <v>9.3000000000000007</v>
      </c>
      <c r="J47" s="7">
        <f t="array" aca="1" ref="J47" ca="1">IF(INT(O$4/500*360)&gt;=$G47,J$5,NA())</f>
        <v>8.6</v>
      </c>
      <c r="K47" s="7">
        <f t="array" aca="1" ref="K47" ca="1">IF(INT(P$4/500*360)&gt;=$G47,K$5,NA())</f>
        <v>7.9</v>
      </c>
      <c r="L47" s="7">
        <f t="array" aca="1" ref="L47" ca="1">IF(INT(Q$4/500*360)&gt;=$G47,L$5,NA())</f>
        <v>7.2</v>
      </c>
      <c r="M47" s="7" t="e">
        <f t="shared" ref="M47:Q56" ca="1" si="9">IF(INT(M$4/500*360)=$G47,M$5,NA())</f>
        <v>#N/A</v>
      </c>
      <c r="N47" s="7" t="e">
        <f t="shared" ca="1" si="9"/>
        <v>#N/A</v>
      </c>
      <c r="O47" s="7" t="e">
        <f t="shared" ca="1" si="9"/>
        <v>#N/A</v>
      </c>
      <c r="P47" s="7" t="e">
        <f t="shared" ca="1" si="9"/>
        <v>#N/A</v>
      </c>
      <c r="Q47" s="7" t="e">
        <f t="shared" ca="1" si="9"/>
        <v>#N/A</v>
      </c>
    </row>
    <row r="48" spans="7:17" ht="20.25" customHeight="1" x14ac:dyDescent="0.35">
      <c r="G48" s="7">
        <v>42</v>
      </c>
      <c r="H48" s="7">
        <f t="array" aca="1" ref="H48" ca="1">IF(INT(M$4/500*360)&gt;=$G48,H$5,NA())</f>
        <v>10</v>
      </c>
      <c r="I48" s="7">
        <f t="array" aca="1" ref="I48" ca="1">IF(INT(N$4/500*360)&gt;=$G48,I$5,NA())</f>
        <v>9.3000000000000007</v>
      </c>
      <c r="J48" s="7">
        <f t="array" aca="1" ref="J48" ca="1">IF(INT(O$4/500*360)&gt;=$G48,J$5,NA())</f>
        <v>8.6</v>
      </c>
      <c r="K48" s="7">
        <f t="array" aca="1" ref="K48" ca="1">IF(INT(P$4/500*360)&gt;=$G48,K$5,NA())</f>
        <v>7.9</v>
      </c>
      <c r="L48" s="7">
        <f t="array" aca="1" ref="L48" ca="1">IF(INT(Q$4/500*360)&gt;=$G48,L$5,NA())</f>
        <v>7.2</v>
      </c>
      <c r="M48" s="7" t="e">
        <f t="shared" ca="1" si="9"/>
        <v>#N/A</v>
      </c>
      <c r="N48" s="7" t="e">
        <f t="shared" ca="1" si="9"/>
        <v>#N/A</v>
      </c>
      <c r="O48" s="7" t="e">
        <f t="shared" ca="1" si="9"/>
        <v>#N/A</v>
      </c>
      <c r="P48" s="7" t="e">
        <f t="shared" ca="1" si="9"/>
        <v>#N/A</v>
      </c>
      <c r="Q48" s="7" t="e">
        <f t="shared" ca="1" si="9"/>
        <v>#N/A</v>
      </c>
    </row>
    <row r="49" spans="7:17" ht="20.25" customHeight="1" x14ac:dyDescent="0.35">
      <c r="G49" s="7">
        <v>43</v>
      </c>
      <c r="H49" s="7">
        <f t="array" aca="1" ref="H49" ca="1">IF(INT(M$4/500*360)&gt;=$G49,H$5,NA())</f>
        <v>10</v>
      </c>
      <c r="I49" s="7">
        <f t="array" aca="1" ref="I49" ca="1">IF(INT(N$4/500*360)&gt;=$G49,I$5,NA())</f>
        <v>9.3000000000000007</v>
      </c>
      <c r="J49" s="7">
        <f t="array" aca="1" ref="J49" ca="1">IF(INT(O$4/500*360)&gt;=$G49,J$5,NA())</f>
        <v>8.6</v>
      </c>
      <c r="K49" s="7">
        <f t="array" aca="1" ref="K49" ca="1">IF(INT(P$4/500*360)&gt;=$G49,K$5,NA())</f>
        <v>7.9</v>
      </c>
      <c r="L49" s="7">
        <f t="array" aca="1" ref="L49" ca="1">IF(INT(Q$4/500*360)&gt;=$G49,L$5,NA())</f>
        <v>7.2</v>
      </c>
      <c r="M49" s="7" t="e">
        <f t="shared" ca="1" si="9"/>
        <v>#N/A</v>
      </c>
      <c r="N49" s="7" t="e">
        <f t="shared" ca="1" si="9"/>
        <v>#N/A</v>
      </c>
      <c r="O49" s="7" t="e">
        <f t="shared" ca="1" si="9"/>
        <v>#N/A</v>
      </c>
      <c r="P49" s="7" t="e">
        <f t="shared" ca="1" si="9"/>
        <v>#N/A</v>
      </c>
      <c r="Q49" s="7" t="e">
        <f t="shared" ca="1" si="9"/>
        <v>#N/A</v>
      </c>
    </row>
    <row r="50" spans="7:17" ht="20.25" customHeight="1" x14ac:dyDescent="0.35">
      <c r="G50" s="7">
        <v>44</v>
      </c>
      <c r="H50" s="7">
        <f t="array" aca="1" ref="H50" ca="1">IF(INT(M$4/500*360)&gt;=$G50,H$5,NA())</f>
        <v>10</v>
      </c>
      <c r="I50" s="7">
        <f t="array" aca="1" ref="I50" ca="1">IF(INT(N$4/500*360)&gt;=$G50,I$5,NA())</f>
        <v>9.3000000000000007</v>
      </c>
      <c r="J50" s="7">
        <f t="array" aca="1" ref="J50" ca="1">IF(INT(O$4/500*360)&gt;=$G50,J$5,NA())</f>
        <v>8.6</v>
      </c>
      <c r="K50" s="7">
        <f t="array" aca="1" ref="K50" ca="1">IF(INT(P$4/500*360)&gt;=$G50,K$5,NA())</f>
        <v>7.9</v>
      </c>
      <c r="L50" s="7">
        <f t="array" aca="1" ref="L50" ca="1">IF(INT(Q$4/500*360)&gt;=$G50,L$5,NA())</f>
        <v>7.2</v>
      </c>
      <c r="M50" s="7" t="e">
        <f t="shared" ca="1" si="9"/>
        <v>#N/A</v>
      </c>
      <c r="N50" s="7" t="e">
        <f t="shared" ca="1" si="9"/>
        <v>#N/A</v>
      </c>
      <c r="O50" s="7" t="e">
        <f t="shared" ca="1" si="9"/>
        <v>#N/A</v>
      </c>
      <c r="P50" s="7" t="e">
        <f t="shared" ca="1" si="9"/>
        <v>#N/A</v>
      </c>
      <c r="Q50" s="7" t="e">
        <f t="shared" ca="1" si="9"/>
        <v>#N/A</v>
      </c>
    </row>
    <row r="51" spans="7:17" ht="20.25" customHeight="1" x14ac:dyDescent="0.35">
      <c r="G51" s="7">
        <v>45</v>
      </c>
      <c r="H51" s="7">
        <f t="array" aca="1" ref="H51" ca="1">IF(INT(M$4/500*360)&gt;=$G51,H$5,NA())</f>
        <v>10</v>
      </c>
      <c r="I51" s="7">
        <f t="array" aca="1" ref="I51" ca="1">IF(INT(N$4/500*360)&gt;=$G51,I$5,NA())</f>
        <v>9.3000000000000007</v>
      </c>
      <c r="J51" s="7">
        <f t="array" aca="1" ref="J51" ca="1">IF(INT(O$4/500*360)&gt;=$G51,J$5,NA())</f>
        <v>8.6</v>
      </c>
      <c r="K51" s="7">
        <f t="array" aca="1" ref="K51" ca="1">IF(INT(P$4/500*360)&gt;=$G51,K$5,NA())</f>
        <v>7.9</v>
      </c>
      <c r="L51" s="7">
        <f t="array" aca="1" ref="L51" ca="1">IF(INT(Q$4/500*360)&gt;=$G51,L$5,NA())</f>
        <v>7.2</v>
      </c>
      <c r="M51" s="7" t="e">
        <f t="shared" ca="1" si="9"/>
        <v>#N/A</v>
      </c>
      <c r="N51" s="7" t="e">
        <f t="shared" ca="1" si="9"/>
        <v>#N/A</v>
      </c>
      <c r="O51" s="7" t="e">
        <f t="shared" ca="1" si="9"/>
        <v>#N/A</v>
      </c>
      <c r="P51" s="7" t="e">
        <f t="shared" ca="1" si="9"/>
        <v>#N/A</v>
      </c>
      <c r="Q51" s="7" t="e">
        <f t="shared" ca="1" si="9"/>
        <v>#N/A</v>
      </c>
    </row>
    <row r="52" spans="7:17" ht="20.25" customHeight="1" x14ac:dyDescent="0.35">
      <c r="G52" s="7">
        <v>46</v>
      </c>
      <c r="H52" s="7">
        <f t="array" aca="1" ref="H52" ca="1">IF(INT(M$4/500*360)&gt;=$G52,H$5,NA())</f>
        <v>10</v>
      </c>
      <c r="I52" s="7">
        <f t="array" aca="1" ref="I52" ca="1">IF(INT(N$4/500*360)&gt;=$G52,I$5,NA())</f>
        <v>9.3000000000000007</v>
      </c>
      <c r="J52" s="7">
        <f t="array" aca="1" ref="J52" ca="1">IF(INT(O$4/500*360)&gt;=$G52,J$5,NA())</f>
        <v>8.6</v>
      </c>
      <c r="K52" s="7">
        <f t="array" aca="1" ref="K52" ca="1">IF(INT(P$4/500*360)&gt;=$G52,K$5,NA())</f>
        <v>7.9</v>
      </c>
      <c r="L52" s="7">
        <f t="array" aca="1" ref="L52" ca="1">IF(INT(Q$4/500*360)&gt;=$G52,L$5,NA())</f>
        <v>7.2</v>
      </c>
      <c r="M52" s="7" t="e">
        <f t="shared" ca="1" si="9"/>
        <v>#N/A</v>
      </c>
      <c r="N52" s="7" t="e">
        <f t="shared" ca="1" si="9"/>
        <v>#N/A</v>
      </c>
      <c r="O52" s="7" t="e">
        <f t="shared" ca="1" si="9"/>
        <v>#N/A</v>
      </c>
      <c r="P52" s="7" t="e">
        <f t="shared" ca="1" si="9"/>
        <v>#N/A</v>
      </c>
      <c r="Q52" s="7" t="e">
        <f t="shared" ca="1" si="9"/>
        <v>#N/A</v>
      </c>
    </row>
    <row r="53" spans="7:17" ht="20.25" customHeight="1" x14ac:dyDescent="0.35">
      <c r="G53" s="7">
        <v>47</v>
      </c>
      <c r="H53" s="7">
        <f t="array" aca="1" ref="H53" ca="1">IF(INT(M$4/500*360)&gt;=$G53,H$5,NA())</f>
        <v>10</v>
      </c>
      <c r="I53" s="7">
        <f t="array" aca="1" ref="I53" ca="1">IF(INT(N$4/500*360)&gt;=$G53,I$5,NA())</f>
        <v>9.3000000000000007</v>
      </c>
      <c r="J53" s="7">
        <f t="array" aca="1" ref="J53" ca="1">IF(INT(O$4/500*360)&gt;=$G53,J$5,NA())</f>
        <v>8.6</v>
      </c>
      <c r="K53" s="7">
        <f t="array" aca="1" ref="K53" ca="1">IF(INT(P$4/500*360)&gt;=$G53,K$5,NA())</f>
        <v>7.9</v>
      </c>
      <c r="L53" s="7">
        <f t="array" aca="1" ref="L53" ca="1">IF(INT(Q$4/500*360)&gt;=$G53,L$5,NA())</f>
        <v>7.2</v>
      </c>
      <c r="M53" s="7" t="e">
        <f t="shared" ca="1" si="9"/>
        <v>#N/A</v>
      </c>
      <c r="N53" s="7" t="e">
        <f t="shared" ca="1" si="9"/>
        <v>#N/A</v>
      </c>
      <c r="O53" s="7" t="e">
        <f t="shared" ca="1" si="9"/>
        <v>#N/A</v>
      </c>
      <c r="P53" s="7" t="e">
        <f t="shared" ca="1" si="9"/>
        <v>#N/A</v>
      </c>
      <c r="Q53" s="7" t="e">
        <f t="shared" ca="1" si="9"/>
        <v>#N/A</v>
      </c>
    </row>
    <row r="54" spans="7:17" ht="20.25" customHeight="1" x14ac:dyDescent="0.35">
      <c r="G54" s="7">
        <v>48</v>
      </c>
      <c r="H54" s="7">
        <f t="array" aca="1" ref="H54" ca="1">IF(INT(M$4/500*360)&gt;=$G54,H$5,NA())</f>
        <v>10</v>
      </c>
      <c r="I54" s="7">
        <f t="array" aca="1" ref="I54" ca="1">IF(INT(N$4/500*360)&gt;=$G54,I$5,NA())</f>
        <v>9.3000000000000007</v>
      </c>
      <c r="J54" s="7">
        <f t="array" aca="1" ref="J54" ca="1">IF(INT(O$4/500*360)&gt;=$G54,J$5,NA())</f>
        <v>8.6</v>
      </c>
      <c r="K54" s="7">
        <f t="array" aca="1" ref="K54" ca="1">IF(INT(P$4/500*360)&gt;=$G54,K$5,NA())</f>
        <v>7.9</v>
      </c>
      <c r="L54" s="7">
        <f t="array" aca="1" ref="L54" ca="1">IF(INT(Q$4/500*360)&gt;=$G54,L$5,NA())</f>
        <v>7.2</v>
      </c>
      <c r="M54" s="7" t="e">
        <f t="shared" ca="1" si="9"/>
        <v>#N/A</v>
      </c>
      <c r="N54" s="7" t="e">
        <f t="shared" ca="1" si="9"/>
        <v>#N/A</v>
      </c>
      <c r="O54" s="7" t="e">
        <f t="shared" ca="1" si="9"/>
        <v>#N/A</v>
      </c>
      <c r="P54" s="7" t="e">
        <f t="shared" ca="1" si="9"/>
        <v>#N/A</v>
      </c>
      <c r="Q54" s="7" t="e">
        <f t="shared" ca="1" si="9"/>
        <v>#N/A</v>
      </c>
    </row>
    <row r="55" spans="7:17" ht="20.25" customHeight="1" x14ac:dyDescent="0.35">
      <c r="G55" s="7">
        <v>49</v>
      </c>
      <c r="H55" s="7">
        <f t="array" aca="1" ref="H55" ca="1">IF(INT(M$4/500*360)&gt;=$G55,H$5,NA())</f>
        <v>10</v>
      </c>
      <c r="I55" s="7">
        <f t="array" aca="1" ref="I55" ca="1">IF(INT(N$4/500*360)&gt;=$G55,I$5,NA())</f>
        <v>9.3000000000000007</v>
      </c>
      <c r="J55" s="7">
        <f t="array" aca="1" ref="J55" ca="1">IF(INT(O$4/500*360)&gt;=$G55,J$5,NA())</f>
        <v>8.6</v>
      </c>
      <c r="K55" s="7">
        <f t="array" aca="1" ref="K55" ca="1">IF(INT(P$4/500*360)&gt;=$G55,K$5,NA())</f>
        <v>7.9</v>
      </c>
      <c r="L55" s="7">
        <f t="array" aca="1" ref="L55" ca="1">IF(INT(Q$4/500*360)&gt;=$G55,L$5,NA())</f>
        <v>7.2</v>
      </c>
      <c r="M55" s="7" t="e">
        <f t="shared" ca="1" si="9"/>
        <v>#N/A</v>
      </c>
      <c r="N55" s="7" t="e">
        <f t="shared" ca="1" si="9"/>
        <v>#N/A</v>
      </c>
      <c r="O55" s="7" t="e">
        <f t="shared" ca="1" si="9"/>
        <v>#N/A</v>
      </c>
      <c r="P55" s="7" t="e">
        <f t="shared" ca="1" si="9"/>
        <v>#N/A</v>
      </c>
      <c r="Q55" s="7" t="e">
        <f t="shared" ca="1" si="9"/>
        <v>#N/A</v>
      </c>
    </row>
    <row r="56" spans="7:17" ht="20.25" customHeight="1" x14ac:dyDescent="0.35">
      <c r="G56" s="7">
        <v>50</v>
      </c>
      <c r="H56" s="7">
        <f t="array" aca="1" ref="H56" ca="1">IF(INT(M$4/500*360)&gt;=$G56,H$5,NA())</f>
        <v>10</v>
      </c>
      <c r="I56" s="7">
        <f t="array" aca="1" ref="I56" ca="1">IF(INT(N$4/500*360)&gt;=$G56,I$5,NA())</f>
        <v>9.3000000000000007</v>
      </c>
      <c r="J56" s="7">
        <f t="array" aca="1" ref="J56" ca="1">IF(INT(O$4/500*360)&gt;=$G56,J$5,NA())</f>
        <v>8.6</v>
      </c>
      <c r="K56" s="7">
        <f t="array" aca="1" ref="K56" ca="1">IF(INT(P$4/500*360)&gt;=$G56,K$5,NA())</f>
        <v>7.9</v>
      </c>
      <c r="L56" s="7">
        <f t="array" aca="1" ref="L56" ca="1">IF(INT(Q$4/500*360)&gt;=$G56,L$5,NA())</f>
        <v>7.2</v>
      </c>
      <c r="M56" s="7" t="e">
        <f t="shared" ca="1" si="9"/>
        <v>#N/A</v>
      </c>
      <c r="N56" s="7" t="e">
        <f t="shared" ca="1" si="9"/>
        <v>#N/A</v>
      </c>
      <c r="O56" s="7" t="e">
        <f t="shared" ca="1" si="9"/>
        <v>#N/A</v>
      </c>
      <c r="P56" s="7" t="e">
        <f t="shared" ca="1" si="9"/>
        <v>#N/A</v>
      </c>
      <c r="Q56" s="7" t="e">
        <f t="shared" ca="1" si="9"/>
        <v>#N/A</v>
      </c>
    </row>
    <row r="57" spans="7:17" ht="20.25" customHeight="1" x14ac:dyDescent="0.35">
      <c r="G57" s="7">
        <v>51</v>
      </c>
      <c r="H57" s="7">
        <f t="array" aca="1" ref="H57" ca="1">IF(INT(M$4/500*360)&gt;=$G57,H$5,NA())</f>
        <v>10</v>
      </c>
      <c r="I57" s="7">
        <f t="array" aca="1" ref="I57" ca="1">IF(INT(N$4/500*360)&gt;=$G57,I$5,NA())</f>
        <v>9.3000000000000007</v>
      </c>
      <c r="J57" s="7">
        <f t="array" aca="1" ref="J57" ca="1">IF(INT(O$4/500*360)&gt;=$G57,J$5,NA())</f>
        <v>8.6</v>
      </c>
      <c r="K57" s="7">
        <f t="array" aca="1" ref="K57" ca="1">IF(INT(P$4/500*360)&gt;=$G57,K$5,NA())</f>
        <v>7.9</v>
      </c>
      <c r="L57" s="7">
        <f t="array" aca="1" ref="L57" ca="1">IF(INT(Q$4/500*360)&gt;=$G57,L$5,NA())</f>
        <v>7.2</v>
      </c>
      <c r="M57" s="7" t="e">
        <f t="shared" ref="M57:Q66" ca="1" si="10">IF(INT(M$4/500*360)=$G57,M$5,NA())</f>
        <v>#N/A</v>
      </c>
      <c r="N57" s="7" t="e">
        <f t="shared" ca="1" si="10"/>
        <v>#N/A</v>
      </c>
      <c r="O57" s="7" t="e">
        <f t="shared" ca="1" si="10"/>
        <v>#N/A</v>
      </c>
      <c r="P57" s="7" t="e">
        <f t="shared" ca="1" si="10"/>
        <v>#N/A</v>
      </c>
      <c r="Q57" s="7" t="e">
        <f t="shared" ca="1" si="10"/>
        <v>#N/A</v>
      </c>
    </row>
    <row r="58" spans="7:17" ht="20.25" customHeight="1" x14ac:dyDescent="0.35">
      <c r="G58" s="7">
        <v>52</v>
      </c>
      <c r="H58" s="7">
        <f t="array" aca="1" ref="H58" ca="1">IF(INT(M$4/500*360)&gt;=$G58,H$5,NA())</f>
        <v>10</v>
      </c>
      <c r="I58" s="7">
        <f t="array" aca="1" ref="I58" ca="1">IF(INT(N$4/500*360)&gt;=$G58,I$5,NA())</f>
        <v>9.3000000000000007</v>
      </c>
      <c r="J58" s="7">
        <f t="array" aca="1" ref="J58" ca="1">IF(INT(O$4/500*360)&gt;=$G58,J$5,NA())</f>
        <v>8.6</v>
      </c>
      <c r="K58" s="7">
        <f t="array" aca="1" ref="K58" ca="1">IF(INT(P$4/500*360)&gt;=$G58,K$5,NA())</f>
        <v>7.9</v>
      </c>
      <c r="L58" s="7">
        <f t="array" aca="1" ref="L58" ca="1">IF(INT(Q$4/500*360)&gt;=$G58,L$5,NA())</f>
        <v>7.2</v>
      </c>
      <c r="M58" s="7" t="e">
        <f t="shared" ca="1" si="10"/>
        <v>#N/A</v>
      </c>
      <c r="N58" s="7" t="e">
        <f t="shared" ca="1" si="10"/>
        <v>#N/A</v>
      </c>
      <c r="O58" s="7" t="e">
        <f t="shared" ca="1" si="10"/>
        <v>#N/A</v>
      </c>
      <c r="P58" s="7" t="e">
        <f t="shared" ca="1" si="10"/>
        <v>#N/A</v>
      </c>
      <c r="Q58" s="7" t="e">
        <f t="shared" ca="1" si="10"/>
        <v>#N/A</v>
      </c>
    </row>
    <row r="59" spans="7:17" ht="20.25" customHeight="1" x14ac:dyDescent="0.35">
      <c r="G59" s="7">
        <v>53</v>
      </c>
      <c r="H59" s="7">
        <f t="array" aca="1" ref="H59" ca="1">IF(INT(M$4/500*360)&gt;=$G59,H$5,NA())</f>
        <v>10</v>
      </c>
      <c r="I59" s="7">
        <f t="array" aca="1" ref="I59" ca="1">IF(INT(N$4/500*360)&gt;=$G59,I$5,NA())</f>
        <v>9.3000000000000007</v>
      </c>
      <c r="J59" s="7">
        <f t="array" aca="1" ref="J59" ca="1">IF(INT(O$4/500*360)&gt;=$G59,J$5,NA())</f>
        <v>8.6</v>
      </c>
      <c r="K59" s="7">
        <f t="array" aca="1" ref="K59" ca="1">IF(INT(P$4/500*360)&gt;=$G59,K$5,NA())</f>
        <v>7.9</v>
      </c>
      <c r="L59" s="7">
        <f t="array" aca="1" ref="L59" ca="1">IF(INT(Q$4/500*360)&gt;=$G59,L$5,NA())</f>
        <v>7.2</v>
      </c>
      <c r="M59" s="7" t="e">
        <f t="shared" ca="1" si="10"/>
        <v>#N/A</v>
      </c>
      <c r="N59" s="7" t="e">
        <f t="shared" ca="1" si="10"/>
        <v>#N/A</v>
      </c>
      <c r="O59" s="7" t="e">
        <f t="shared" ca="1" si="10"/>
        <v>#N/A</v>
      </c>
      <c r="P59" s="7" t="e">
        <f t="shared" ca="1" si="10"/>
        <v>#N/A</v>
      </c>
      <c r="Q59" s="7" t="e">
        <f t="shared" ca="1" si="10"/>
        <v>#N/A</v>
      </c>
    </row>
    <row r="60" spans="7:17" ht="20.25" customHeight="1" x14ac:dyDescent="0.35">
      <c r="G60" s="7">
        <v>54</v>
      </c>
      <c r="H60" s="7">
        <f t="array" aca="1" ref="H60" ca="1">IF(INT(M$4/500*360)&gt;=$G60,H$5,NA())</f>
        <v>10</v>
      </c>
      <c r="I60" s="7">
        <f t="array" aca="1" ref="I60" ca="1">IF(INT(N$4/500*360)&gt;=$G60,I$5,NA())</f>
        <v>9.3000000000000007</v>
      </c>
      <c r="J60" s="7">
        <f t="array" aca="1" ref="J60" ca="1">IF(INT(O$4/500*360)&gt;=$G60,J$5,NA())</f>
        <v>8.6</v>
      </c>
      <c r="K60" s="7">
        <f t="array" aca="1" ref="K60" ca="1">IF(INT(P$4/500*360)&gt;=$G60,K$5,NA())</f>
        <v>7.9</v>
      </c>
      <c r="L60" s="7">
        <f t="array" aca="1" ref="L60" ca="1">IF(INT(Q$4/500*360)&gt;=$G60,L$5,NA())</f>
        <v>7.2</v>
      </c>
      <c r="M60" s="7" t="e">
        <f t="shared" ca="1" si="10"/>
        <v>#N/A</v>
      </c>
      <c r="N60" s="7" t="e">
        <f t="shared" ca="1" si="10"/>
        <v>#N/A</v>
      </c>
      <c r="O60" s="7" t="e">
        <f t="shared" ca="1" si="10"/>
        <v>#N/A</v>
      </c>
      <c r="P60" s="7" t="e">
        <f t="shared" ca="1" si="10"/>
        <v>#N/A</v>
      </c>
      <c r="Q60" s="7" t="e">
        <f t="shared" ca="1" si="10"/>
        <v>#N/A</v>
      </c>
    </row>
    <row r="61" spans="7:17" ht="20.25" customHeight="1" x14ac:dyDescent="0.35">
      <c r="G61" s="7">
        <v>55</v>
      </c>
      <c r="H61" s="7">
        <f t="array" aca="1" ref="H61" ca="1">IF(INT(M$4/500*360)&gt;=$G61,H$5,NA())</f>
        <v>10</v>
      </c>
      <c r="I61" s="7">
        <f t="array" aca="1" ref="I61" ca="1">IF(INT(N$4/500*360)&gt;=$G61,I$5,NA())</f>
        <v>9.3000000000000007</v>
      </c>
      <c r="J61" s="7">
        <f t="array" aca="1" ref="J61" ca="1">IF(INT(O$4/500*360)&gt;=$G61,J$5,NA())</f>
        <v>8.6</v>
      </c>
      <c r="K61" s="7">
        <f t="array" aca="1" ref="K61" ca="1">IF(INT(P$4/500*360)&gt;=$G61,K$5,NA())</f>
        <v>7.9</v>
      </c>
      <c r="L61" s="7">
        <f t="array" aca="1" ref="L61" ca="1">IF(INT(Q$4/500*360)&gt;=$G61,L$5,NA())</f>
        <v>7.2</v>
      </c>
      <c r="M61" s="7" t="e">
        <f t="shared" ca="1" si="10"/>
        <v>#N/A</v>
      </c>
      <c r="N61" s="7" t="e">
        <f t="shared" ca="1" si="10"/>
        <v>#N/A</v>
      </c>
      <c r="O61" s="7" t="e">
        <f t="shared" ca="1" si="10"/>
        <v>#N/A</v>
      </c>
      <c r="P61" s="7" t="e">
        <f t="shared" ca="1" si="10"/>
        <v>#N/A</v>
      </c>
      <c r="Q61" s="7" t="e">
        <f t="shared" ca="1" si="10"/>
        <v>#N/A</v>
      </c>
    </row>
    <row r="62" spans="7:17" ht="20.25" customHeight="1" x14ac:dyDescent="0.35">
      <c r="G62" s="7">
        <v>56</v>
      </c>
      <c r="H62" s="7">
        <f t="array" aca="1" ref="H62" ca="1">IF(INT(M$4/500*360)&gt;=$G62,H$5,NA())</f>
        <v>10</v>
      </c>
      <c r="I62" s="7">
        <f t="array" aca="1" ref="I62" ca="1">IF(INT(N$4/500*360)&gt;=$G62,I$5,NA())</f>
        <v>9.3000000000000007</v>
      </c>
      <c r="J62" s="7">
        <f t="array" aca="1" ref="J62" ca="1">IF(INT(O$4/500*360)&gt;=$G62,J$5,NA())</f>
        <v>8.6</v>
      </c>
      <c r="K62" s="7">
        <f t="array" aca="1" ref="K62" ca="1">IF(INT(P$4/500*360)&gt;=$G62,K$5,NA())</f>
        <v>7.9</v>
      </c>
      <c r="L62" s="7">
        <f t="array" aca="1" ref="L62" ca="1">IF(INT(Q$4/500*360)&gt;=$G62,L$5,NA())</f>
        <v>7.2</v>
      </c>
      <c r="M62" s="7" t="e">
        <f t="shared" ca="1" si="10"/>
        <v>#N/A</v>
      </c>
      <c r="N62" s="7" t="e">
        <f t="shared" ca="1" si="10"/>
        <v>#N/A</v>
      </c>
      <c r="O62" s="7" t="e">
        <f t="shared" ca="1" si="10"/>
        <v>#N/A</v>
      </c>
      <c r="P62" s="7" t="e">
        <f t="shared" ca="1" si="10"/>
        <v>#N/A</v>
      </c>
      <c r="Q62" s="7" t="e">
        <f t="shared" ca="1" si="10"/>
        <v>#N/A</v>
      </c>
    </row>
    <row r="63" spans="7:17" ht="20.25" customHeight="1" x14ac:dyDescent="0.35">
      <c r="G63" s="7">
        <v>57</v>
      </c>
      <c r="H63" s="7">
        <f t="array" aca="1" ref="H63" ca="1">IF(INT(M$4/500*360)&gt;=$G63,H$5,NA())</f>
        <v>10</v>
      </c>
      <c r="I63" s="7">
        <f t="array" aca="1" ref="I63" ca="1">IF(INT(N$4/500*360)&gt;=$G63,I$5,NA())</f>
        <v>9.3000000000000007</v>
      </c>
      <c r="J63" s="7">
        <f t="array" aca="1" ref="J63" ca="1">IF(INT(O$4/500*360)&gt;=$G63,J$5,NA())</f>
        <v>8.6</v>
      </c>
      <c r="K63" s="7">
        <f t="array" aca="1" ref="K63" ca="1">IF(INT(P$4/500*360)&gt;=$G63,K$5,NA())</f>
        <v>7.9</v>
      </c>
      <c r="L63" s="7">
        <f t="array" aca="1" ref="L63" ca="1">IF(INT(Q$4/500*360)&gt;=$G63,L$5,NA())</f>
        <v>7.2</v>
      </c>
      <c r="M63" s="7" t="e">
        <f t="shared" ca="1" si="10"/>
        <v>#N/A</v>
      </c>
      <c r="N63" s="7" t="e">
        <f t="shared" ca="1" si="10"/>
        <v>#N/A</v>
      </c>
      <c r="O63" s="7" t="e">
        <f t="shared" ca="1" si="10"/>
        <v>#N/A</v>
      </c>
      <c r="P63" s="7" t="e">
        <f t="shared" ca="1" si="10"/>
        <v>#N/A</v>
      </c>
      <c r="Q63" s="7" t="e">
        <f t="shared" ca="1" si="10"/>
        <v>#N/A</v>
      </c>
    </row>
    <row r="64" spans="7:17" ht="20.25" customHeight="1" x14ac:dyDescent="0.35">
      <c r="G64" s="7">
        <v>58</v>
      </c>
      <c r="H64" s="7">
        <f t="array" aca="1" ref="H64" ca="1">IF(INT(M$4/500*360)&gt;=$G64,H$5,NA())</f>
        <v>10</v>
      </c>
      <c r="I64" s="7">
        <f t="array" aca="1" ref="I64" ca="1">IF(INT(N$4/500*360)&gt;=$G64,I$5,NA())</f>
        <v>9.3000000000000007</v>
      </c>
      <c r="J64" s="7">
        <f t="array" aca="1" ref="J64" ca="1">IF(INT(O$4/500*360)&gt;=$G64,J$5,NA())</f>
        <v>8.6</v>
      </c>
      <c r="K64" s="7">
        <f t="array" aca="1" ref="K64" ca="1">IF(INT(P$4/500*360)&gt;=$G64,K$5,NA())</f>
        <v>7.9</v>
      </c>
      <c r="L64" s="7">
        <f t="array" aca="1" ref="L64" ca="1">IF(INT(Q$4/500*360)&gt;=$G64,L$5,NA())</f>
        <v>7.2</v>
      </c>
      <c r="M64" s="7" t="e">
        <f t="shared" ca="1" si="10"/>
        <v>#N/A</v>
      </c>
      <c r="N64" s="7" t="e">
        <f t="shared" ca="1" si="10"/>
        <v>#N/A</v>
      </c>
      <c r="O64" s="7" t="e">
        <f t="shared" ca="1" si="10"/>
        <v>#N/A</v>
      </c>
      <c r="P64" s="7" t="e">
        <f t="shared" ca="1" si="10"/>
        <v>#N/A</v>
      </c>
      <c r="Q64" s="7" t="e">
        <f t="shared" ca="1" si="10"/>
        <v>#N/A</v>
      </c>
    </row>
    <row r="65" spans="7:17" ht="20.25" customHeight="1" x14ac:dyDescent="0.35">
      <c r="G65" s="7">
        <v>59</v>
      </c>
      <c r="H65" s="7">
        <f t="array" aca="1" ref="H65" ca="1">IF(INT(M$4/500*360)&gt;=$G65,H$5,NA())</f>
        <v>10</v>
      </c>
      <c r="I65" s="7">
        <f t="array" aca="1" ref="I65" ca="1">IF(INT(N$4/500*360)&gt;=$G65,I$5,NA())</f>
        <v>9.3000000000000007</v>
      </c>
      <c r="J65" s="7">
        <f t="array" aca="1" ref="J65" ca="1">IF(INT(O$4/500*360)&gt;=$G65,J$5,NA())</f>
        <v>8.6</v>
      </c>
      <c r="K65" s="7">
        <f t="array" aca="1" ref="K65" ca="1">IF(INT(P$4/500*360)&gt;=$G65,K$5,NA())</f>
        <v>7.9</v>
      </c>
      <c r="L65" s="7">
        <f t="array" aca="1" ref="L65" ca="1">IF(INT(Q$4/500*360)&gt;=$G65,L$5,NA())</f>
        <v>7.2</v>
      </c>
      <c r="M65" s="7" t="e">
        <f t="shared" ca="1" si="10"/>
        <v>#N/A</v>
      </c>
      <c r="N65" s="7" t="e">
        <f t="shared" ca="1" si="10"/>
        <v>#N/A</v>
      </c>
      <c r="O65" s="7" t="e">
        <f t="shared" ca="1" si="10"/>
        <v>#N/A</v>
      </c>
      <c r="P65" s="7" t="e">
        <f t="shared" ca="1" si="10"/>
        <v>#N/A</v>
      </c>
      <c r="Q65" s="7" t="e">
        <f t="shared" ca="1" si="10"/>
        <v>#N/A</v>
      </c>
    </row>
    <row r="66" spans="7:17" ht="20.25" customHeight="1" x14ac:dyDescent="0.35">
      <c r="G66" s="7">
        <v>60</v>
      </c>
      <c r="H66" s="7">
        <f t="array" aca="1" ref="H66" ca="1">IF(INT(M$4/500*360)&gt;=$G66,H$5,NA())</f>
        <v>10</v>
      </c>
      <c r="I66" s="7">
        <f t="array" aca="1" ref="I66" ca="1">IF(INT(N$4/500*360)&gt;=$G66,I$5,NA())</f>
        <v>9.3000000000000007</v>
      </c>
      <c r="J66" s="7">
        <f t="array" aca="1" ref="J66" ca="1">IF(INT(O$4/500*360)&gt;=$G66,J$5,NA())</f>
        <v>8.6</v>
      </c>
      <c r="K66" s="7">
        <f t="array" aca="1" ref="K66" ca="1">IF(INT(P$4/500*360)&gt;=$G66,K$5,NA())</f>
        <v>7.9</v>
      </c>
      <c r="L66" s="7">
        <f t="array" aca="1" ref="L66" ca="1">IF(INT(Q$4/500*360)&gt;=$G66,L$5,NA())</f>
        <v>7.2</v>
      </c>
      <c r="M66" s="7" t="e">
        <f t="shared" ca="1" si="10"/>
        <v>#N/A</v>
      </c>
      <c r="N66" s="7" t="e">
        <f t="shared" ca="1" si="10"/>
        <v>#N/A</v>
      </c>
      <c r="O66" s="7" t="e">
        <f t="shared" ca="1" si="10"/>
        <v>#N/A</v>
      </c>
      <c r="P66" s="7" t="e">
        <f t="shared" ca="1" si="10"/>
        <v>#N/A</v>
      </c>
      <c r="Q66" s="7" t="e">
        <f t="shared" ca="1" si="10"/>
        <v>#N/A</v>
      </c>
    </row>
    <row r="67" spans="7:17" ht="20.25" customHeight="1" x14ac:dyDescent="0.35">
      <c r="G67" s="7">
        <v>61</v>
      </c>
      <c r="H67" s="7">
        <f t="array" aca="1" ref="H67" ca="1">IF(INT(M$4/500*360)&gt;=$G67,H$5,NA())</f>
        <v>10</v>
      </c>
      <c r="I67" s="7">
        <f t="array" aca="1" ref="I67" ca="1">IF(INT(N$4/500*360)&gt;=$G67,I$5,NA())</f>
        <v>9.3000000000000007</v>
      </c>
      <c r="J67" s="7">
        <f t="array" aca="1" ref="J67" ca="1">IF(INT(O$4/500*360)&gt;=$G67,J$5,NA())</f>
        <v>8.6</v>
      </c>
      <c r="K67" s="7">
        <f t="array" aca="1" ref="K67" ca="1">IF(INT(P$4/500*360)&gt;=$G67,K$5,NA())</f>
        <v>7.9</v>
      </c>
      <c r="L67" s="7">
        <f t="array" aca="1" ref="L67" ca="1">IF(INT(Q$4/500*360)&gt;=$G67,L$5,NA())</f>
        <v>7.2</v>
      </c>
      <c r="M67" s="7" t="e">
        <f t="shared" ref="M67:Q76" ca="1" si="11">IF(INT(M$4/500*360)=$G67,M$5,NA())</f>
        <v>#N/A</v>
      </c>
      <c r="N67" s="7" t="e">
        <f t="shared" ca="1" si="11"/>
        <v>#N/A</v>
      </c>
      <c r="O67" s="7" t="e">
        <f t="shared" ca="1" si="11"/>
        <v>#N/A</v>
      </c>
      <c r="P67" s="7" t="e">
        <f t="shared" ca="1" si="11"/>
        <v>#N/A</v>
      </c>
      <c r="Q67" s="7" t="e">
        <f t="shared" ca="1" si="11"/>
        <v>#N/A</v>
      </c>
    </row>
    <row r="68" spans="7:17" ht="20.25" customHeight="1" x14ac:dyDescent="0.35">
      <c r="G68" s="7">
        <v>62</v>
      </c>
      <c r="H68" s="7">
        <f t="array" aca="1" ref="H68" ca="1">IF(INT(M$4/500*360)&gt;=$G68,H$5,NA())</f>
        <v>10</v>
      </c>
      <c r="I68" s="7">
        <f t="array" aca="1" ref="I68" ca="1">IF(INT(N$4/500*360)&gt;=$G68,I$5,NA())</f>
        <v>9.3000000000000007</v>
      </c>
      <c r="J68" s="7">
        <f t="array" aca="1" ref="J68" ca="1">IF(INT(O$4/500*360)&gt;=$G68,J$5,NA())</f>
        <v>8.6</v>
      </c>
      <c r="K68" s="7">
        <f t="array" aca="1" ref="K68" ca="1">IF(INT(P$4/500*360)&gt;=$G68,K$5,NA())</f>
        <v>7.9</v>
      </c>
      <c r="L68" s="7">
        <f t="array" aca="1" ref="L68" ca="1">IF(INT(Q$4/500*360)&gt;=$G68,L$5,NA())</f>
        <v>7.2</v>
      </c>
      <c r="M68" s="7" t="e">
        <f t="shared" ca="1" si="11"/>
        <v>#N/A</v>
      </c>
      <c r="N68" s="7" t="e">
        <f t="shared" ca="1" si="11"/>
        <v>#N/A</v>
      </c>
      <c r="O68" s="7" t="e">
        <f t="shared" ca="1" si="11"/>
        <v>#N/A</v>
      </c>
      <c r="P68" s="7" t="e">
        <f t="shared" ca="1" si="11"/>
        <v>#N/A</v>
      </c>
      <c r="Q68" s="7" t="e">
        <f t="shared" ca="1" si="11"/>
        <v>#N/A</v>
      </c>
    </row>
    <row r="69" spans="7:17" ht="20.25" customHeight="1" x14ac:dyDescent="0.35">
      <c r="G69" s="7">
        <v>63</v>
      </c>
      <c r="H69" s="7">
        <f t="array" aca="1" ref="H69" ca="1">IF(INT(M$4/500*360)&gt;=$G69,H$5,NA())</f>
        <v>10</v>
      </c>
      <c r="I69" s="7">
        <f t="array" aca="1" ref="I69" ca="1">IF(INT(N$4/500*360)&gt;=$G69,I$5,NA())</f>
        <v>9.3000000000000007</v>
      </c>
      <c r="J69" s="7">
        <f t="array" aca="1" ref="J69" ca="1">IF(INT(O$4/500*360)&gt;=$G69,J$5,NA())</f>
        <v>8.6</v>
      </c>
      <c r="K69" s="7">
        <f t="array" aca="1" ref="K69" ca="1">IF(INT(P$4/500*360)&gt;=$G69,K$5,NA())</f>
        <v>7.9</v>
      </c>
      <c r="L69" s="7">
        <f t="array" aca="1" ref="L69" ca="1">IF(INT(Q$4/500*360)&gt;=$G69,L$5,NA())</f>
        <v>7.2</v>
      </c>
      <c r="M69" s="7" t="e">
        <f t="shared" ca="1" si="11"/>
        <v>#N/A</v>
      </c>
      <c r="N69" s="7" t="e">
        <f t="shared" ca="1" si="11"/>
        <v>#N/A</v>
      </c>
      <c r="O69" s="7" t="e">
        <f t="shared" ca="1" si="11"/>
        <v>#N/A</v>
      </c>
      <c r="P69" s="7" t="e">
        <f t="shared" ca="1" si="11"/>
        <v>#N/A</v>
      </c>
      <c r="Q69" s="7" t="e">
        <f t="shared" ca="1" si="11"/>
        <v>#N/A</v>
      </c>
    </row>
    <row r="70" spans="7:17" ht="20.25" customHeight="1" x14ac:dyDescent="0.35">
      <c r="G70" s="7">
        <v>64</v>
      </c>
      <c r="H70" s="7">
        <f t="array" aca="1" ref="H70" ca="1">IF(INT(M$4/500*360)&gt;=$G70,H$5,NA())</f>
        <v>10</v>
      </c>
      <c r="I70" s="7">
        <f t="array" aca="1" ref="I70" ca="1">IF(INT(N$4/500*360)&gt;=$G70,I$5,NA())</f>
        <v>9.3000000000000007</v>
      </c>
      <c r="J70" s="7">
        <f t="array" aca="1" ref="J70" ca="1">IF(INT(O$4/500*360)&gt;=$G70,J$5,NA())</f>
        <v>8.6</v>
      </c>
      <c r="K70" s="7">
        <f t="array" aca="1" ref="K70" ca="1">IF(INT(P$4/500*360)&gt;=$G70,K$5,NA())</f>
        <v>7.9</v>
      </c>
      <c r="L70" s="7">
        <f t="array" aca="1" ref="L70" ca="1">IF(INT(Q$4/500*360)&gt;=$G70,L$5,NA())</f>
        <v>7.2</v>
      </c>
      <c r="M70" s="7" t="e">
        <f t="shared" ca="1" si="11"/>
        <v>#N/A</v>
      </c>
      <c r="N70" s="7" t="e">
        <f t="shared" ca="1" si="11"/>
        <v>#N/A</v>
      </c>
      <c r="O70" s="7" t="e">
        <f t="shared" ca="1" si="11"/>
        <v>#N/A</v>
      </c>
      <c r="P70" s="7" t="e">
        <f t="shared" ca="1" si="11"/>
        <v>#N/A</v>
      </c>
      <c r="Q70" s="7" t="e">
        <f t="shared" ca="1" si="11"/>
        <v>#N/A</v>
      </c>
    </row>
    <row r="71" spans="7:17" ht="20.25" customHeight="1" x14ac:dyDescent="0.35">
      <c r="G71" s="7">
        <v>65</v>
      </c>
      <c r="H71" s="7">
        <f t="array" aca="1" ref="H71" ca="1">IF(INT(M$4/500*360)&gt;=$G71,H$5,NA())</f>
        <v>10</v>
      </c>
      <c r="I71" s="7">
        <f t="array" aca="1" ref="I71" ca="1">IF(INT(N$4/500*360)&gt;=$G71,I$5,NA())</f>
        <v>9.3000000000000007</v>
      </c>
      <c r="J71" s="7">
        <f t="array" aca="1" ref="J71" ca="1">IF(INT(O$4/500*360)&gt;=$G71,J$5,NA())</f>
        <v>8.6</v>
      </c>
      <c r="K71" s="7">
        <f t="array" aca="1" ref="K71" ca="1">IF(INT(P$4/500*360)&gt;=$G71,K$5,NA())</f>
        <v>7.9</v>
      </c>
      <c r="L71" s="7">
        <f t="array" aca="1" ref="L71" ca="1">IF(INT(Q$4/500*360)&gt;=$G71,L$5,NA())</f>
        <v>7.2</v>
      </c>
      <c r="M71" s="7" t="e">
        <f t="shared" ca="1" si="11"/>
        <v>#N/A</v>
      </c>
      <c r="N71" s="7" t="e">
        <f t="shared" ca="1" si="11"/>
        <v>#N/A</v>
      </c>
      <c r="O71" s="7" t="e">
        <f t="shared" ca="1" si="11"/>
        <v>#N/A</v>
      </c>
      <c r="P71" s="7" t="e">
        <f t="shared" ca="1" si="11"/>
        <v>#N/A</v>
      </c>
      <c r="Q71" s="7" t="e">
        <f t="shared" ca="1" si="11"/>
        <v>#N/A</v>
      </c>
    </row>
    <row r="72" spans="7:17" ht="20.25" customHeight="1" x14ac:dyDescent="0.35">
      <c r="G72" s="7">
        <v>66</v>
      </c>
      <c r="H72" s="7">
        <f t="array" aca="1" ref="H72" ca="1">IF(INT(M$4/500*360)&gt;=$G72,H$5,NA())</f>
        <v>10</v>
      </c>
      <c r="I72" s="7">
        <f t="array" aca="1" ref="I72" ca="1">IF(INT(N$4/500*360)&gt;=$G72,I$5,NA())</f>
        <v>9.3000000000000007</v>
      </c>
      <c r="J72" s="7">
        <f t="array" aca="1" ref="J72" ca="1">IF(INT(O$4/500*360)&gt;=$G72,J$5,NA())</f>
        <v>8.6</v>
      </c>
      <c r="K72" s="7">
        <f t="array" aca="1" ref="K72" ca="1">IF(INT(P$4/500*360)&gt;=$G72,K$5,NA())</f>
        <v>7.9</v>
      </c>
      <c r="L72" s="7">
        <f t="array" aca="1" ref="L72" ca="1">IF(INT(Q$4/500*360)&gt;=$G72,L$5,NA())</f>
        <v>7.2</v>
      </c>
      <c r="M72" s="7" t="e">
        <f t="shared" ca="1" si="11"/>
        <v>#N/A</v>
      </c>
      <c r="N72" s="7" t="e">
        <f t="shared" ca="1" si="11"/>
        <v>#N/A</v>
      </c>
      <c r="O72" s="7" t="e">
        <f t="shared" ca="1" si="11"/>
        <v>#N/A</v>
      </c>
      <c r="P72" s="7" t="e">
        <f t="shared" ca="1" si="11"/>
        <v>#N/A</v>
      </c>
      <c r="Q72" s="7" t="e">
        <f t="shared" ca="1" si="11"/>
        <v>#N/A</v>
      </c>
    </row>
    <row r="73" spans="7:17" ht="20.25" customHeight="1" x14ac:dyDescent="0.35">
      <c r="G73" s="7">
        <v>67</v>
      </c>
      <c r="H73" s="7">
        <f t="array" aca="1" ref="H73" ca="1">IF(INT(M$4/500*360)&gt;=$G73,H$5,NA())</f>
        <v>10</v>
      </c>
      <c r="I73" s="7">
        <f t="array" aca="1" ref="I73" ca="1">IF(INT(N$4/500*360)&gt;=$G73,I$5,NA())</f>
        <v>9.3000000000000007</v>
      </c>
      <c r="J73" s="7">
        <f t="array" aca="1" ref="J73" ca="1">IF(INT(O$4/500*360)&gt;=$G73,J$5,NA())</f>
        <v>8.6</v>
      </c>
      <c r="K73" s="7">
        <f t="array" aca="1" ref="K73" ca="1">IF(INT(P$4/500*360)&gt;=$G73,K$5,NA())</f>
        <v>7.9</v>
      </c>
      <c r="L73" s="7">
        <f t="array" aca="1" ref="L73" ca="1">IF(INT(Q$4/500*360)&gt;=$G73,L$5,NA())</f>
        <v>7.2</v>
      </c>
      <c r="M73" s="7" t="e">
        <f t="shared" ca="1" si="11"/>
        <v>#N/A</v>
      </c>
      <c r="N73" s="7" t="e">
        <f t="shared" ca="1" si="11"/>
        <v>#N/A</v>
      </c>
      <c r="O73" s="7" t="e">
        <f t="shared" ca="1" si="11"/>
        <v>#N/A</v>
      </c>
      <c r="P73" s="7" t="e">
        <f t="shared" ca="1" si="11"/>
        <v>#N/A</v>
      </c>
      <c r="Q73" s="7" t="e">
        <f t="shared" ca="1" si="11"/>
        <v>#N/A</v>
      </c>
    </row>
    <row r="74" spans="7:17" ht="20.25" customHeight="1" x14ac:dyDescent="0.35">
      <c r="G74" s="7">
        <v>68</v>
      </c>
      <c r="H74" s="7">
        <f t="array" aca="1" ref="H74" ca="1">IF(INT(M$4/500*360)&gt;=$G74,H$5,NA())</f>
        <v>10</v>
      </c>
      <c r="I74" s="7">
        <f t="array" aca="1" ref="I74" ca="1">IF(INT(N$4/500*360)&gt;=$G74,I$5,NA())</f>
        <v>9.3000000000000007</v>
      </c>
      <c r="J74" s="7">
        <f t="array" aca="1" ref="J74" ca="1">IF(INT(O$4/500*360)&gt;=$G74,J$5,NA())</f>
        <v>8.6</v>
      </c>
      <c r="K74" s="7">
        <f t="array" aca="1" ref="K74" ca="1">IF(INT(P$4/500*360)&gt;=$G74,K$5,NA())</f>
        <v>7.9</v>
      </c>
      <c r="L74" s="7">
        <f t="array" aca="1" ref="L74" ca="1">IF(INT(Q$4/500*360)&gt;=$G74,L$5,NA())</f>
        <v>7.2</v>
      </c>
      <c r="M74" s="7" t="e">
        <f t="shared" ca="1" si="11"/>
        <v>#N/A</v>
      </c>
      <c r="N74" s="7" t="e">
        <f t="shared" ca="1" si="11"/>
        <v>#N/A</v>
      </c>
      <c r="O74" s="7" t="e">
        <f t="shared" ca="1" si="11"/>
        <v>#N/A</v>
      </c>
      <c r="P74" s="7" t="e">
        <f t="shared" ca="1" si="11"/>
        <v>#N/A</v>
      </c>
      <c r="Q74" s="7" t="e">
        <f t="shared" ca="1" si="11"/>
        <v>#N/A</v>
      </c>
    </row>
    <row r="75" spans="7:17" ht="20.25" customHeight="1" x14ac:dyDescent="0.35">
      <c r="G75" s="7">
        <v>69</v>
      </c>
      <c r="H75" s="7">
        <f t="array" aca="1" ref="H75" ca="1">IF(INT(M$4/500*360)&gt;=$G75,H$5,NA())</f>
        <v>10</v>
      </c>
      <c r="I75" s="7">
        <f t="array" aca="1" ref="I75" ca="1">IF(INT(N$4/500*360)&gt;=$G75,I$5,NA())</f>
        <v>9.3000000000000007</v>
      </c>
      <c r="J75" s="7">
        <f t="array" aca="1" ref="J75" ca="1">IF(INT(O$4/500*360)&gt;=$G75,J$5,NA())</f>
        <v>8.6</v>
      </c>
      <c r="K75" s="7">
        <f t="array" aca="1" ref="K75" ca="1">IF(INT(P$4/500*360)&gt;=$G75,K$5,NA())</f>
        <v>7.9</v>
      </c>
      <c r="L75" s="7">
        <f t="array" aca="1" ref="L75" ca="1">IF(INT(Q$4/500*360)&gt;=$G75,L$5,NA())</f>
        <v>7.2</v>
      </c>
      <c r="M75" s="7" t="e">
        <f t="shared" ca="1" si="11"/>
        <v>#N/A</v>
      </c>
      <c r="N75" s="7" t="e">
        <f t="shared" ca="1" si="11"/>
        <v>#N/A</v>
      </c>
      <c r="O75" s="7" t="e">
        <f t="shared" ca="1" si="11"/>
        <v>#N/A</v>
      </c>
      <c r="P75" s="7" t="e">
        <f t="shared" ca="1" si="11"/>
        <v>#N/A</v>
      </c>
      <c r="Q75" s="7" t="e">
        <f t="shared" ca="1" si="11"/>
        <v>#N/A</v>
      </c>
    </row>
    <row r="76" spans="7:17" ht="20.25" customHeight="1" x14ac:dyDescent="0.35">
      <c r="G76" s="7">
        <v>70</v>
      </c>
      <c r="H76" s="7">
        <f t="array" aca="1" ref="H76" ca="1">IF(INT(M$4/500*360)&gt;=$G76,H$5,NA())</f>
        <v>10</v>
      </c>
      <c r="I76" s="7">
        <f t="array" aca="1" ref="I76" ca="1">IF(INT(N$4/500*360)&gt;=$G76,I$5,NA())</f>
        <v>9.3000000000000007</v>
      </c>
      <c r="J76" s="7">
        <f t="array" aca="1" ref="J76" ca="1">IF(INT(O$4/500*360)&gt;=$G76,J$5,NA())</f>
        <v>8.6</v>
      </c>
      <c r="K76" s="7">
        <f t="array" aca="1" ref="K76" ca="1">IF(INT(P$4/500*360)&gt;=$G76,K$5,NA())</f>
        <v>7.9</v>
      </c>
      <c r="L76" s="7">
        <f t="array" aca="1" ref="L76" ca="1">IF(INT(Q$4/500*360)&gt;=$G76,L$5,NA())</f>
        <v>7.2</v>
      </c>
      <c r="M76" s="7" t="e">
        <f t="shared" ca="1" si="11"/>
        <v>#N/A</v>
      </c>
      <c r="N76" s="7" t="e">
        <f t="shared" ca="1" si="11"/>
        <v>#N/A</v>
      </c>
      <c r="O76" s="7" t="e">
        <f t="shared" ca="1" si="11"/>
        <v>#N/A</v>
      </c>
      <c r="P76" s="7" t="e">
        <f t="shared" ca="1" si="11"/>
        <v>#N/A</v>
      </c>
      <c r="Q76" s="7" t="e">
        <f t="shared" ca="1" si="11"/>
        <v>#N/A</v>
      </c>
    </row>
    <row r="77" spans="7:17" ht="20.25" customHeight="1" x14ac:dyDescent="0.35">
      <c r="G77" s="7">
        <v>71</v>
      </c>
      <c r="H77" s="7">
        <f t="array" aca="1" ref="H77" ca="1">IF(INT(M$4/500*360)&gt;=$G77,H$5,NA())</f>
        <v>10</v>
      </c>
      <c r="I77" s="7">
        <f t="array" aca="1" ref="I77" ca="1">IF(INT(N$4/500*360)&gt;=$G77,I$5,NA())</f>
        <v>9.3000000000000007</v>
      </c>
      <c r="J77" s="7">
        <f t="array" aca="1" ref="J77" ca="1">IF(INT(O$4/500*360)&gt;=$G77,J$5,NA())</f>
        <v>8.6</v>
      </c>
      <c r="K77" s="7">
        <f t="array" aca="1" ref="K77" ca="1">IF(INT(P$4/500*360)&gt;=$G77,K$5,NA())</f>
        <v>7.9</v>
      </c>
      <c r="L77" s="7">
        <f t="array" aca="1" ref="L77" ca="1">IF(INT(Q$4/500*360)&gt;=$G77,L$5,NA())</f>
        <v>7.2</v>
      </c>
      <c r="M77" s="7" t="e">
        <f t="shared" ref="M77:Q86" ca="1" si="12">IF(INT(M$4/500*360)=$G77,M$5,NA())</f>
        <v>#N/A</v>
      </c>
      <c r="N77" s="7" t="e">
        <f t="shared" ca="1" si="12"/>
        <v>#N/A</v>
      </c>
      <c r="O77" s="7" t="e">
        <f t="shared" ca="1" si="12"/>
        <v>#N/A</v>
      </c>
      <c r="P77" s="7" t="e">
        <f t="shared" ca="1" si="12"/>
        <v>#N/A</v>
      </c>
      <c r="Q77" s="7" t="e">
        <f t="shared" ca="1" si="12"/>
        <v>#N/A</v>
      </c>
    </row>
    <row r="78" spans="7:17" ht="20.25" customHeight="1" x14ac:dyDescent="0.35">
      <c r="G78" s="7">
        <v>72</v>
      </c>
      <c r="H78" s="7">
        <f t="array" aca="1" ref="H78" ca="1">IF(INT(M$4/500*360)&gt;=$G78,H$5,NA())</f>
        <v>10</v>
      </c>
      <c r="I78" s="7">
        <f t="array" aca="1" ref="I78" ca="1">IF(INT(N$4/500*360)&gt;=$G78,I$5,NA())</f>
        <v>9.3000000000000007</v>
      </c>
      <c r="J78" s="7">
        <f t="array" aca="1" ref="J78" ca="1">IF(INT(O$4/500*360)&gt;=$G78,J$5,NA())</f>
        <v>8.6</v>
      </c>
      <c r="K78" s="7">
        <f t="array" aca="1" ref="K78" ca="1">IF(INT(P$4/500*360)&gt;=$G78,K$5,NA())</f>
        <v>7.9</v>
      </c>
      <c r="L78" s="7">
        <f t="array" aca="1" ref="L78" ca="1">IF(INT(Q$4/500*360)&gt;=$G78,L$5,NA())</f>
        <v>7.2</v>
      </c>
      <c r="M78" s="7" t="e">
        <f t="shared" ca="1" si="12"/>
        <v>#N/A</v>
      </c>
      <c r="N78" s="7" t="e">
        <f t="shared" ca="1" si="12"/>
        <v>#N/A</v>
      </c>
      <c r="O78" s="7" t="e">
        <f t="shared" ca="1" si="12"/>
        <v>#N/A</v>
      </c>
      <c r="P78" s="7" t="e">
        <f t="shared" ca="1" si="12"/>
        <v>#N/A</v>
      </c>
      <c r="Q78" s="7" t="e">
        <f t="shared" ca="1" si="12"/>
        <v>#N/A</v>
      </c>
    </row>
    <row r="79" spans="7:17" ht="20.25" customHeight="1" x14ac:dyDescent="0.35">
      <c r="G79" s="7">
        <v>73</v>
      </c>
      <c r="H79" s="7">
        <f t="array" aca="1" ref="H79" ca="1">IF(INT(M$4/500*360)&gt;=$G79,H$5,NA())</f>
        <v>10</v>
      </c>
      <c r="I79" s="7">
        <f t="array" aca="1" ref="I79" ca="1">IF(INT(N$4/500*360)&gt;=$G79,I$5,NA())</f>
        <v>9.3000000000000007</v>
      </c>
      <c r="J79" s="7">
        <f t="array" aca="1" ref="J79" ca="1">IF(INT(O$4/500*360)&gt;=$G79,J$5,NA())</f>
        <v>8.6</v>
      </c>
      <c r="K79" s="7">
        <f t="array" aca="1" ref="K79" ca="1">IF(INT(P$4/500*360)&gt;=$G79,K$5,NA())</f>
        <v>7.9</v>
      </c>
      <c r="L79" s="7">
        <f t="array" aca="1" ref="L79" ca="1">IF(INT(Q$4/500*360)&gt;=$G79,L$5,NA())</f>
        <v>7.2</v>
      </c>
      <c r="M79" s="7" t="e">
        <f t="shared" ca="1" si="12"/>
        <v>#N/A</v>
      </c>
      <c r="N79" s="7" t="e">
        <f t="shared" ca="1" si="12"/>
        <v>#N/A</v>
      </c>
      <c r="O79" s="7" t="e">
        <f t="shared" ca="1" si="12"/>
        <v>#N/A</v>
      </c>
      <c r="P79" s="7" t="e">
        <f t="shared" ca="1" si="12"/>
        <v>#N/A</v>
      </c>
      <c r="Q79" s="7" t="e">
        <f t="shared" ca="1" si="12"/>
        <v>#N/A</v>
      </c>
    </row>
    <row r="80" spans="7:17" ht="20.25" customHeight="1" x14ac:dyDescent="0.35">
      <c r="G80" s="7">
        <v>74</v>
      </c>
      <c r="H80" s="7">
        <f t="array" aca="1" ref="H80" ca="1">IF(INT(M$4/500*360)&gt;=$G80,H$5,NA())</f>
        <v>10</v>
      </c>
      <c r="I80" s="7">
        <f t="array" aca="1" ref="I80" ca="1">IF(INT(N$4/500*360)&gt;=$G80,I$5,NA())</f>
        <v>9.3000000000000007</v>
      </c>
      <c r="J80" s="7">
        <f t="array" aca="1" ref="J80" ca="1">IF(INT(O$4/500*360)&gt;=$G80,J$5,NA())</f>
        <v>8.6</v>
      </c>
      <c r="K80" s="7">
        <f t="array" aca="1" ref="K80" ca="1">IF(INT(P$4/500*360)&gt;=$G80,K$5,NA())</f>
        <v>7.9</v>
      </c>
      <c r="L80" s="7">
        <f t="array" aca="1" ref="L80" ca="1">IF(INT(Q$4/500*360)&gt;=$G80,L$5,NA())</f>
        <v>7.2</v>
      </c>
      <c r="M80" s="7" t="e">
        <f t="shared" ca="1" si="12"/>
        <v>#N/A</v>
      </c>
      <c r="N80" s="7" t="e">
        <f t="shared" ca="1" si="12"/>
        <v>#N/A</v>
      </c>
      <c r="O80" s="7" t="e">
        <f t="shared" ca="1" si="12"/>
        <v>#N/A</v>
      </c>
      <c r="P80" s="7" t="e">
        <f t="shared" ca="1" si="12"/>
        <v>#N/A</v>
      </c>
      <c r="Q80" s="7" t="e">
        <f t="shared" ca="1" si="12"/>
        <v>#N/A</v>
      </c>
    </row>
    <row r="81" spans="7:17" ht="20.25" customHeight="1" x14ac:dyDescent="0.35">
      <c r="G81" s="7">
        <v>75</v>
      </c>
      <c r="H81" s="7">
        <f t="array" aca="1" ref="H81" ca="1">IF(INT(M$4/500*360)&gt;=$G81,H$5,NA())</f>
        <v>10</v>
      </c>
      <c r="I81" s="7">
        <f t="array" aca="1" ref="I81" ca="1">IF(INT(N$4/500*360)&gt;=$G81,I$5,NA())</f>
        <v>9.3000000000000007</v>
      </c>
      <c r="J81" s="7">
        <f t="array" aca="1" ref="J81" ca="1">IF(INT(O$4/500*360)&gt;=$G81,J$5,NA())</f>
        <v>8.6</v>
      </c>
      <c r="K81" s="7">
        <f t="array" aca="1" ref="K81" ca="1">IF(INT(P$4/500*360)&gt;=$G81,K$5,NA())</f>
        <v>7.9</v>
      </c>
      <c r="L81" s="7">
        <f t="array" aca="1" ref="L81" ca="1">IF(INT(Q$4/500*360)&gt;=$G81,L$5,NA())</f>
        <v>7.2</v>
      </c>
      <c r="M81" s="7" t="e">
        <f t="shared" ca="1" si="12"/>
        <v>#N/A</v>
      </c>
      <c r="N81" s="7" t="e">
        <f t="shared" ca="1" si="12"/>
        <v>#N/A</v>
      </c>
      <c r="O81" s="7" t="e">
        <f t="shared" ca="1" si="12"/>
        <v>#N/A</v>
      </c>
      <c r="P81" s="7" t="e">
        <f t="shared" ca="1" si="12"/>
        <v>#N/A</v>
      </c>
      <c r="Q81" s="7" t="e">
        <f t="shared" ca="1" si="12"/>
        <v>#N/A</v>
      </c>
    </row>
    <row r="82" spans="7:17" ht="20.25" customHeight="1" x14ac:dyDescent="0.35">
      <c r="G82" s="7">
        <v>76</v>
      </c>
      <c r="H82" s="7">
        <f t="array" aca="1" ref="H82" ca="1">IF(INT(M$4/500*360)&gt;=$G82,H$5,NA())</f>
        <v>10</v>
      </c>
      <c r="I82" s="7">
        <f t="array" aca="1" ref="I82" ca="1">IF(INT(N$4/500*360)&gt;=$G82,I$5,NA())</f>
        <v>9.3000000000000007</v>
      </c>
      <c r="J82" s="7">
        <f t="array" aca="1" ref="J82" ca="1">IF(INT(O$4/500*360)&gt;=$G82,J$5,NA())</f>
        <v>8.6</v>
      </c>
      <c r="K82" s="7">
        <f t="array" aca="1" ref="K82" ca="1">IF(INT(P$4/500*360)&gt;=$G82,K$5,NA())</f>
        <v>7.9</v>
      </c>
      <c r="L82" s="7">
        <f t="array" aca="1" ref="L82" ca="1">IF(INT(Q$4/500*360)&gt;=$G82,L$5,NA())</f>
        <v>7.2</v>
      </c>
      <c r="M82" s="7" t="e">
        <f t="shared" ca="1" si="12"/>
        <v>#N/A</v>
      </c>
      <c r="N82" s="7" t="e">
        <f t="shared" ca="1" si="12"/>
        <v>#N/A</v>
      </c>
      <c r="O82" s="7" t="e">
        <f t="shared" ca="1" si="12"/>
        <v>#N/A</v>
      </c>
      <c r="P82" s="7" t="e">
        <f t="shared" ca="1" si="12"/>
        <v>#N/A</v>
      </c>
      <c r="Q82" s="7" t="e">
        <f t="shared" ca="1" si="12"/>
        <v>#N/A</v>
      </c>
    </row>
    <row r="83" spans="7:17" ht="20.25" customHeight="1" x14ac:dyDescent="0.35">
      <c r="G83" s="7">
        <v>77</v>
      </c>
      <c r="H83" s="7">
        <f t="array" aca="1" ref="H83" ca="1">IF(INT(M$4/500*360)&gt;=$G83,H$5,NA())</f>
        <v>10</v>
      </c>
      <c r="I83" s="7">
        <f t="array" aca="1" ref="I83" ca="1">IF(INT(N$4/500*360)&gt;=$G83,I$5,NA())</f>
        <v>9.3000000000000007</v>
      </c>
      <c r="J83" s="7">
        <f t="array" aca="1" ref="J83" ca="1">IF(INT(O$4/500*360)&gt;=$G83,J$5,NA())</f>
        <v>8.6</v>
      </c>
      <c r="K83" s="7">
        <f t="array" aca="1" ref="K83" ca="1">IF(INT(P$4/500*360)&gt;=$G83,K$5,NA())</f>
        <v>7.9</v>
      </c>
      <c r="L83" s="7">
        <f t="array" aca="1" ref="L83" ca="1">IF(INT(Q$4/500*360)&gt;=$G83,L$5,NA())</f>
        <v>7.2</v>
      </c>
      <c r="M83" s="7" t="e">
        <f t="shared" ca="1" si="12"/>
        <v>#N/A</v>
      </c>
      <c r="N83" s="7" t="e">
        <f t="shared" ca="1" si="12"/>
        <v>#N/A</v>
      </c>
      <c r="O83" s="7" t="e">
        <f t="shared" ca="1" si="12"/>
        <v>#N/A</v>
      </c>
      <c r="P83" s="7" t="e">
        <f t="shared" ca="1" si="12"/>
        <v>#N/A</v>
      </c>
      <c r="Q83" s="7" t="e">
        <f t="shared" ca="1" si="12"/>
        <v>#N/A</v>
      </c>
    </row>
    <row r="84" spans="7:17" ht="20.25" customHeight="1" x14ac:dyDescent="0.35">
      <c r="G84" s="7">
        <v>78</v>
      </c>
      <c r="H84" s="7">
        <f t="array" aca="1" ref="H84" ca="1">IF(INT(M$4/500*360)&gt;=$G84,H$5,NA())</f>
        <v>10</v>
      </c>
      <c r="I84" s="7">
        <f t="array" aca="1" ref="I84" ca="1">IF(INT(N$4/500*360)&gt;=$G84,I$5,NA())</f>
        <v>9.3000000000000007</v>
      </c>
      <c r="J84" s="7">
        <f t="array" aca="1" ref="J84" ca="1">IF(INT(O$4/500*360)&gt;=$G84,J$5,NA())</f>
        <v>8.6</v>
      </c>
      <c r="K84" s="7">
        <f t="array" aca="1" ref="K84" ca="1">IF(INT(P$4/500*360)&gt;=$G84,K$5,NA())</f>
        <v>7.9</v>
      </c>
      <c r="L84" s="7">
        <f t="array" aca="1" ref="L84" ca="1">IF(INT(Q$4/500*360)&gt;=$G84,L$5,NA())</f>
        <v>7.2</v>
      </c>
      <c r="M84" s="7" t="e">
        <f t="shared" ca="1" si="12"/>
        <v>#N/A</v>
      </c>
      <c r="N84" s="7" t="e">
        <f t="shared" ca="1" si="12"/>
        <v>#N/A</v>
      </c>
      <c r="O84" s="7" t="e">
        <f t="shared" ca="1" si="12"/>
        <v>#N/A</v>
      </c>
      <c r="P84" s="7" t="e">
        <f t="shared" ca="1" si="12"/>
        <v>#N/A</v>
      </c>
      <c r="Q84" s="7" t="e">
        <f t="shared" ca="1" si="12"/>
        <v>#N/A</v>
      </c>
    </row>
    <row r="85" spans="7:17" ht="20.25" customHeight="1" x14ac:dyDescent="0.35">
      <c r="G85" s="7">
        <v>79</v>
      </c>
      <c r="H85" s="7">
        <f t="array" aca="1" ref="H85" ca="1">IF(INT(M$4/500*360)&gt;=$G85,H$5,NA())</f>
        <v>10</v>
      </c>
      <c r="I85" s="7">
        <f t="array" aca="1" ref="I85" ca="1">IF(INT(N$4/500*360)&gt;=$G85,I$5,NA())</f>
        <v>9.3000000000000007</v>
      </c>
      <c r="J85" s="7">
        <f t="array" aca="1" ref="J85" ca="1">IF(INT(O$4/500*360)&gt;=$G85,J$5,NA())</f>
        <v>8.6</v>
      </c>
      <c r="K85" s="7">
        <f t="array" aca="1" ref="K85" ca="1">IF(INT(P$4/500*360)&gt;=$G85,K$5,NA())</f>
        <v>7.9</v>
      </c>
      <c r="L85" s="7">
        <f t="array" aca="1" ref="L85" ca="1">IF(INT(Q$4/500*360)&gt;=$G85,L$5,NA())</f>
        <v>7.2</v>
      </c>
      <c r="M85" s="7" t="e">
        <f t="shared" ca="1" si="12"/>
        <v>#N/A</v>
      </c>
      <c r="N85" s="7" t="e">
        <f t="shared" ca="1" si="12"/>
        <v>#N/A</v>
      </c>
      <c r="O85" s="7" t="e">
        <f t="shared" ca="1" si="12"/>
        <v>#N/A</v>
      </c>
      <c r="P85" s="7" t="e">
        <f t="shared" ca="1" si="12"/>
        <v>#N/A</v>
      </c>
      <c r="Q85" s="7" t="e">
        <f t="shared" ca="1" si="12"/>
        <v>#N/A</v>
      </c>
    </row>
    <row r="86" spans="7:17" ht="20.25" customHeight="1" x14ac:dyDescent="0.35">
      <c r="G86" s="7">
        <v>80</v>
      </c>
      <c r="H86" s="7">
        <f t="array" aca="1" ref="H86" ca="1">IF(INT(M$4/500*360)&gt;=$G86,H$5,NA())</f>
        <v>10</v>
      </c>
      <c r="I86" s="7">
        <f t="array" aca="1" ref="I86" ca="1">IF(INT(N$4/500*360)&gt;=$G86,I$5,NA())</f>
        <v>9.3000000000000007</v>
      </c>
      <c r="J86" s="7">
        <f t="array" aca="1" ref="J86" ca="1">IF(INT(O$4/500*360)&gt;=$G86,J$5,NA())</f>
        <v>8.6</v>
      </c>
      <c r="K86" s="7">
        <f t="array" aca="1" ref="K86" ca="1">IF(INT(P$4/500*360)&gt;=$G86,K$5,NA())</f>
        <v>7.9</v>
      </c>
      <c r="L86" s="7">
        <f t="array" aca="1" ref="L86" ca="1">IF(INT(Q$4/500*360)&gt;=$G86,L$5,NA())</f>
        <v>7.2</v>
      </c>
      <c r="M86" s="7" t="e">
        <f t="shared" ca="1" si="12"/>
        <v>#N/A</v>
      </c>
      <c r="N86" s="7" t="e">
        <f t="shared" ca="1" si="12"/>
        <v>#N/A</v>
      </c>
      <c r="O86" s="7" t="e">
        <f t="shared" ca="1" si="12"/>
        <v>#N/A</v>
      </c>
      <c r="P86" s="7" t="e">
        <f t="shared" ca="1" si="12"/>
        <v>#N/A</v>
      </c>
      <c r="Q86" s="7" t="e">
        <f t="shared" ca="1" si="12"/>
        <v>#N/A</v>
      </c>
    </row>
    <row r="87" spans="7:17" ht="20.25" customHeight="1" x14ac:dyDescent="0.35">
      <c r="G87" s="7">
        <v>81</v>
      </c>
      <c r="H87" s="7">
        <f t="array" aca="1" ref="H87" ca="1">IF(INT(M$4/500*360)&gt;=$G87,H$5,NA())</f>
        <v>10</v>
      </c>
      <c r="I87" s="7">
        <f t="array" aca="1" ref="I87" ca="1">IF(INT(N$4/500*360)&gt;=$G87,I$5,NA())</f>
        <v>9.3000000000000007</v>
      </c>
      <c r="J87" s="7">
        <f t="array" aca="1" ref="J87" ca="1">IF(INT(O$4/500*360)&gt;=$G87,J$5,NA())</f>
        <v>8.6</v>
      </c>
      <c r="K87" s="7">
        <f t="array" aca="1" ref="K87" ca="1">IF(INT(P$4/500*360)&gt;=$G87,K$5,NA())</f>
        <v>7.9</v>
      </c>
      <c r="L87" s="7">
        <f t="array" aca="1" ref="L87" ca="1">IF(INT(Q$4/500*360)&gt;=$G87,L$5,NA())</f>
        <v>7.2</v>
      </c>
      <c r="M87" s="7" t="e">
        <f t="shared" ref="M87:Q96" ca="1" si="13">IF(INT(M$4/500*360)=$G87,M$5,NA())</f>
        <v>#N/A</v>
      </c>
      <c r="N87" s="7" t="e">
        <f t="shared" ca="1" si="13"/>
        <v>#N/A</v>
      </c>
      <c r="O87" s="7" t="e">
        <f t="shared" ca="1" si="13"/>
        <v>#N/A</v>
      </c>
      <c r="P87" s="7" t="e">
        <f t="shared" ca="1" si="13"/>
        <v>#N/A</v>
      </c>
      <c r="Q87" s="7" t="e">
        <f t="shared" ca="1" si="13"/>
        <v>#N/A</v>
      </c>
    </row>
    <row r="88" spans="7:17" ht="20.25" customHeight="1" x14ac:dyDescent="0.35">
      <c r="G88" s="7">
        <v>82</v>
      </c>
      <c r="H88" s="7">
        <f t="array" aca="1" ref="H88" ca="1">IF(INT(M$4/500*360)&gt;=$G88,H$5,NA())</f>
        <v>10</v>
      </c>
      <c r="I88" s="7">
        <f t="array" aca="1" ref="I88" ca="1">IF(INT(N$4/500*360)&gt;=$G88,I$5,NA())</f>
        <v>9.3000000000000007</v>
      </c>
      <c r="J88" s="7">
        <f t="array" aca="1" ref="J88" ca="1">IF(INT(O$4/500*360)&gt;=$G88,J$5,NA())</f>
        <v>8.6</v>
      </c>
      <c r="K88" s="7">
        <f t="array" aca="1" ref="K88" ca="1">IF(INT(P$4/500*360)&gt;=$G88,K$5,NA())</f>
        <v>7.9</v>
      </c>
      <c r="L88" s="7">
        <f t="array" aca="1" ref="L88" ca="1">IF(INT(Q$4/500*360)&gt;=$G88,L$5,NA())</f>
        <v>7.2</v>
      </c>
      <c r="M88" s="7" t="e">
        <f t="shared" ca="1" si="13"/>
        <v>#N/A</v>
      </c>
      <c r="N88" s="7" t="e">
        <f t="shared" ca="1" si="13"/>
        <v>#N/A</v>
      </c>
      <c r="O88" s="7" t="e">
        <f t="shared" ca="1" si="13"/>
        <v>#N/A</v>
      </c>
      <c r="P88" s="7" t="e">
        <f t="shared" ca="1" si="13"/>
        <v>#N/A</v>
      </c>
      <c r="Q88" s="7" t="e">
        <f t="shared" ca="1" si="13"/>
        <v>#N/A</v>
      </c>
    </row>
    <row r="89" spans="7:17" ht="20.25" customHeight="1" x14ac:dyDescent="0.35">
      <c r="G89" s="7">
        <v>83</v>
      </c>
      <c r="H89" s="7">
        <f t="array" aca="1" ref="H89" ca="1">IF(INT(M$4/500*360)&gt;=$G89,H$5,NA())</f>
        <v>10</v>
      </c>
      <c r="I89" s="7">
        <f t="array" aca="1" ref="I89" ca="1">IF(INT(N$4/500*360)&gt;=$G89,I$5,NA())</f>
        <v>9.3000000000000007</v>
      </c>
      <c r="J89" s="7">
        <f t="array" aca="1" ref="J89" ca="1">IF(INT(O$4/500*360)&gt;=$G89,J$5,NA())</f>
        <v>8.6</v>
      </c>
      <c r="K89" s="7">
        <f t="array" aca="1" ref="K89" ca="1">IF(INT(P$4/500*360)&gt;=$G89,K$5,NA())</f>
        <v>7.9</v>
      </c>
      <c r="L89" s="7">
        <f t="array" aca="1" ref="L89" ca="1">IF(INT(Q$4/500*360)&gt;=$G89,L$5,NA())</f>
        <v>7.2</v>
      </c>
      <c r="M89" s="7" t="e">
        <f t="shared" ca="1" si="13"/>
        <v>#N/A</v>
      </c>
      <c r="N89" s="7" t="e">
        <f t="shared" ca="1" si="13"/>
        <v>#N/A</v>
      </c>
      <c r="O89" s="7" t="e">
        <f t="shared" ca="1" si="13"/>
        <v>#N/A</v>
      </c>
      <c r="P89" s="7" t="e">
        <f t="shared" ca="1" si="13"/>
        <v>#N/A</v>
      </c>
      <c r="Q89" s="7" t="e">
        <f t="shared" ca="1" si="13"/>
        <v>#N/A</v>
      </c>
    </row>
    <row r="90" spans="7:17" ht="20.25" customHeight="1" x14ac:dyDescent="0.35">
      <c r="G90" s="7">
        <v>84</v>
      </c>
      <c r="H90" s="7">
        <f t="array" aca="1" ref="H90" ca="1">IF(INT(M$4/500*360)&gt;=$G90,H$5,NA())</f>
        <v>10</v>
      </c>
      <c r="I90" s="7">
        <f t="array" aca="1" ref="I90" ca="1">IF(INT(N$4/500*360)&gt;=$G90,I$5,NA())</f>
        <v>9.3000000000000007</v>
      </c>
      <c r="J90" s="7">
        <f t="array" aca="1" ref="J90" ca="1">IF(INT(O$4/500*360)&gt;=$G90,J$5,NA())</f>
        <v>8.6</v>
      </c>
      <c r="K90" s="7">
        <f t="array" aca="1" ref="K90" ca="1">IF(INT(P$4/500*360)&gt;=$G90,K$5,NA())</f>
        <v>7.9</v>
      </c>
      <c r="L90" s="7">
        <f t="array" aca="1" ref="L90" ca="1">IF(INT(Q$4/500*360)&gt;=$G90,L$5,NA())</f>
        <v>7.2</v>
      </c>
      <c r="M90" s="7" t="e">
        <f t="shared" ca="1" si="13"/>
        <v>#N/A</v>
      </c>
      <c r="N90" s="7" t="e">
        <f t="shared" ca="1" si="13"/>
        <v>#N/A</v>
      </c>
      <c r="O90" s="7" t="e">
        <f t="shared" ca="1" si="13"/>
        <v>#N/A</v>
      </c>
      <c r="P90" s="7" t="e">
        <f t="shared" ca="1" si="13"/>
        <v>#N/A</v>
      </c>
      <c r="Q90" s="7" t="e">
        <f t="shared" ca="1" si="13"/>
        <v>#N/A</v>
      </c>
    </row>
    <row r="91" spans="7:17" ht="20.25" customHeight="1" x14ac:dyDescent="0.35">
      <c r="G91" s="7">
        <v>85</v>
      </c>
      <c r="H91" s="7">
        <f t="array" aca="1" ref="H91" ca="1">IF(INT(M$4/500*360)&gt;=$G91,H$5,NA())</f>
        <v>10</v>
      </c>
      <c r="I91" s="7">
        <f t="array" aca="1" ref="I91" ca="1">IF(INT(N$4/500*360)&gt;=$G91,I$5,NA())</f>
        <v>9.3000000000000007</v>
      </c>
      <c r="J91" s="7">
        <f t="array" aca="1" ref="J91" ca="1">IF(INT(O$4/500*360)&gt;=$G91,J$5,NA())</f>
        <v>8.6</v>
      </c>
      <c r="K91" s="7">
        <f t="array" aca="1" ref="K91" ca="1">IF(INT(P$4/500*360)&gt;=$G91,K$5,NA())</f>
        <v>7.9</v>
      </c>
      <c r="L91" s="7">
        <f t="array" aca="1" ref="L91" ca="1">IF(INT(Q$4/500*360)&gt;=$G91,L$5,NA())</f>
        <v>7.2</v>
      </c>
      <c r="M91" s="7" t="e">
        <f t="shared" ca="1" si="13"/>
        <v>#N/A</v>
      </c>
      <c r="N91" s="7" t="e">
        <f t="shared" ca="1" si="13"/>
        <v>#N/A</v>
      </c>
      <c r="O91" s="7" t="e">
        <f t="shared" ca="1" si="13"/>
        <v>#N/A</v>
      </c>
      <c r="P91" s="7" t="e">
        <f t="shared" ca="1" si="13"/>
        <v>#N/A</v>
      </c>
      <c r="Q91" s="7" t="e">
        <f t="shared" ca="1" si="13"/>
        <v>#N/A</v>
      </c>
    </row>
    <row r="92" spans="7:17" ht="20.25" customHeight="1" x14ac:dyDescent="0.35">
      <c r="G92" s="7">
        <v>86</v>
      </c>
      <c r="H92" s="7">
        <f t="array" aca="1" ref="H92" ca="1">IF(INT(M$4/500*360)&gt;=$G92,H$5,NA())</f>
        <v>10</v>
      </c>
      <c r="I92" s="7">
        <f t="array" aca="1" ref="I92" ca="1">IF(INT(N$4/500*360)&gt;=$G92,I$5,NA())</f>
        <v>9.3000000000000007</v>
      </c>
      <c r="J92" s="7">
        <f t="array" aca="1" ref="J92" ca="1">IF(INT(O$4/500*360)&gt;=$G92,J$5,NA())</f>
        <v>8.6</v>
      </c>
      <c r="K92" s="7">
        <f t="array" aca="1" ref="K92" ca="1">IF(INT(P$4/500*360)&gt;=$G92,K$5,NA())</f>
        <v>7.9</v>
      </c>
      <c r="L92" s="7">
        <f t="array" aca="1" ref="L92" ca="1">IF(INT(Q$4/500*360)&gt;=$G92,L$5,NA())</f>
        <v>7.2</v>
      </c>
      <c r="M92" s="7" t="e">
        <f t="shared" ca="1" si="13"/>
        <v>#N/A</v>
      </c>
      <c r="N92" s="7" t="e">
        <f t="shared" ca="1" si="13"/>
        <v>#N/A</v>
      </c>
      <c r="O92" s="7" t="e">
        <f t="shared" ca="1" si="13"/>
        <v>#N/A</v>
      </c>
      <c r="P92" s="7" t="e">
        <f t="shared" ca="1" si="13"/>
        <v>#N/A</v>
      </c>
      <c r="Q92" s="7" t="e">
        <f t="shared" ca="1" si="13"/>
        <v>#N/A</v>
      </c>
    </row>
    <row r="93" spans="7:17" ht="20.25" customHeight="1" x14ac:dyDescent="0.35">
      <c r="G93" s="7">
        <v>87</v>
      </c>
      <c r="H93" s="7">
        <f t="array" aca="1" ref="H93" ca="1">IF(INT(M$4/500*360)&gt;=$G93,H$5,NA())</f>
        <v>10</v>
      </c>
      <c r="I93" s="7">
        <f t="array" aca="1" ref="I93" ca="1">IF(INT(N$4/500*360)&gt;=$G93,I$5,NA())</f>
        <v>9.3000000000000007</v>
      </c>
      <c r="J93" s="7">
        <f t="array" aca="1" ref="J93" ca="1">IF(INT(O$4/500*360)&gt;=$G93,J$5,NA())</f>
        <v>8.6</v>
      </c>
      <c r="K93" s="7">
        <f t="array" aca="1" ref="K93" ca="1">IF(INT(P$4/500*360)&gt;=$G93,K$5,NA())</f>
        <v>7.9</v>
      </c>
      <c r="L93" s="7">
        <f t="array" aca="1" ref="L93" ca="1">IF(INT(Q$4/500*360)&gt;=$G93,L$5,NA())</f>
        <v>7.2</v>
      </c>
      <c r="M93" s="7" t="e">
        <f t="shared" ca="1" si="13"/>
        <v>#N/A</v>
      </c>
      <c r="N93" s="7" t="e">
        <f t="shared" ca="1" si="13"/>
        <v>#N/A</v>
      </c>
      <c r="O93" s="7" t="e">
        <f t="shared" ca="1" si="13"/>
        <v>#N/A</v>
      </c>
      <c r="P93" s="7" t="e">
        <f t="shared" ca="1" si="13"/>
        <v>#N/A</v>
      </c>
      <c r="Q93" s="7" t="e">
        <f t="shared" ca="1" si="13"/>
        <v>#N/A</v>
      </c>
    </row>
    <row r="94" spans="7:17" ht="20.25" customHeight="1" x14ac:dyDescent="0.35">
      <c r="G94" s="7">
        <v>88</v>
      </c>
      <c r="H94" s="7">
        <f t="array" aca="1" ref="H94" ca="1">IF(INT(M$4/500*360)&gt;=$G94,H$5,NA())</f>
        <v>10</v>
      </c>
      <c r="I94" s="7">
        <f t="array" aca="1" ref="I94" ca="1">IF(INT(N$4/500*360)&gt;=$G94,I$5,NA())</f>
        <v>9.3000000000000007</v>
      </c>
      <c r="J94" s="7">
        <f t="array" aca="1" ref="J94" ca="1">IF(INT(O$4/500*360)&gt;=$G94,J$5,NA())</f>
        <v>8.6</v>
      </c>
      <c r="K94" s="7">
        <f t="array" aca="1" ref="K94" ca="1">IF(INT(P$4/500*360)&gt;=$G94,K$5,NA())</f>
        <v>7.9</v>
      </c>
      <c r="L94" s="7">
        <f t="array" aca="1" ref="L94" ca="1">IF(INT(Q$4/500*360)&gt;=$G94,L$5,NA())</f>
        <v>7.2</v>
      </c>
      <c r="M94" s="7" t="e">
        <f t="shared" ca="1" si="13"/>
        <v>#N/A</v>
      </c>
      <c r="N94" s="7" t="e">
        <f t="shared" ca="1" si="13"/>
        <v>#N/A</v>
      </c>
      <c r="O94" s="7" t="e">
        <f t="shared" ca="1" si="13"/>
        <v>#N/A</v>
      </c>
      <c r="P94" s="7" t="e">
        <f t="shared" ca="1" si="13"/>
        <v>#N/A</v>
      </c>
      <c r="Q94" s="7" t="e">
        <f t="shared" ca="1" si="13"/>
        <v>#N/A</v>
      </c>
    </row>
    <row r="95" spans="7:17" ht="20.25" customHeight="1" x14ac:dyDescent="0.35">
      <c r="G95" s="7">
        <v>89</v>
      </c>
      <c r="H95" s="7">
        <f t="array" aca="1" ref="H95" ca="1">IF(INT(M$4/500*360)&gt;=$G95,H$5,NA())</f>
        <v>10</v>
      </c>
      <c r="I95" s="7">
        <f t="array" aca="1" ref="I95" ca="1">IF(INT(N$4/500*360)&gt;=$G95,I$5,NA())</f>
        <v>9.3000000000000007</v>
      </c>
      <c r="J95" s="7">
        <f t="array" aca="1" ref="J95" ca="1">IF(INT(O$4/500*360)&gt;=$G95,J$5,NA())</f>
        <v>8.6</v>
      </c>
      <c r="K95" s="7">
        <f t="array" aca="1" ref="K95" ca="1">IF(INT(P$4/500*360)&gt;=$G95,K$5,NA())</f>
        <v>7.9</v>
      </c>
      <c r="L95" s="7">
        <f t="array" aca="1" ref="L95" ca="1">IF(INT(Q$4/500*360)&gt;=$G95,L$5,NA())</f>
        <v>7.2</v>
      </c>
      <c r="M95" s="7" t="e">
        <f t="shared" ca="1" si="13"/>
        <v>#N/A</v>
      </c>
      <c r="N95" s="7" t="e">
        <f t="shared" ca="1" si="13"/>
        <v>#N/A</v>
      </c>
      <c r="O95" s="7" t="e">
        <f t="shared" ca="1" si="13"/>
        <v>#N/A</v>
      </c>
      <c r="P95" s="7" t="e">
        <f t="shared" ca="1" si="13"/>
        <v>#N/A</v>
      </c>
      <c r="Q95" s="7" t="e">
        <f t="shared" ca="1" si="13"/>
        <v>#N/A</v>
      </c>
    </row>
    <row r="96" spans="7:17" ht="20.25" customHeight="1" x14ac:dyDescent="0.35">
      <c r="G96" s="7">
        <v>90</v>
      </c>
      <c r="H96" s="7">
        <f t="array" aca="1" ref="H96" ca="1">IF(INT(M$4/500*360)&gt;=$G96,H$5,NA())</f>
        <v>10</v>
      </c>
      <c r="I96" s="7">
        <f t="array" aca="1" ref="I96" ca="1">IF(INT(N$4/500*360)&gt;=$G96,I$5,NA())</f>
        <v>9.3000000000000007</v>
      </c>
      <c r="J96" s="7">
        <f t="array" aca="1" ref="J96" ca="1">IF(INT(O$4/500*360)&gt;=$G96,J$5,NA())</f>
        <v>8.6</v>
      </c>
      <c r="K96" s="7">
        <f t="array" aca="1" ref="K96" ca="1">IF(INT(P$4/500*360)&gt;=$G96,K$5,NA())</f>
        <v>7.9</v>
      </c>
      <c r="L96" s="7">
        <f t="array" aca="1" ref="L96" ca="1">IF(INT(Q$4/500*360)&gt;=$G96,L$5,NA())</f>
        <v>7.2</v>
      </c>
      <c r="M96" s="7" t="e">
        <f t="shared" ca="1" si="13"/>
        <v>#N/A</v>
      </c>
      <c r="N96" s="7" t="e">
        <f t="shared" ca="1" si="13"/>
        <v>#N/A</v>
      </c>
      <c r="O96" s="7" t="e">
        <f t="shared" ca="1" si="13"/>
        <v>#N/A</v>
      </c>
      <c r="P96" s="7" t="e">
        <f t="shared" ca="1" si="13"/>
        <v>#N/A</v>
      </c>
      <c r="Q96" s="7" t="e">
        <f t="shared" ca="1" si="13"/>
        <v>#N/A</v>
      </c>
    </row>
    <row r="97" spans="7:17" ht="20.25" customHeight="1" x14ac:dyDescent="0.35">
      <c r="G97" s="7">
        <v>91</v>
      </c>
      <c r="H97" s="7">
        <f t="array" aca="1" ref="H97" ca="1">IF(INT(M$4/500*360)&gt;=$G97,H$5,NA())</f>
        <v>10</v>
      </c>
      <c r="I97" s="7">
        <f t="array" aca="1" ref="I97" ca="1">IF(INT(N$4/500*360)&gt;=$G97,I$5,NA())</f>
        <v>9.3000000000000007</v>
      </c>
      <c r="J97" s="7">
        <f t="array" aca="1" ref="J97" ca="1">IF(INT(O$4/500*360)&gt;=$G97,J$5,NA())</f>
        <v>8.6</v>
      </c>
      <c r="K97" s="7">
        <f t="array" aca="1" ref="K97" ca="1">IF(INT(P$4/500*360)&gt;=$G97,K$5,NA())</f>
        <v>7.9</v>
      </c>
      <c r="L97" s="7">
        <f t="array" aca="1" ref="L97" ca="1">IF(INT(Q$4/500*360)&gt;=$G97,L$5,NA())</f>
        <v>7.2</v>
      </c>
      <c r="M97" s="7" t="e">
        <f t="shared" ref="M97:Q106" ca="1" si="14">IF(INT(M$4/500*360)=$G97,M$5,NA())</f>
        <v>#N/A</v>
      </c>
      <c r="N97" s="7" t="e">
        <f t="shared" ca="1" si="14"/>
        <v>#N/A</v>
      </c>
      <c r="O97" s="7" t="e">
        <f t="shared" ca="1" si="14"/>
        <v>#N/A</v>
      </c>
      <c r="P97" s="7" t="e">
        <f t="shared" ca="1" si="14"/>
        <v>#N/A</v>
      </c>
      <c r="Q97" s="7" t="e">
        <f t="shared" ca="1" si="14"/>
        <v>#N/A</v>
      </c>
    </row>
    <row r="98" spans="7:17" ht="20.25" customHeight="1" x14ac:dyDescent="0.35">
      <c r="G98" s="7">
        <v>92</v>
      </c>
      <c r="H98" s="7">
        <f t="array" aca="1" ref="H98" ca="1">IF(INT(M$4/500*360)&gt;=$G98,H$5,NA())</f>
        <v>10</v>
      </c>
      <c r="I98" s="7">
        <f t="array" aca="1" ref="I98" ca="1">IF(INT(N$4/500*360)&gt;=$G98,I$5,NA())</f>
        <v>9.3000000000000007</v>
      </c>
      <c r="J98" s="7">
        <f t="array" aca="1" ref="J98" ca="1">IF(INT(O$4/500*360)&gt;=$G98,J$5,NA())</f>
        <v>8.6</v>
      </c>
      <c r="K98" s="7">
        <f t="array" aca="1" ref="K98" ca="1">IF(INT(P$4/500*360)&gt;=$G98,K$5,NA())</f>
        <v>7.9</v>
      </c>
      <c r="L98" s="7">
        <f t="array" aca="1" ref="L98" ca="1">IF(INT(Q$4/500*360)&gt;=$G98,L$5,NA())</f>
        <v>7.2</v>
      </c>
      <c r="M98" s="7" t="e">
        <f t="shared" ca="1" si="14"/>
        <v>#N/A</v>
      </c>
      <c r="N98" s="7" t="e">
        <f t="shared" ca="1" si="14"/>
        <v>#N/A</v>
      </c>
      <c r="O98" s="7" t="e">
        <f t="shared" ca="1" si="14"/>
        <v>#N/A</v>
      </c>
      <c r="P98" s="7" t="e">
        <f t="shared" ca="1" si="14"/>
        <v>#N/A</v>
      </c>
      <c r="Q98" s="7" t="e">
        <f t="shared" ca="1" si="14"/>
        <v>#N/A</v>
      </c>
    </row>
    <row r="99" spans="7:17" ht="20.25" customHeight="1" x14ac:dyDescent="0.35">
      <c r="G99" s="7">
        <v>93</v>
      </c>
      <c r="H99" s="7">
        <f t="array" aca="1" ref="H99" ca="1">IF(INT(M$4/500*360)&gt;=$G99,H$5,NA())</f>
        <v>10</v>
      </c>
      <c r="I99" s="7">
        <f t="array" aca="1" ref="I99" ca="1">IF(INT(N$4/500*360)&gt;=$G99,I$5,NA())</f>
        <v>9.3000000000000007</v>
      </c>
      <c r="J99" s="7">
        <f t="array" aca="1" ref="J99" ca="1">IF(INT(O$4/500*360)&gt;=$G99,J$5,NA())</f>
        <v>8.6</v>
      </c>
      <c r="K99" s="7">
        <f t="array" aca="1" ref="K99" ca="1">IF(INT(P$4/500*360)&gt;=$G99,K$5,NA())</f>
        <v>7.9</v>
      </c>
      <c r="L99" s="7">
        <f t="array" aca="1" ref="L99" ca="1">IF(INT(Q$4/500*360)&gt;=$G99,L$5,NA())</f>
        <v>7.2</v>
      </c>
      <c r="M99" s="7" t="e">
        <f t="shared" ca="1" si="14"/>
        <v>#N/A</v>
      </c>
      <c r="N99" s="7" t="e">
        <f t="shared" ca="1" si="14"/>
        <v>#N/A</v>
      </c>
      <c r="O99" s="7" t="e">
        <f t="shared" ca="1" si="14"/>
        <v>#N/A</v>
      </c>
      <c r="P99" s="7" t="e">
        <f t="shared" ca="1" si="14"/>
        <v>#N/A</v>
      </c>
      <c r="Q99" s="7" t="e">
        <f t="shared" ca="1" si="14"/>
        <v>#N/A</v>
      </c>
    </row>
    <row r="100" spans="7:17" ht="20.25" customHeight="1" x14ac:dyDescent="0.35">
      <c r="G100" s="7">
        <v>94</v>
      </c>
      <c r="H100" s="7">
        <f t="array" aca="1" ref="H100" ca="1">IF(INT(M$4/500*360)&gt;=$G100,H$5,NA())</f>
        <v>10</v>
      </c>
      <c r="I100" s="7">
        <f t="array" aca="1" ref="I100" ca="1">IF(INT(N$4/500*360)&gt;=$G100,I$5,NA())</f>
        <v>9.3000000000000007</v>
      </c>
      <c r="J100" s="7">
        <f t="array" aca="1" ref="J100" ca="1">IF(INT(O$4/500*360)&gt;=$G100,J$5,NA())</f>
        <v>8.6</v>
      </c>
      <c r="K100" s="7">
        <f t="array" aca="1" ref="K100" ca="1">IF(INT(P$4/500*360)&gt;=$G100,K$5,NA())</f>
        <v>7.9</v>
      </c>
      <c r="L100" s="7">
        <f t="array" aca="1" ref="L100" ca="1">IF(INT(Q$4/500*360)&gt;=$G100,L$5,NA())</f>
        <v>7.2</v>
      </c>
      <c r="M100" s="7" t="e">
        <f t="shared" ca="1" si="14"/>
        <v>#N/A</v>
      </c>
      <c r="N100" s="7" t="e">
        <f t="shared" ca="1" si="14"/>
        <v>#N/A</v>
      </c>
      <c r="O100" s="7" t="e">
        <f t="shared" ca="1" si="14"/>
        <v>#N/A</v>
      </c>
      <c r="P100" s="7" t="e">
        <f t="shared" ca="1" si="14"/>
        <v>#N/A</v>
      </c>
      <c r="Q100" s="7" t="e">
        <f t="shared" ca="1" si="14"/>
        <v>#N/A</v>
      </c>
    </row>
    <row r="101" spans="7:17" ht="20.25" customHeight="1" x14ac:dyDescent="0.35">
      <c r="G101" s="7">
        <v>95</v>
      </c>
      <c r="H101" s="7">
        <f t="array" aca="1" ref="H101" ca="1">IF(INT(M$4/500*360)&gt;=$G101,H$5,NA())</f>
        <v>10</v>
      </c>
      <c r="I101" s="7">
        <f t="array" aca="1" ref="I101" ca="1">IF(INT(N$4/500*360)&gt;=$G101,I$5,NA())</f>
        <v>9.3000000000000007</v>
      </c>
      <c r="J101" s="7">
        <f t="array" aca="1" ref="J101" ca="1">IF(INT(O$4/500*360)&gt;=$G101,J$5,NA())</f>
        <v>8.6</v>
      </c>
      <c r="K101" s="7">
        <f t="array" aca="1" ref="K101" ca="1">IF(INT(P$4/500*360)&gt;=$G101,K$5,NA())</f>
        <v>7.9</v>
      </c>
      <c r="L101" s="7">
        <f t="array" aca="1" ref="L101" ca="1">IF(INT(Q$4/500*360)&gt;=$G101,L$5,NA())</f>
        <v>7.2</v>
      </c>
      <c r="M101" s="7" t="e">
        <f t="shared" ca="1" si="14"/>
        <v>#N/A</v>
      </c>
      <c r="N101" s="7" t="e">
        <f t="shared" ca="1" si="14"/>
        <v>#N/A</v>
      </c>
      <c r="O101" s="7" t="e">
        <f t="shared" ca="1" si="14"/>
        <v>#N/A</v>
      </c>
      <c r="P101" s="7" t="e">
        <f t="shared" ca="1" si="14"/>
        <v>#N/A</v>
      </c>
      <c r="Q101" s="7" t="e">
        <f t="shared" ca="1" si="14"/>
        <v>#N/A</v>
      </c>
    </row>
    <row r="102" spans="7:17" ht="20.25" customHeight="1" x14ac:dyDescent="0.35">
      <c r="G102" s="7">
        <v>96</v>
      </c>
      <c r="H102" s="7">
        <f t="array" aca="1" ref="H102" ca="1">IF(INT(M$4/500*360)&gt;=$G102,H$5,NA())</f>
        <v>10</v>
      </c>
      <c r="I102" s="7">
        <f t="array" aca="1" ref="I102" ca="1">IF(INT(N$4/500*360)&gt;=$G102,I$5,NA())</f>
        <v>9.3000000000000007</v>
      </c>
      <c r="J102" s="7">
        <f t="array" aca="1" ref="J102" ca="1">IF(INT(O$4/500*360)&gt;=$G102,J$5,NA())</f>
        <v>8.6</v>
      </c>
      <c r="K102" s="7">
        <f t="array" aca="1" ref="K102" ca="1">IF(INT(P$4/500*360)&gt;=$G102,K$5,NA())</f>
        <v>7.9</v>
      </c>
      <c r="L102" s="7">
        <f t="array" aca="1" ref="L102" ca="1">IF(INT(Q$4/500*360)&gt;=$G102,L$5,NA())</f>
        <v>7.2</v>
      </c>
      <c r="M102" s="7" t="e">
        <f t="shared" ca="1" si="14"/>
        <v>#N/A</v>
      </c>
      <c r="N102" s="7" t="e">
        <f t="shared" ca="1" si="14"/>
        <v>#N/A</v>
      </c>
      <c r="O102" s="7" t="e">
        <f t="shared" ca="1" si="14"/>
        <v>#N/A</v>
      </c>
      <c r="P102" s="7" t="e">
        <f t="shared" ca="1" si="14"/>
        <v>#N/A</v>
      </c>
      <c r="Q102" s="7" t="e">
        <f t="shared" ca="1" si="14"/>
        <v>#N/A</v>
      </c>
    </row>
    <row r="103" spans="7:17" ht="20.25" customHeight="1" x14ac:dyDescent="0.35">
      <c r="G103" s="7">
        <v>97</v>
      </c>
      <c r="H103" s="7">
        <f t="array" aca="1" ref="H103" ca="1">IF(INT(M$4/500*360)&gt;=$G103,H$5,NA())</f>
        <v>10</v>
      </c>
      <c r="I103" s="7">
        <f t="array" aca="1" ref="I103" ca="1">IF(INT(N$4/500*360)&gt;=$G103,I$5,NA())</f>
        <v>9.3000000000000007</v>
      </c>
      <c r="J103" s="7">
        <f t="array" aca="1" ref="J103" ca="1">IF(INT(O$4/500*360)&gt;=$G103,J$5,NA())</f>
        <v>8.6</v>
      </c>
      <c r="K103" s="7">
        <f t="array" aca="1" ref="K103" ca="1">IF(INT(P$4/500*360)&gt;=$G103,K$5,NA())</f>
        <v>7.9</v>
      </c>
      <c r="L103" s="7">
        <f t="array" aca="1" ref="L103" ca="1">IF(INT(Q$4/500*360)&gt;=$G103,L$5,NA())</f>
        <v>7.2</v>
      </c>
      <c r="M103" s="7" t="e">
        <f t="shared" ca="1" si="14"/>
        <v>#N/A</v>
      </c>
      <c r="N103" s="7" t="e">
        <f t="shared" ca="1" si="14"/>
        <v>#N/A</v>
      </c>
      <c r="O103" s="7" t="e">
        <f t="shared" ca="1" si="14"/>
        <v>#N/A</v>
      </c>
      <c r="P103" s="7" t="e">
        <f t="shared" ca="1" si="14"/>
        <v>#N/A</v>
      </c>
      <c r="Q103" s="7" t="e">
        <f t="shared" ca="1" si="14"/>
        <v>#N/A</v>
      </c>
    </row>
    <row r="104" spans="7:17" ht="20.25" customHeight="1" x14ac:dyDescent="0.35">
      <c r="G104" s="7">
        <v>98</v>
      </c>
      <c r="H104" s="7">
        <f t="array" aca="1" ref="H104" ca="1">IF(INT(M$4/500*360)&gt;=$G104,H$5,NA())</f>
        <v>10</v>
      </c>
      <c r="I104" s="7">
        <f t="array" aca="1" ref="I104" ca="1">IF(INT(N$4/500*360)&gt;=$G104,I$5,NA())</f>
        <v>9.3000000000000007</v>
      </c>
      <c r="J104" s="7">
        <f t="array" aca="1" ref="J104" ca="1">IF(INT(O$4/500*360)&gt;=$G104,J$5,NA())</f>
        <v>8.6</v>
      </c>
      <c r="K104" s="7">
        <f t="array" aca="1" ref="K104" ca="1">IF(INT(P$4/500*360)&gt;=$G104,K$5,NA())</f>
        <v>7.9</v>
      </c>
      <c r="L104" s="7">
        <f t="array" aca="1" ref="L104" ca="1">IF(INT(Q$4/500*360)&gt;=$G104,L$5,NA())</f>
        <v>7.2</v>
      </c>
      <c r="M104" s="7" t="e">
        <f t="shared" ca="1" si="14"/>
        <v>#N/A</v>
      </c>
      <c r="N104" s="7" t="e">
        <f t="shared" ca="1" si="14"/>
        <v>#N/A</v>
      </c>
      <c r="O104" s="7" t="e">
        <f t="shared" ca="1" si="14"/>
        <v>#N/A</v>
      </c>
      <c r="P104" s="7" t="e">
        <f t="shared" ca="1" si="14"/>
        <v>#N/A</v>
      </c>
      <c r="Q104" s="7" t="e">
        <f t="shared" ca="1" si="14"/>
        <v>#N/A</v>
      </c>
    </row>
    <row r="105" spans="7:17" ht="20.25" customHeight="1" x14ac:dyDescent="0.35">
      <c r="G105" s="7">
        <v>99</v>
      </c>
      <c r="H105" s="7">
        <f t="array" aca="1" ref="H105" ca="1">IF(INT(M$4/500*360)&gt;=$G105,H$5,NA())</f>
        <v>10</v>
      </c>
      <c r="I105" s="7">
        <f t="array" aca="1" ref="I105" ca="1">IF(INT(N$4/500*360)&gt;=$G105,I$5,NA())</f>
        <v>9.3000000000000007</v>
      </c>
      <c r="J105" s="7">
        <f t="array" aca="1" ref="J105" ca="1">IF(INT(O$4/500*360)&gt;=$G105,J$5,NA())</f>
        <v>8.6</v>
      </c>
      <c r="K105" s="7">
        <f t="array" aca="1" ref="K105" ca="1">IF(INT(P$4/500*360)&gt;=$G105,K$5,NA())</f>
        <v>7.9</v>
      </c>
      <c r="L105" s="7">
        <f t="array" aca="1" ref="L105" ca="1">IF(INT(Q$4/500*360)&gt;=$G105,L$5,NA())</f>
        <v>7.2</v>
      </c>
      <c r="M105" s="7" t="e">
        <f t="shared" ca="1" si="14"/>
        <v>#N/A</v>
      </c>
      <c r="N105" s="7" t="e">
        <f t="shared" ca="1" si="14"/>
        <v>#N/A</v>
      </c>
      <c r="O105" s="7" t="e">
        <f t="shared" ca="1" si="14"/>
        <v>#N/A</v>
      </c>
      <c r="P105" s="7" t="e">
        <f t="shared" ca="1" si="14"/>
        <v>#N/A</v>
      </c>
      <c r="Q105" s="7" t="e">
        <f t="shared" ca="1" si="14"/>
        <v>#N/A</v>
      </c>
    </row>
    <row r="106" spans="7:17" ht="20.25" customHeight="1" x14ac:dyDescent="0.35">
      <c r="G106" s="7">
        <v>100</v>
      </c>
      <c r="H106" s="7">
        <f t="array" aca="1" ref="H106" ca="1">IF(INT(M$4/500*360)&gt;=$G106,H$5,NA())</f>
        <v>10</v>
      </c>
      <c r="I106" s="7">
        <f t="array" aca="1" ref="I106" ca="1">IF(INT(N$4/500*360)&gt;=$G106,I$5,NA())</f>
        <v>9.3000000000000007</v>
      </c>
      <c r="J106" s="7">
        <f t="array" aca="1" ref="J106" ca="1">IF(INT(O$4/500*360)&gt;=$G106,J$5,NA())</f>
        <v>8.6</v>
      </c>
      <c r="K106" s="7">
        <f t="array" aca="1" ref="K106" ca="1">IF(INT(P$4/500*360)&gt;=$G106,K$5,NA())</f>
        <v>7.9</v>
      </c>
      <c r="L106" s="7">
        <f t="array" aca="1" ref="L106" ca="1">IF(INT(Q$4/500*360)&gt;=$G106,L$5,NA())</f>
        <v>7.2</v>
      </c>
      <c r="M106" s="7" t="e">
        <f t="shared" ca="1" si="14"/>
        <v>#N/A</v>
      </c>
      <c r="N106" s="7" t="e">
        <f t="shared" ca="1" si="14"/>
        <v>#N/A</v>
      </c>
      <c r="O106" s="7" t="e">
        <f t="shared" ca="1" si="14"/>
        <v>#N/A</v>
      </c>
      <c r="P106" s="7" t="e">
        <f t="shared" ca="1" si="14"/>
        <v>#N/A</v>
      </c>
      <c r="Q106" s="7" t="e">
        <f t="shared" ca="1" si="14"/>
        <v>#N/A</v>
      </c>
    </row>
    <row r="107" spans="7:17" ht="20.25" customHeight="1" x14ac:dyDescent="0.35">
      <c r="G107" s="7">
        <v>101</v>
      </c>
      <c r="H107" s="7">
        <f t="array" aca="1" ref="H107" ca="1">IF(INT(M$4/500*360)&gt;=$G107,H$5,NA())</f>
        <v>10</v>
      </c>
      <c r="I107" s="7">
        <f t="array" aca="1" ref="I107" ca="1">IF(INT(N$4/500*360)&gt;=$G107,I$5,NA())</f>
        <v>9.3000000000000007</v>
      </c>
      <c r="J107" s="7">
        <f t="array" aca="1" ref="J107" ca="1">IF(INT(O$4/500*360)&gt;=$G107,J$5,NA())</f>
        <v>8.6</v>
      </c>
      <c r="K107" s="7">
        <f t="array" aca="1" ref="K107" ca="1">IF(INT(P$4/500*360)&gt;=$G107,K$5,NA())</f>
        <v>7.9</v>
      </c>
      <c r="L107" s="7">
        <f t="array" aca="1" ref="L107" ca="1">IF(INT(Q$4/500*360)&gt;=$G107,L$5,NA())</f>
        <v>7.2</v>
      </c>
      <c r="M107" s="7" t="e">
        <f t="shared" ref="M107:Q116" ca="1" si="15">IF(INT(M$4/500*360)=$G107,M$5,NA())</f>
        <v>#N/A</v>
      </c>
      <c r="N107" s="7" t="e">
        <f t="shared" ca="1" si="15"/>
        <v>#N/A</v>
      </c>
      <c r="O107" s="7" t="e">
        <f t="shared" ca="1" si="15"/>
        <v>#N/A</v>
      </c>
      <c r="P107" s="7" t="e">
        <f t="shared" ca="1" si="15"/>
        <v>#N/A</v>
      </c>
      <c r="Q107" s="7" t="e">
        <f t="shared" ca="1" si="15"/>
        <v>#N/A</v>
      </c>
    </row>
    <row r="108" spans="7:17" ht="20.25" customHeight="1" x14ac:dyDescent="0.35">
      <c r="G108" s="7">
        <v>102</v>
      </c>
      <c r="H108" s="7">
        <f t="array" aca="1" ref="H108" ca="1">IF(INT(M$4/500*360)&gt;=$G108,H$5,NA())</f>
        <v>10</v>
      </c>
      <c r="I108" s="7">
        <f t="array" aca="1" ref="I108" ca="1">IF(INT(N$4/500*360)&gt;=$G108,I$5,NA())</f>
        <v>9.3000000000000007</v>
      </c>
      <c r="J108" s="7">
        <f t="array" aca="1" ref="J108" ca="1">IF(INT(O$4/500*360)&gt;=$G108,J$5,NA())</f>
        <v>8.6</v>
      </c>
      <c r="K108" s="7">
        <f t="array" aca="1" ref="K108" ca="1">IF(INT(P$4/500*360)&gt;=$G108,K$5,NA())</f>
        <v>7.9</v>
      </c>
      <c r="L108" s="7">
        <f t="array" aca="1" ref="L108" ca="1">IF(INT(Q$4/500*360)&gt;=$G108,L$5,NA())</f>
        <v>7.2</v>
      </c>
      <c r="M108" s="7" t="e">
        <f t="shared" ca="1" si="15"/>
        <v>#N/A</v>
      </c>
      <c r="N108" s="7" t="e">
        <f t="shared" ca="1" si="15"/>
        <v>#N/A</v>
      </c>
      <c r="O108" s="7" t="e">
        <f t="shared" ca="1" si="15"/>
        <v>#N/A</v>
      </c>
      <c r="P108" s="7" t="e">
        <f t="shared" ca="1" si="15"/>
        <v>#N/A</v>
      </c>
      <c r="Q108" s="7" t="e">
        <f t="shared" ca="1" si="15"/>
        <v>#N/A</v>
      </c>
    </row>
    <row r="109" spans="7:17" ht="20.25" customHeight="1" x14ac:dyDescent="0.35">
      <c r="G109" s="7">
        <v>103</v>
      </c>
      <c r="H109" s="7">
        <f t="array" aca="1" ref="H109" ca="1">IF(INT(M$4/500*360)&gt;=$G109,H$5,NA())</f>
        <v>10</v>
      </c>
      <c r="I109" s="7">
        <f t="array" aca="1" ref="I109" ca="1">IF(INT(N$4/500*360)&gt;=$G109,I$5,NA())</f>
        <v>9.3000000000000007</v>
      </c>
      <c r="J109" s="7">
        <f t="array" aca="1" ref="J109" ca="1">IF(INT(O$4/500*360)&gt;=$G109,J$5,NA())</f>
        <v>8.6</v>
      </c>
      <c r="K109" s="7">
        <f t="array" aca="1" ref="K109" ca="1">IF(INT(P$4/500*360)&gt;=$G109,K$5,NA())</f>
        <v>7.9</v>
      </c>
      <c r="L109" s="7">
        <f t="array" aca="1" ref="L109" ca="1">IF(INT(Q$4/500*360)&gt;=$G109,L$5,NA())</f>
        <v>7.2</v>
      </c>
      <c r="M109" s="7" t="e">
        <f t="shared" ca="1" si="15"/>
        <v>#N/A</v>
      </c>
      <c r="N109" s="7" t="e">
        <f t="shared" ca="1" si="15"/>
        <v>#N/A</v>
      </c>
      <c r="O109" s="7" t="e">
        <f t="shared" ca="1" si="15"/>
        <v>#N/A</v>
      </c>
      <c r="P109" s="7" t="e">
        <f t="shared" ca="1" si="15"/>
        <v>#N/A</v>
      </c>
      <c r="Q109" s="7" t="e">
        <f t="shared" ca="1" si="15"/>
        <v>#N/A</v>
      </c>
    </row>
    <row r="110" spans="7:17" ht="20.25" customHeight="1" x14ac:dyDescent="0.35">
      <c r="G110" s="7">
        <v>104</v>
      </c>
      <c r="H110" s="7">
        <f t="array" aca="1" ref="H110" ca="1">IF(INT(M$4/500*360)&gt;=$G110,H$5,NA())</f>
        <v>10</v>
      </c>
      <c r="I110" s="7">
        <f t="array" aca="1" ref="I110" ca="1">IF(INT(N$4/500*360)&gt;=$G110,I$5,NA())</f>
        <v>9.3000000000000007</v>
      </c>
      <c r="J110" s="7">
        <f t="array" aca="1" ref="J110" ca="1">IF(INT(O$4/500*360)&gt;=$G110,J$5,NA())</f>
        <v>8.6</v>
      </c>
      <c r="K110" s="7">
        <f t="array" aca="1" ref="K110" ca="1">IF(INT(P$4/500*360)&gt;=$G110,K$5,NA())</f>
        <v>7.9</v>
      </c>
      <c r="L110" s="7">
        <f t="array" aca="1" ref="L110" ca="1">IF(INT(Q$4/500*360)&gt;=$G110,L$5,NA())</f>
        <v>7.2</v>
      </c>
      <c r="M110" s="7" t="e">
        <f t="shared" ca="1" si="15"/>
        <v>#N/A</v>
      </c>
      <c r="N110" s="7" t="e">
        <f t="shared" ca="1" si="15"/>
        <v>#N/A</v>
      </c>
      <c r="O110" s="7" t="e">
        <f t="shared" ca="1" si="15"/>
        <v>#N/A</v>
      </c>
      <c r="P110" s="7" t="e">
        <f t="shared" ca="1" si="15"/>
        <v>#N/A</v>
      </c>
      <c r="Q110" s="7" t="e">
        <f t="shared" ca="1" si="15"/>
        <v>#N/A</v>
      </c>
    </row>
    <row r="111" spans="7:17" ht="20.25" customHeight="1" x14ac:dyDescent="0.35">
      <c r="G111" s="7">
        <v>105</v>
      </c>
      <c r="H111" s="7">
        <f t="array" aca="1" ref="H111" ca="1">IF(INT(M$4/500*360)&gt;=$G111,H$5,NA())</f>
        <v>10</v>
      </c>
      <c r="I111" s="7">
        <f t="array" aca="1" ref="I111" ca="1">IF(INT(N$4/500*360)&gt;=$G111,I$5,NA())</f>
        <v>9.3000000000000007</v>
      </c>
      <c r="J111" s="7">
        <f t="array" aca="1" ref="J111" ca="1">IF(INT(O$4/500*360)&gt;=$G111,J$5,NA())</f>
        <v>8.6</v>
      </c>
      <c r="K111" s="7">
        <f t="array" aca="1" ref="K111" ca="1">IF(INT(P$4/500*360)&gt;=$G111,K$5,NA())</f>
        <v>7.9</v>
      </c>
      <c r="L111" s="7">
        <f t="array" aca="1" ref="L111" ca="1">IF(INT(Q$4/500*360)&gt;=$G111,L$5,NA())</f>
        <v>7.2</v>
      </c>
      <c r="M111" s="7" t="e">
        <f t="shared" ca="1" si="15"/>
        <v>#N/A</v>
      </c>
      <c r="N111" s="7" t="e">
        <f t="shared" ca="1" si="15"/>
        <v>#N/A</v>
      </c>
      <c r="O111" s="7" t="e">
        <f t="shared" ca="1" si="15"/>
        <v>#N/A</v>
      </c>
      <c r="P111" s="7" t="e">
        <f t="shared" ca="1" si="15"/>
        <v>#N/A</v>
      </c>
      <c r="Q111" s="7" t="e">
        <f t="shared" ca="1" si="15"/>
        <v>#N/A</v>
      </c>
    </row>
    <row r="112" spans="7:17" ht="20.25" customHeight="1" x14ac:dyDescent="0.35">
      <c r="G112" s="7">
        <v>106</v>
      </c>
      <c r="H112" s="7">
        <f t="array" aca="1" ref="H112" ca="1">IF(INT(M$4/500*360)&gt;=$G112,H$5,NA())</f>
        <v>10</v>
      </c>
      <c r="I112" s="7">
        <f t="array" aca="1" ref="I112" ca="1">IF(INT(N$4/500*360)&gt;=$G112,I$5,NA())</f>
        <v>9.3000000000000007</v>
      </c>
      <c r="J112" s="7">
        <f t="array" aca="1" ref="J112" ca="1">IF(INT(O$4/500*360)&gt;=$G112,J$5,NA())</f>
        <v>8.6</v>
      </c>
      <c r="K112" s="7">
        <f t="array" aca="1" ref="K112" ca="1">IF(INT(P$4/500*360)&gt;=$G112,K$5,NA())</f>
        <v>7.9</v>
      </c>
      <c r="L112" s="7">
        <f t="array" aca="1" ref="L112" ca="1">IF(INT(Q$4/500*360)&gt;=$G112,L$5,NA())</f>
        <v>7.2</v>
      </c>
      <c r="M112" s="7" t="e">
        <f t="shared" ca="1" si="15"/>
        <v>#N/A</v>
      </c>
      <c r="N112" s="7" t="e">
        <f t="shared" ca="1" si="15"/>
        <v>#N/A</v>
      </c>
      <c r="O112" s="7" t="e">
        <f t="shared" ca="1" si="15"/>
        <v>#N/A</v>
      </c>
      <c r="P112" s="7" t="e">
        <f t="shared" ca="1" si="15"/>
        <v>#N/A</v>
      </c>
      <c r="Q112" s="7" t="e">
        <f t="shared" ca="1" si="15"/>
        <v>#N/A</v>
      </c>
    </row>
    <row r="113" spans="7:17" ht="20.25" customHeight="1" x14ac:dyDescent="0.35">
      <c r="G113" s="7">
        <v>107</v>
      </c>
      <c r="H113" s="7">
        <f t="array" aca="1" ref="H113" ca="1">IF(INT(M$4/500*360)&gt;=$G113,H$5,NA())</f>
        <v>10</v>
      </c>
      <c r="I113" s="7">
        <f t="array" aca="1" ref="I113" ca="1">IF(INT(N$4/500*360)&gt;=$G113,I$5,NA())</f>
        <v>9.3000000000000007</v>
      </c>
      <c r="J113" s="7">
        <f t="array" aca="1" ref="J113" ca="1">IF(INT(O$4/500*360)&gt;=$G113,J$5,NA())</f>
        <v>8.6</v>
      </c>
      <c r="K113" s="7">
        <f t="array" aca="1" ref="K113" ca="1">IF(INT(P$4/500*360)&gt;=$G113,K$5,NA())</f>
        <v>7.9</v>
      </c>
      <c r="L113" s="7">
        <f t="array" aca="1" ref="L113" ca="1">IF(INT(Q$4/500*360)&gt;=$G113,L$5,NA())</f>
        <v>7.2</v>
      </c>
      <c r="M113" s="7" t="e">
        <f t="shared" ca="1" si="15"/>
        <v>#N/A</v>
      </c>
      <c r="N113" s="7" t="e">
        <f t="shared" ca="1" si="15"/>
        <v>#N/A</v>
      </c>
      <c r="O113" s="7" t="e">
        <f t="shared" ca="1" si="15"/>
        <v>#N/A</v>
      </c>
      <c r="P113" s="7" t="e">
        <f t="shared" ca="1" si="15"/>
        <v>#N/A</v>
      </c>
      <c r="Q113" s="7" t="e">
        <f t="shared" ca="1" si="15"/>
        <v>#N/A</v>
      </c>
    </row>
    <row r="114" spans="7:17" ht="20.25" customHeight="1" x14ac:dyDescent="0.35">
      <c r="G114" s="7">
        <v>108</v>
      </c>
      <c r="H114" s="7">
        <f t="array" aca="1" ref="H114" ca="1">IF(INT(M$4/500*360)&gt;=$G114,H$5,NA())</f>
        <v>10</v>
      </c>
      <c r="I114" s="7">
        <f t="array" aca="1" ref="I114" ca="1">IF(INT(N$4/500*360)&gt;=$G114,I$5,NA())</f>
        <v>9.3000000000000007</v>
      </c>
      <c r="J114" s="7">
        <f t="array" aca="1" ref="J114" ca="1">IF(INT(O$4/500*360)&gt;=$G114,J$5,NA())</f>
        <v>8.6</v>
      </c>
      <c r="K114" s="7">
        <f t="array" aca="1" ref="K114" ca="1">IF(INT(P$4/500*360)&gt;=$G114,K$5,NA())</f>
        <v>7.9</v>
      </c>
      <c r="L114" s="7">
        <f t="array" aca="1" ref="L114" ca="1">IF(INT(Q$4/500*360)&gt;=$G114,L$5,NA())</f>
        <v>7.2</v>
      </c>
      <c r="M114" s="7" t="e">
        <f t="shared" ca="1" si="15"/>
        <v>#N/A</v>
      </c>
      <c r="N114" s="7" t="e">
        <f t="shared" ca="1" si="15"/>
        <v>#N/A</v>
      </c>
      <c r="O114" s="7" t="e">
        <f t="shared" ca="1" si="15"/>
        <v>#N/A</v>
      </c>
      <c r="P114" s="7" t="e">
        <f t="shared" ca="1" si="15"/>
        <v>#N/A</v>
      </c>
      <c r="Q114" s="7" t="e">
        <f t="shared" ca="1" si="15"/>
        <v>#N/A</v>
      </c>
    </row>
    <row r="115" spans="7:17" ht="20.25" customHeight="1" x14ac:dyDescent="0.35">
      <c r="G115" s="7">
        <v>109</v>
      </c>
      <c r="H115" s="7">
        <f t="array" aca="1" ref="H115" ca="1">IF(INT(M$4/500*360)&gt;=$G115,H$5,NA())</f>
        <v>10</v>
      </c>
      <c r="I115" s="7">
        <f t="array" aca="1" ref="I115" ca="1">IF(INT(N$4/500*360)&gt;=$G115,I$5,NA())</f>
        <v>9.3000000000000007</v>
      </c>
      <c r="J115" s="7">
        <f t="array" aca="1" ref="J115" ca="1">IF(INT(O$4/500*360)&gt;=$G115,J$5,NA())</f>
        <v>8.6</v>
      </c>
      <c r="K115" s="7">
        <f t="array" aca="1" ref="K115" ca="1">IF(INT(P$4/500*360)&gt;=$G115,K$5,NA())</f>
        <v>7.9</v>
      </c>
      <c r="L115" s="7">
        <f t="array" aca="1" ref="L115" ca="1">IF(INT(Q$4/500*360)&gt;=$G115,L$5,NA())</f>
        <v>7.2</v>
      </c>
      <c r="M115" s="7" t="e">
        <f t="shared" ca="1" si="15"/>
        <v>#N/A</v>
      </c>
      <c r="N115" s="7" t="e">
        <f t="shared" ca="1" si="15"/>
        <v>#N/A</v>
      </c>
      <c r="O115" s="7" t="e">
        <f t="shared" ca="1" si="15"/>
        <v>#N/A</v>
      </c>
      <c r="P115" s="7" t="e">
        <f t="shared" ca="1" si="15"/>
        <v>#N/A</v>
      </c>
      <c r="Q115" s="7" t="e">
        <f t="shared" ca="1" si="15"/>
        <v>#N/A</v>
      </c>
    </row>
    <row r="116" spans="7:17" ht="20.25" customHeight="1" x14ac:dyDescent="0.35">
      <c r="G116" s="7">
        <v>110</v>
      </c>
      <c r="H116" s="7">
        <f t="array" aca="1" ref="H116" ca="1">IF(INT(M$4/500*360)&gt;=$G116,H$5,NA())</f>
        <v>10</v>
      </c>
      <c r="I116" s="7">
        <f t="array" aca="1" ref="I116" ca="1">IF(INT(N$4/500*360)&gt;=$G116,I$5,NA())</f>
        <v>9.3000000000000007</v>
      </c>
      <c r="J116" s="7">
        <f t="array" aca="1" ref="J116" ca="1">IF(INT(O$4/500*360)&gt;=$G116,J$5,NA())</f>
        <v>8.6</v>
      </c>
      <c r="K116" s="7">
        <f t="array" aca="1" ref="K116" ca="1">IF(INT(P$4/500*360)&gt;=$G116,K$5,NA())</f>
        <v>7.9</v>
      </c>
      <c r="L116" s="7">
        <f t="array" aca="1" ref="L116" ca="1">IF(INT(Q$4/500*360)&gt;=$G116,L$5,NA())</f>
        <v>7.2</v>
      </c>
      <c r="M116" s="7" t="e">
        <f t="shared" ca="1" si="15"/>
        <v>#N/A</v>
      </c>
      <c r="N116" s="7" t="e">
        <f t="shared" ca="1" si="15"/>
        <v>#N/A</v>
      </c>
      <c r="O116" s="7" t="e">
        <f t="shared" ca="1" si="15"/>
        <v>#N/A</v>
      </c>
      <c r="P116" s="7" t="e">
        <f t="shared" ca="1" si="15"/>
        <v>#N/A</v>
      </c>
      <c r="Q116" s="7" t="e">
        <f t="shared" ca="1" si="15"/>
        <v>#N/A</v>
      </c>
    </row>
    <row r="117" spans="7:17" ht="20.25" customHeight="1" x14ac:dyDescent="0.35">
      <c r="G117" s="7">
        <v>111</v>
      </c>
      <c r="H117" s="7">
        <f t="array" aca="1" ref="H117" ca="1">IF(INT(M$4/500*360)&gt;=$G117,H$5,NA())</f>
        <v>10</v>
      </c>
      <c r="I117" s="7">
        <f t="array" aca="1" ref="I117" ca="1">IF(INT(N$4/500*360)&gt;=$G117,I$5,NA())</f>
        <v>9.3000000000000007</v>
      </c>
      <c r="J117" s="7">
        <f t="array" aca="1" ref="J117" ca="1">IF(INT(O$4/500*360)&gt;=$G117,J$5,NA())</f>
        <v>8.6</v>
      </c>
      <c r="K117" s="7">
        <f t="array" aca="1" ref="K117" ca="1">IF(INT(P$4/500*360)&gt;=$G117,K$5,NA())</f>
        <v>7.9</v>
      </c>
      <c r="L117" s="7">
        <f t="array" aca="1" ref="L117" ca="1">IF(INT(Q$4/500*360)&gt;=$G117,L$5,NA())</f>
        <v>7.2</v>
      </c>
      <c r="M117" s="7" t="e">
        <f t="shared" ref="M117:Q126" ca="1" si="16">IF(INT(M$4/500*360)=$G117,M$5,NA())</f>
        <v>#N/A</v>
      </c>
      <c r="N117" s="7" t="e">
        <f t="shared" ca="1" si="16"/>
        <v>#N/A</v>
      </c>
      <c r="O117" s="7" t="e">
        <f t="shared" ca="1" si="16"/>
        <v>#N/A</v>
      </c>
      <c r="P117" s="7" t="e">
        <f t="shared" ca="1" si="16"/>
        <v>#N/A</v>
      </c>
      <c r="Q117" s="7" t="e">
        <f t="shared" ca="1" si="16"/>
        <v>#N/A</v>
      </c>
    </row>
    <row r="118" spans="7:17" ht="20.25" customHeight="1" x14ac:dyDescent="0.35">
      <c r="G118" s="7">
        <v>112</v>
      </c>
      <c r="H118" s="7">
        <f t="array" aca="1" ref="H118" ca="1">IF(INT(M$4/500*360)&gt;=$G118,H$5,NA())</f>
        <v>10</v>
      </c>
      <c r="I118" s="7">
        <f t="array" aca="1" ref="I118" ca="1">IF(INT(N$4/500*360)&gt;=$G118,I$5,NA())</f>
        <v>9.3000000000000007</v>
      </c>
      <c r="J118" s="7">
        <f t="array" aca="1" ref="J118" ca="1">IF(INT(O$4/500*360)&gt;=$G118,J$5,NA())</f>
        <v>8.6</v>
      </c>
      <c r="K118" s="7">
        <f t="array" aca="1" ref="K118" ca="1">IF(INT(P$4/500*360)&gt;=$G118,K$5,NA())</f>
        <v>7.9</v>
      </c>
      <c r="L118" s="7">
        <f t="array" aca="1" ref="L118" ca="1">IF(INT(Q$4/500*360)&gt;=$G118,L$5,NA())</f>
        <v>7.2</v>
      </c>
      <c r="M118" s="7" t="e">
        <f t="shared" ca="1" si="16"/>
        <v>#N/A</v>
      </c>
      <c r="N118" s="7" t="e">
        <f t="shared" ca="1" si="16"/>
        <v>#N/A</v>
      </c>
      <c r="O118" s="7" t="e">
        <f t="shared" ca="1" si="16"/>
        <v>#N/A</v>
      </c>
      <c r="P118" s="7" t="e">
        <f t="shared" ca="1" si="16"/>
        <v>#N/A</v>
      </c>
      <c r="Q118" s="7" t="e">
        <f t="shared" ca="1" si="16"/>
        <v>#N/A</v>
      </c>
    </row>
    <row r="119" spans="7:17" ht="20.25" customHeight="1" x14ac:dyDescent="0.35">
      <c r="G119" s="7">
        <v>113</v>
      </c>
      <c r="H119" s="7">
        <f t="array" aca="1" ref="H119" ca="1">IF(INT(M$4/500*360)&gt;=$G119,H$5,NA())</f>
        <v>10</v>
      </c>
      <c r="I119" s="7">
        <f t="array" aca="1" ref="I119" ca="1">IF(INT(N$4/500*360)&gt;=$G119,I$5,NA())</f>
        <v>9.3000000000000007</v>
      </c>
      <c r="J119" s="7">
        <f t="array" aca="1" ref="J119" ca="1">IF(INT(O$4/500*360)&gt;=$G119,J$5,NA())</f>
        <v>8.6</v>
      </c>
      <c r="K119" s="7">
        <f t="array" aca="1" ref="K119" ca="1">IF(INT(P$4/500*360)&gt;=$G119,K$5,NA())</f>
        <v>7.9</v>
      </c>
      <c r="L119" s="7">
        <f t="array" aca="1" ref="L119" ca="1">IF(INT(Q$4/500*360)&gt;=$G119,L$5,NA())</f>
        <v>7.2</v>
      </c>
      <c r="M119" s="7" t="e">
        <f t="shared" ca="1" si="16"/>
        <v>#N/A</v>
      </c>
      <c r="N119" s="7" t="e">
        <f t="shared" ca="1" si="16"/>
        <v>#N/A</v>
      </c>
      <c r="O119" s="7" t="e">
        <f t="shared" ca="1" si="16"/>
        <v>#N/A</v>
      </c>
      <c r="P119" s="7" t="e">
        <f t="shared" ca="1" si="16"/>
        <v>#N/A</v>
      </c>
      <c r="Q119" s="7" t="e">
        <f t="shared" ca="1" si="16"/>
        <v>#N/A</v>
      </c>
    </row>
    <row r="120" spans="7:17" ht="20.25" customHeight="1" x14ac:dyDescent="0.35">
      <c r="G120" s="7">
        <v>114</v>
      </c>
      <c r="H120" s="7">
        <f t="array" aca="1" ref="H120" ca="1">IF(INT(M$4/500*360)&gt;=$G120,H$5,NA())</f>
        <v>10</v>
      </c>
      <c r="I120" s="7">
        <f t="array" aca="1" ref="I120" ca="1">IF(INT(N$4/500*360)&gt;=$G120,I$5,NA())</f>
        <v>9.3000000000000007</v>
      </c>
      <c r="J120" s="7">
        <f t="array" aca="1" ref="J120" ca="1">IF(INT(O$4/500*360)&gt;=$G120,J$5,NA())</f>
        <v>8.6</v>
      </c>
      <c r="K120" s="7">
        <f t="array" aca="1" ref="K120" ca="1">IF(INT(P$4/500*360)&gt;=$G120,K$5,NA())</f>
        <v>7.9</v>
      </c>
      <c r="L120" s="7">
        <f t="array" aca="1" ref="L120" ca="1">IF(INT(Q$4/500*360)&gt;=$G120,L$5,NA())</f>
        <v>7.2</v>
      </c>
      <c r="M120" s="7" t="e">
        <f t="shared" ca="1" si="16"/>
        <v>#N/A</v>
      </c>
      <c r="N120" s="7" t="e">
        <f t="shared" ca="1" si="16"/>
        <v>#N/A</v>
      </c>
      <c r="O120" s="7" t="e">
        <f t="shared" ca="1" si="16"/>
        <v>#N/A</v>
      </c>
      <c r="P120" s="7" t="e">
        <f t="shared" ca="1" si="16"/>
        <v>#N/A</v>
      </c>
      <c r="Q120" s="7" t="e">
        <f t="shared" ca="1" si="16"/>
        <v>#N/A</v>
      </c>
    </row>
    <row r="121" spans="7:17" ht="20.25" customHeight="1" x14ac:dyDescent="0.35">
      <c r="G121" s="7">
        <v>115</v>
      </c>
      <c r="H121" s="7">
        <f t="array" aca="1" ref="H121" ca="1">IF(INT(M$4/500*360)&gt;=$G121,H$5,NA())</f>
        <v>10</v>
      </c>
      <c r="I121" s="7">
        <f t="array" aca="1" ref="I121" ca="1">IF(INT(N$4/500*360)&gt;=$G121,I$5,NA())</f>
        <v>9.3000000000000007</v>
      </c>
      <c r="J121" s="7">
        <f t="array" aca="1" ref="J121" ca="1">IF(INT(O$4/500*360)&gt;=$G121,J$5,NA())</f>
        <v>8.6</v>
      </c>
      <c r="K121" s="7">
        <f t="array" aca="1" ref="K121" ca="1">IF(INT(P$4/500*360)&gt;=$G121,K$5,NA())</f>
        <v>7.9</v>
      </c>
      <c r="L121" s="7">
        <f t="array" aca="1" ref="L121" ca="1">IF(INT(Q$4/500*360)&gt;=$G121,L$5,NA())</f>
        <v>7.2</v>
      </c>
      <c r="M121" s="7" t="e">
        <f t="shared" ca="1" si="16"/>
        <v>#N/A</v>
      </c>
      <c r="N121" s="7" t="e">
        <f t="shared" ca="1" si="16"/>
        <v>#N/A</v>
      </c>
      <c r="O121" s="7" t="e">
        <f t="shared" ca="1" si="16"/>
        <v>#N/A</v>
      </c>
      <c r="P121" s="7" t="e">
        <f t="shared" ca="1" si="16"/>
        <v>#N/A</v>
      </c>
      <c r="Q121" s="7" t="e">
        <f t="shared" ca="1" si="16"/>
        <v>#N/A</v>
      </c>
    </row>
    <row r="122" spans="7:17" ht="20.25" customHeight="1" x14ac:dyDescent="0.35">
      <c r="G122" s="7">
        <v>116</v>
      </c>
      <c r="H122" s="7">
        <f t="array" aca="1" ref="H122" ca="1">IF(INT(M$4/500*360)&gt;=$G122,H$5,NA())</f>
        <v>10</v>
      </c>
      <c r="I122" s="7">
        <f t="array" aca="1" ref="I122" ca="1">IF(INT(N$4/500*360)&gt;=$G122,I$5,NA())</f>
        <v>9.3000000000000007</v>
      </c>
      <c r="J122" s="7">
        <f t="array" aca="1" ref="J122" ca="1">IF(INT(O$4/500*360)&gt;=$G122,J$5,NA())</f>
        <v>8.6</v>
      </c>
      <c r="K122" s="7">
        <f t="array" aca="1" ref="K122" ca="1">IF(INT(P$4/500*360)&gt;=$G122,K$5,NA())</f>
        <v>7.9</v>
      </c>
      <c r="L122" s="7">
        <f t="array" aca="1" ref="L122" ca="1">IF(INT(Q$4/500*360)&gt;=$G122,L$5,NA())</f>
        <v>7.2</v>
      </c>
      <c r="M122" s="7" t="e">
        <f t="shared" ca="1" si="16"/>
        <v>#N/A</v>
      </c>
      <c r="N122" s="7" t="e">
        <f t="shared" ca="1" si="16"/>
        <v>#N/A</v>
      </c>
      <c r="O122" s="7" t="e">
        <f t="shared" ca="1" si="16"/>
        <v>#N/A</v>
      </c>
      <c r="P122" s="7" t="e">
        <f t="shared" ca="1" si="16"/>
        <v>#N/A</v>
      </c>
      <c r="Q122" s="7" t="e">
        <f t="shared" ca="1" si="16"/>
        <v>#N/A</v>
      </c>
    </row>
    <row r="123" spans="7:17" ht="20.25" customHeight="1" x14ac:dyDescent="0.35">
      <c r="G123" s="7">
        <v>117</v>
      </c>
      <c r="H123" s="7">
        <f t="array" aca="1" ref="H123" ca="1">IF(INT(M$4/500*360)&gt;=$G123,H$5,NA())</f>
        <v>10</v>
      </c>
      <c r="I123" s="7">
        <f t="array" aca="1" ref="I123" ca="1">IF(INT(N$4/500*360)&gt;=$G123,I$5,NA())</f>
        <v>9.3000000000000007</v>
      </c>
      <c r="J123" s="7">
        <f t="array" aca="1" ref="J123" ca="1">IF(INT(O$4/500*360)&gt;=$G123,J$5,NA())</f>
        <v>8.6</v>
      </c>
      <c r="K123" s="7">
        <f t="array" aca="1" ref="K123" ca="1">IF(INT(P$4/500*360)&gt;=$G123,K$5,NA())</f>
        <v>7.9</v>
      </c>
      <c r="L123" s="7">
        <f t="array" aca="1" ref="L123" ca="1">IF(INT(Q$4/500*360)&gt;=$G123,L$5,NA())</f>
        <v>7.2</v>
      </c>
      <c r="M123" s="7" t="e">
        <f t="shared" ca="1" si="16"/>
        <v>#N/A</v>
      </c>
      <c r="N123" s="7" t="e">
        <f t="shared" ca="1" si="16"/>
        <v>#N/A</v>
      </c>
      <c r="O123" s="7" t="e">
        <f t="shared" ca="1" si="16"/>
        <v>#N/A</v>
      </c>
      <c r="P123" s="7" t="e">
        <f t="shared" ca="1" si="16"/>
        <v>#N/A</v>
      </c>
      <c r="Q123" s="7">
        <f t="shared" ca="1" si="16"/>
        <v>7.2</v>
      </c>
    </row>
    <row r="124" spans="7:17" ht="20.25" customHeight="1" x14ac:dyDescent="0.35">
      <c r="G124" s="7">
        <v>118</v>
      </c>
      <c r="H124" s="7">
        <f t="array" aca="1" ref="H124" ca="1">IF(INT(M$4/500*360)&gt;=$G124,H$5,NA())</f>
        <v>10</v>
      </c>
      <c r="I124" s="7">
        <f t="array" aca="1" ref="I124" ca="1">IF(INT(N$4/500*360)&gt;=$G124,I$5,NA())</f>
        <v>9.3000000000000007</v>
      </c>
      <c r="J124" s="7">
        <f t="array" aca="1" ref="J124" ca="1">IF(INT(O$4/500*360)&gt;=$G124,J$5,NA())</f>
        <v>8.6</v>
      </c>
      <c r="K124" s="7">
        <f t="array" aca="1" ref="K124" ca="1">IF(INT(P$4/500*360)&gt;=$G124,K$5,NA())</f>
        <v>7.9</v>
      </c>
      <c r="L124" s="7" t="e">
        <f t="array" aca="1" ref="L124" ca="1">IF(INT(Q$4/500*360)&gt;=$G124,L$5,NA())</f>
        <v>#N/A</v>
      </c>
      <c r="M124" s="7" t="e">
        <f t="shared" ca="1" si="16"/>
        <v>#N/A</v>
      </c>
      <c r="N124" s="7" t="e">
        <f t="shared" ca="1" si="16"/>
        <v>#N/A</v>
      </c>
      <c r="O124" s="7" t="e">
        <f t="shared" ca="1" si="16"/>
        <v>#N/A</v>
      </c>
      <c r="P124" s="7" t="e">
        <f t="shared" ca="1" si="16"/>
        <v>#N/A</v>
      </c>
      <c r="Q124" s="7" t="e">
        <f t="shared" ca="1" si="16"/>
        <v>#N/A</v>
      </c>
    </row>
    <row r="125" spans="7:17" ht="20.25" customHeight="1" x14ac:dyDescent="0.35">
      <c r="G125" s="7">
        <v>119</v>
      </c>
      <c r="H125" s="7">
        <f t="array" aca="1" ref="H125" ca="1">IF(INT(M$4/500*360)&gt;=$G125,H$5,NA())</f>
        <v>10</v>
      </c>
      <c r="I125" s="7">
        <f t="array" aca="1" ref="I125" ca="1">IF(INT(N$4/500*360)&gt;=$G125,I$5,NA())</f>
        <v>9.3000000000000007</v>
      </c>
      <c r="J125" s="7">
        <f t="array" aca="1" ref="J125" ca="1">IF(INT(O$4/500*360)&gt;=$G125,J$5,NA())</f>
        <v>8.6</v>
      </c>
      <c r="K125" s="7">
        <f t="array" aca="1" ref="K125" ca="1">IF(INT(P$4/500*360)&gt;=$G125,K$5,NA())</f>
        <v>7.9</v>
      </c>
      <c r="L125" s="7" t="e">
        <f t="array" aca="1" ref="L125" ca="1">IF(INT(Q$4/500*360)&gt;=$G125,L$5,NA())</f>
        <v>#N/A</v>
      </c>
      <c r="M125" s="7" t="e">
        <f t="shared" ca="1" si="16"/>
        <v>#N/A</v>
      </c>
      <c r="N125" s="7" t="e">
        <f t="shared" ca="1" si="16"/>
        <v>#N/A</v>
      </c>
      <c r="O125" s="7" t="e">
        <f t="shared" ca="1" si="16"/>
        <v>#N/A</v>
      </c>
      <c r="P125" s="7" t="e">
        <f t="shared" ca="1" si="16"/>
        <v>#N/A</v>
      </c>
      <c r="Q125" s="7" t="e">
        <f t="shared" ca="1" si="16"/>
        <v>#N/A</v>
      </c>
    </row>
    <row r="126" spans="7:17" ht="20.25" customHeight="1" x14ac:dyDescent="0.35">
      <c r="G126" s="7">
        <v>120</v>
      </c>
      <c r="H126" s="7">
        <f t="array" aca="1" ref="H126" ca="1">IF(INT(M$4/500*360)&gt;=$G126,H$5,NA())</f>
        <v>10</v>
      </c>
      <c r="I126" s="7">
        <f t="array" aca="1" ref="I126" ca="1">IF(INT(N$4/500*360)&gt;=$G126,I$5,NA())</f>
        <v>9.3000000000000007</v>
      </c>
      <c r="J126" s="7">
        <f t="array" aca="1" ref="J126" ca="1">IF(INT(O$4/500*360)&gt;=$G126,J$5,NA())</f>
        <v>8.6</v>
      </c>
      <c r="K126" s="7">
        <f t="array" aca="1" ref="K126" ca="1">IF(INT(P$4/500*360)&gt;=$G126,K$5,NA())</f>
        <v>7.9</v>
      </c>
      <c r="L126" s="7" t="e">
        <f t="array" aca="1" ref="L126" ca="1">IF(INT(Q$4/500*360)&gt;=$G126,L$5,NA())</f>
        <v>#N/A</v>
      </c>
      <c r="M126" s="7" t="e">
        <f t="shared" ca="1" si="16"/>
        <v>#N/A</v>
      </c>
      <c r="N126" s="7" t="e">
        <f t="shared" ca="1" si="16"/>
        <v>#N/A</v>
      </c>
      <c r="O126" s="7" t="e">
        <f t="shared" ca="1" si="16"/>
        <v>#N/A</v>
      </c>
      <c r="P126" s="7" t="e">
        <f t="shared" ca="1" si="16"/>
        <v>#N/A</v>
      </c>
      <c r="Q126" s="7" t="e">
        <f t="shared" ca="1" si="16"/>
        <v>#N/A</v>
      </c>
    </row>
    <row r="127" spans="7:17" ht="20.25" customHeight="1" x14ac:dyDescent="0.35">
      <c r="G127" s="7">
        <v>121</v>
      </c>
      <c r="H127" s="7">
        <f t="array" aca="1" ref="H127" ca="1">IF(INT(M$4/500*360)&gt;=$G127,H$5,NA())</f>
        <v>10</v>
      </c>
      <c r="I127" s="7">
        <f t="array" aca="1" ref="I127" ca="1">IF(INT(N$4/500*360)&gt;=$G127,I$5,NA())</f>
        <v>9.3000000000000007</v>
      </c>
      <c r="J127" s="7">
        <f t="array" aca="1" ref="J127" ca="1">IF(INT(O$4/500*360)&gt;=$G127,J$5,NA())</f>
        <v>8.6</v>
      </c>
      <c r="K127" s="7">
        <f t="array" aca="1" ref="K127" ca="1">IF(INT(P$4/500*360)&gt;=$G127,K$5,NA())</f>
        <v>7.9</v>
      </c>
      <c r="L127" s="7" t="e">
        <f t="array" aca="1" ref="L127" ca="1">IF(INT(Q$4/500*360)&gt;=$G127,L$5,NA())</f>
        <v>#N/A</v>
      </c>
      <c r="M127" s="7" t="e">
        <f t="shared" ref="M127:Q136" ca="1" si="17">IF(INT(M$4/500*360)=$G127,M$5,NA())</f>
        <v>#N/A</v>
      </c>
      <c r="N127" s="7" t="e">
        <f t="shared" ca="1" si="17"/>
        <v>#N/A</v>
      </c>
      <c r="O127" s="7" t="e">
        <f t="shared" ca="1" si="17"/>
        <v>#N/A</v>
      </c>
      <c r="P127" s="7" t="e">
        <f t="shared" ca="1" si="17"/>
        <v>#N/A</v>
      </c>
      <c r="Q127" s="7" t="e">
        <f t="shared" ca="1" si="17"/>
        <v>#N/A</v>
      </c>
    </row>
    <row r="128" spans="7:17" ht="20.25" customHeight="1" x14ac:dyDescent="0.35">
      <c r="G128" s="7">
        <v>122</v>
      </c>
      <c r="H128" s="7">
        <f t="array" aca="1" ref="H128" ca="1">IF(INT(M$4/500*360)&gt;=$G128,H$5,NA())</f>
        <v>10</v>
      </c>
      <c r="I128" s="7">
        <f t="array" aca="1" ref="I128" ca="1">IF(INT(N$4/500*360)&gt;=$G128,I$5,NA())</f>
        <v>9.3000000000000007</v>
      </c>
      <c r="J128" s="7">
        <f t="array" aca="1" ref="J128" ca="1">IF(INT(O$4/500*360)&gt;=$G128,J$5,NA())</f>
        <v>8.6</v>
      </c>
      <c r="K128" s="7">
        <f t="array" aca="1" ref="K128" ca="1">IF(INT(P$4/500*360)&gt;=$G128,K$5,NA())</f>
        <v>7.9</v>
      </c>
      <c r="L128" s="7" t="e">
        <f t="array" aca="1" ref="L128" ca="1">IF(INT(Q$4/500*360)&gt;=$G128,L$5,NA())</f>
        <v>#N/A</v>
      </c>
      <c r="M128" s="7" t="e">
        <f t="shared" ca="1" si="17"/>
        <v>#N/A</v>
      </c>
      <c r="N128" s="7" t="e">
        <f t="shared" ca="1" si="17"/>
        <v>#N/A</v>
      </c>
      <c r="O128" s="7" t="e">
        <f t="shared" ca="1" si="17"/>
        <v>#N/A</v>
      </c>
      <c r="P128" s="7" t="e">
        <f t="shared" ca="1" si="17"/>
        <v>#N/A</v>
      </c>
      <c r="Q128" s="7" t="e">
        <f t="shared" ca="1" si="17"/>
        <v>#N/A</v>
      </c>
    </row>
    <row r="129" spans="7:17" ht="20.25" customHeight="1" x14ac:dyDescent="0.35">
      <c r="G129" s="7">
        <v>123</v>
      </c>
      <c r="H129" s="7">
        <f t="array" aca="1" ref="H129" ca="1">IF(INT(M$4/500*360)&gt;=$G129,H$5,NA())</f>
        <v>10</v>
      </c>
      <c r="I129" s="7">
        <f t="array" aca="1" ref="I129" ca="1">IF(INT(N$4/500*360)&gt;=$G129,I$5,NA())</f>
        <v>9.3000000000000007</v>
      </c>
      <c r="J129" s="7">
        <f t="array" aca="1" ref="J129" ca="1">IF(INT(O$4/500*360)&gt;=$G129,J$5,NA())</f>
        <v>8.6</v>
      </c>
      <c r="K129" s="7">
        <f t="array" aca="1" ref="K129" ca="1">IF(INT(P$4/500*360)&gt;=$G129,K$5,NA())</f>
        <v>7.9</v>
      </c>
      <c r="L129" s="7" t="e">
        <f t="array" aca="1" ref="L129" ca="1">IF(INT(Q$4/500*360)&gt;=$G129,L$5,NA())</f>
        <v>#N/A</v>
      </c>
      <c r="M129" s="7" t="e">
        <f t="shared" ca="1" si="17"/>
        <v>#N/A</v>
      </c>
      <c r="N129" s="7" t="e">
        <f t="shared" ca="1" si="17"/>
        <v>#N/A</v>
      </c>
      <c r="O129" s="7" t="e">
        <f t="shared" ca="1" si="17"/>
        <v>#N/A</v>
      </c>
      <c r="P129" s="7" t="e">
        <f t="shared" ca="1" si="17"/>
        <v>#N/A</v>
      </c>
      <c r="Q129" s="7" t="e">
        <f t="shared" ca="1" si="17"/>
        <v>#N/A</v>
      </c>
    </row>
    <row r="130" spans="7:17" ht="20.25" customHeight="1" x14ac:dyDescent="0.35">
      <c r="G130" s="7">
        <v>124</v>
      </c>
      <c r="H130" s="7">
        <f t="array" aca="1" ref="H130" ca="1">IF(INT(M$4/500*360)&gt;=$G130,H$5,NA())</f>
        <v>10</v>
      </c>
      <c r="I130" s="7">
        <f t="array" aca="1" ref="I130" ca="1">IF(INT(N$4/500*360)&gt;=$G130,I$5,NA())</f>
        <v>9.3000000000000007</v>
      </c>
      <c r="J130" s="7">
        <f t="array" aca="1" ref="J130" ca="1">IF(INT(O$4/500*360)&gt;=$G130,J$5,NA())</f>
        <v>8.6</v>
      </c>
      <c r="K130" s="7">
        <f t="array" aca="1" ref="K130" ca="1">IF(INT(P$4/500*360)&gt;=$G130,K$5,NA())</f>
        <v>7.9</v>
      </c>
      <c r="L130" s="7" t="e">
        <f t="array" aca="1" ref="L130" ca="1">IF(INT(Q$4/500*360)&gt;=$G130,L$5,NA())</f>
        <v>#N/A</v>
      </c>
      <c r="M130" s="7" t="e">
        <f t="shared" ca="1" si="17"/>
        <v>#N/A</v>
      </c>
      <c r="N130" s="7" t="e">
        <f t="shared" ca="1" si="17"/>
        <v>#N/A</v>
      </c>
      <c r="O130" s="7" t="e">
        <f t="shared" ca="1" si="17"/>
        <v>#N/A</v>
      </c>
      <c r="P130" s="7" t="e">
        <f t="shared" ca="1" si="17"/>
        <v>#N/A</v>
      </c>
      <c r="Q130" s="7" t="e">
        <f t="shared" ca="1" si="17"/>
        <v>#N/A</v>
      </c>
    </row>
    <row r="131" spans="7:17" ht="20.25" customHeight="1" x14ac:dyDescent="0.35">
      <c r="G131" s="7">
        <v>125</v>
      </c>
      <c r="H131" s="7">
        <f t="array" aca="1" ref="H131" ca="1">IF(INT(M$4/500*360)&gt;=$G131,H$5,NA())</f>
        <v>10</v>
      </c>
      <c r="I131" s="7">
        <f t="array" aca="1" ref="I131" ca="1">IF(INT(N$4/500*360)&gt;=$G131,I$5,NA())</f>
        <v>9.3000000000000007</v>
      </c>
      <c r="J131" s="7">
        <f t="array" aca="1" ref="J131" ca="1">IF(INT(O$4/500*360)&gt;=$G131,J$5,NA())</f>
        <v>8.6</v>
      </c>
      <c r="K131" s="7">
        <f t="array" aca="1" ref="K131" ca="1">IF(INT(P$4/500*360)&gt;=$G131,K$5,NA())</f>
        <v>7.9</v>
      </c>
      <c r="L131" s="7" t="e">
        <f t="array" aca="1" ref="L131" ca="1">IF(INT(Q$4/500*360)&gt;=$G131,L$5,NA())</f>
        <v>#N/A</v>
      </c>
      <c r="M131" s="7" t="e">
        <f t="shared" ca="1" si="17"/>
        <v>#N/A</v>
      </c>
      <c r="N131" s="7" t="e">
        <f t="shared" ca="1" si="17"/>
        <v>#N/A</v>
      </c>
      <c r="O131" s="7" t="e">
        <f t="shared" ca="1" si="17"/>
        <v>#N/A</v>
      </c>
      <c r="P131" s="7" t="e">
        <f t="shared" ca="1" si="17"/>
        <v>#N/A</v>
      </c>
      <c r="Q131" s="7" t="e">
        <f t="shared" ca="1" si="17"/>
        <v>#N/A</v>
      </c>
    </row>
    <row r="132" spans="7:17" ht="20.25" customHeight="1" x14ac:dyDescent="0.35">
      <c r="G132" s="7">
        <v>126</v>
      </c>
      <c r="H132" s="7">
        <f t="array" aca="1" ref="H132" ca="1">IF(INT(M$4/500*360)&gt;=$G132,H$5,NA())</f>
        <v>10</v>
      </c>
      <c r="I132" s="7">
        <f t="array" aca="1" ref="I132" ca="1">IF(INT(N$4/500*360)&gt;=$G132,I$5,NA())</f>
        <v>9.3000000000000007</v>
      </c>
      <c r="J132" s="7">
        <f t="array" aca="1" ref="J132" ca="1">IF(INT(O$4/500*360)&gt;=$G132,J$5,NA())</f>
        <v>8.6</v>
      </c>
      <c r="K132" s="7">
        <f t="array" aca="1" ref="K132" ca="1">IF(INT(P$4/500*360)&gt;=$G132,K$5,NA())</f>
        <v>7.9</v>
      </c>
      <c r="L132" s="7" t="e">
        <f t="array" aca="1" ref="L132" ca="1">IF(INT(Q$4/500*360)&gt;=$G132,L$5,NA())</f>
        <v>#N/A</v>
      </c>
      <c r="M132" s="7" t="e">
        <f t="shared" ca="1" si="17"/>
        <v>#N/A</v>
      </c>
      <c r="N132" s="7" t="e">
        <f t="shared" ca="1" si="17"/>
        <v>#N/A</v>
      </c>
      <c r="O132" s="7" t="e">
        <f t="shared" ca="1" si="17"/>
        <v>#N/A</v>
      </c>
      <c r="P132" s="7" t="e">
        <f t="shared" ca="1" si="17"/>
        <v>#N/A</v>
      </c>
      <c r="Q132" s="7" t="e">
        <f t="shared" ca="1" si="17"/>
        <v>#N/A</v>
      </c>
    </row>
    <row r="133" spans="7:17" ht="20.25" customHeight="1" x14ac:dyDescent="0.35">
      <c r="G133" s="7">
        <v>127</v>
      </c>
      <c r="H133" s="7">
        <f t="array" aca="1" ref="H133" ca="1">IF(INT(M$4/500*360)&gt;=$G133,H$5,NA())</f>
        <v>10</v>
      </c>
      <c r="I133" s="7">
        <f t="array" aca="1" ref="I133" ca="1">IF(INT(N$4/500*360)&gt;=$G133,I$5,NA())</f>
        <v>9.3000000000000007</v>
      </c>
      <c r="J133" s="7">
        <f t="array" aca="1" ref="J133" ca="1">IF(INT(O$4/500*360)&gt;=$G133,J$5,NA())</f>
        <v>8.6</v>
      </c>
      <c r="K133" s="7">
        <f t="array" aca="1" ref="K133" ca="1">IF(INT(P$4/500*360)&gt;=$G133,K$5,NA())</f>
        <v>7.9</v>
      </c>
      <c r="L133" s="7" t="e">
        <f t="array" aca="1" ref="L133" ca="1">IF(INT(Q$4/500*360)&gt;=$G133,L$5,NA())</f>
        <v>#N/A</v>
      </c>
      <c r="M133" s="7" t="e">
        <f t="shared" ca="1" si="17"/>
        <v>#N/A</v>
      </c>
      <c r="N133" s="7" t="e">
        <f t="shared" ca="1" si="17"/>
        <v>#N/A</v>
      </c>
      <c r="O133" s="7" t="e">
        <f t="shared" ca="1" si="17"/>
        <v>#N/A</v>
      </c>
      <c r="P133" s="7" t="e">
        <f t="shared" ca="1" si="17"/>
        <v>#N/A</v>
      </c>
      <c r="Q133" s="7" t="e">
        <f t="shared" ca="1" si="17"/>
        <v>#N/A</v>
      </c>
    </row>
    <row r="134" spans="7:17" ht="20.25" customHeight="1" x14ac:dyDescent="0.35">
      <c r="G134" s="7">
        <v>128</v>
      </c>
      <c r="H134" s="7">
        <f t="array" aca="1" ref="H134" ca="1">IF(INT(M$4/500*360)&gt;=$G134,H$5,NA())</f>
        <v>10</v>
      </c>
      <c r="I134" s="7">
        <f t="array" aca="1" ref="I134" ca="1">IF(INT(N$4/500*360)&gt;=$G134,I$5,NA())</f>
        <v>9.3000000000000007</v>
      </c>
      <c r="J134" s="7">
        <f t="array" aca="1" ref="J134" ca="1">IF(INT(O$4/500*360)&gt;=$G134,J$5,NA())</f>
        <v>8.6</v>
      </c>
      <c r="K134" s="7">
        <f t="array" aca="1" ref="K134" ca="1">IF(INT(P$4/500*360)&gt;=$G134,K$5,NA())</f>
        <v>7.9</v>
      </c>
      <c r="L134" s="7" t="e">
        <f t="array" aca="1" ref="L134" ca="1">IF(INT(Q$4/500*360)&gt;=$G134,L$5,NA())</f>
        <v>#N/A</v>
      </c>
      <c r="M134" s="7" t="e">
        <f t="shared" ca="1" si="17"/>
        <v>#N/A</v>
      </c>
      <c r="N134" s="7" t="e">
        <f t="shared" ca="1" si="17"/>
        <v>#N/A</v>
      </c>
      <c r="O134" s="7" t="e">
        <f t="shared" ca="1" si="17"/>
        <v>#N/A</v>
      </c>
      <c r="P134" s="7" t="e">
        <f t="shared" ca="1" si="17"/>
        <v>#N/A</v>
      </c>
      <c r="Q134" s="7" t="e">
        <f t="shared" ca="1" si="17"/>
        <v>#N/A</v>
      </c>
    </row>
    <row r="135" spans="7:17" ht="20.25" customHeight="1" x14ac:dyDescent="0.35">
      <c r="G135" s="7">
        <v>129</v>
      </c>
      <c r="H135" s="7">
        <f t="array" aca="1" ref="H135" ca="1">IF(INT(M$4/500*360)&gt;=$G135,H$5,NA())</f>
        <v>10</v>
      </c>
      <c r="I135" s="7">
        <f t="array" aca="1" ref="I135" ca="1">IF(INT(N$4/500*360)&gt;=$G135,I$5,NA())</f>
        <v>9.3000000000000007</v>
      </c>
      <c r="J135" s="7">
        <f t="array" aca="1" ref="J135" ca="1">IF(INT(O$4/500*360)&gt;=$G135,J$5,NA())</f>
        <v>8.6</v>
      </c>
      <c r="K135" s="7">
        <f t="array" aca="1" ref="K135" ca="1">IF(INT(P$4/500*360)&gt;=$G135,K$5,NA())</f>
        <v>7.9</v>
      </c>
      <c r="L135" s="7" t="e">
        <f t="array" aca="1" ref="L135" ca="1">IF(INT(Q$4/500*360)&gt;=$G135,L$5,NA())</f>
        <v>#N/A</v>
      </c>
      <c r="M135" s="7" t="e">
        <f t="shared" ca="1" si="17"/>
        <v>#N/A</v>
      </c>
      <c r="N135" s="7" t="e">
        <f t="shared" ca="1" si="17"/>
        <v>#N/A</v>
      </c>
      <c r="O135" s="7" t="e">
        <f t="shared" ca="1" si="17"/>
        <v>#N/A</v>
      </c>
      <c r="P135" s="7" t="e">
        <f t="shared" ca="1" si="17"/>
        <v>#N/A</v>
      </c>
      <c r="Q135" s="7" t="e">
        <f t="shared" ca="1" si="17"/>
        <v>#N/A</v>
      </c>
    </row>
    <row r="136" spans="7:17" ht="20.25" customHeight="1" x14ac:dyDescent="0.35">
      <c r="G136" s="7">
        <v>130</v>
      </c>
      <c r="H136" s="7">
        <f t="array" aca="1" ref="H136" ca="1">IF(INT(M$4/500*360)&gt;=$G136,H$5,NA())</f>
        <v>10</v>
      </c>
      <c r="I136" s="7">
        <f t="array" aca="1" ref="I136" ca="1">IF(INT(N$4/500*360)&gt;=$G136,I$5,NA())</f>
        <v>9.3000000000000007</v>
      </c>
      <c r="J136" s="7">
        <f t="array" aca="1" ref="J136" ca="1">IF(INT(O$4/500*360)&gt;=$G136,J$5,NA())</f>
        <v>8.6</v>
      </c>
      <c r="K136" s="7">
        <f t="array" aca="1" ref="K136" ca="1">IF(INT(P$4/500*360)&gt;=$G136,K$5,NA())</f>
        <v>7.9</v>
      </c>
      <c r="L136" s="7" t="e">
        <f t="array" aca="1" ref="L136" ca="1">IF(INT(Q$4/500*360)&gt;=$G136,L$5,NA())</f>
        <v>#N/A</v>
      </c>
      <c r="M136" s="7" t="e">
        <f t="shared" ca="1" si="17"/>
        <v>#N/A</v>
      </c>
      <c r="N136" s="7" t="e">
        <f t="shared" ca="1" si="17"/>
        <v>#N/A</v>
      </c>
      <c r="O136" s="7" t="e">
        <f t="shared" ca="1" si="17"/>
        <v>#N/A</v>
      </c>
      <c r="P136" s="7" t="e">
        <f t="shared" ca="1" si="17"/>
        <v>#N/A</v>
      </c>
      <c r="Q136" s="7" t="e">
        <f t="shared" ca="1" si="17"/>
        <v>#N/A</v>
      </c>
    </row>
    <row r="137" spans="7:17" ht="20.25" customHeight="1" x14ac:dyDescent="0.35">
      <c r="G137" s="7">
        <v>131</v>
      </c>
      <c r="H137" s="7">
        <f t="array" aca="1" ref="H137" ca="1">IF(INT(M$4/500*360)&gt;=$G137,H$5,NA())</f>
        <v>10</v>
      </c>
      <c r="I137" s="7">
        <f t="array" aca="1" ref="I137" ca="1">IF(INT(N$4/500*360)&gt;=$G137,I$5,NA())</f>
        <v>9.3000000000000007</v>
      </c>
      <c r="J137" s="7">
        <f t="array" aca="1" ref="J137" ca="1">IF(INT(O$4/500*360)&gt;=$G137,J$5,NA())</f>
        <v>8.6</v>
      </c>
      <c r="K137" s="7">
        <f t="array" aca="1" ref="K137" ca="1">IF(INT(P$4/500*360)&gt;=$G137,K$5,NA())</f>
        <v>7.9</v>
      </c>
      <c r="L137" s="7" t="e">
        <f t="array" aca="1" ref="L137" ca="1">IF(INT(Q$4/500*360)&gt;=$G137,L$5,NA())</f>
        <v>#N/A</v>
      </c>
      <c r="M137" s="7" t="e">
        <f t="shared" ref="M137:Q146" ca="1" si="18">IF(INT(M$4/500*360)=$G137,M$5,NA())</f>
        <v>#N/A</v>
      </c>
      <c r="N137" s="7" t="e">
        <f t="shared" ca="1" si="18"/>
        <v>#N/A</v>
      </c>
      <c r="O137" s="7" t="e">
        <f t="shared" ca="1" si="18"/>
        <v>#N/A</v>
      </c>
      <c r="P137" s="7" t="e">
        <f t="shared" ca="1" si="18"/>
        <v>#N/A</v>
      </c>
      <c r="Q137" s="7" t="e">
        <f t="shared" ca="1" si="18"/>
        <v>#N/A</v>
      </c>
    </row>
    <row r="138" spans="7:17" ht="20.25" customHeight="1" x14ac:dyDescent="0.35">
      <c r="G138" s="7">
        <v>132</v>
      </c>
      <c r="H138" s="7">
        <f t="array" aca="1" ref="H138" ca="1">IF(INT(M$4/500*360)&gt;=$G138,H$5,NA())</f>
        <v>10</v>
      </c>
      <c r="I138" s="7">
        <f t="array" aca="1" ref="I138" ca="1">IF(INT(N$4/500*360)&gt;=$G138,I$5,NA())</f>
        <v>9.3000000000000007</v>
      </c>
      <c r="J138" s="7">
        <f t="array" aca="1" ref="J138" ca="1">IF(INT(O$4/500*360)&gt;=$G138,J$5,NA())</f>
        <v>8.6</v>
      </c>
      <c r="K138" s="7">
        <f t="array" aca="1" ref="K138" ca="1">IF(INT(P$4/500*360)&gt;=$G138,K$5,NA())</f>
        <v>7.9</v>
      </c>
      <c r="L138" s="7" t="e">
        <f t="array" aca="1" ref="L138" ca="1">IF(INT(Q$4/500*360)&gt;=$G138,L$5,NA())</f>
        <v>#N/A</v>
      </c>
      <c r="M138" s="7" t="e">
        <f t="shared" ca="1" si="18"/>
        <v>#N/A</v>
      </c>
      <c r="N138" s="7" t="e">
        <f t="shared" ca="1" si="18"/>
        <v>#N/A</v>
      </c>
      <c r="O138" s="7" t="e">
        <f t="shared" ca="1" si="18"/>
        <v>#N/A</v>
      </c>
      <c r="P138" s="7" t="e">
        <f t="shared" ca="1" si="18"/>
        <v>#N/A</v>
      </c>
      <c r="Q138" s="7" t="e">
        <f t="shared" ca="1" si="18"/>
        <v>#N/A</v>
      </c>
    </row>
    <row r="139" spans="7:17" ht="20.25" customHeight="1" x14ac:dyDescent="0.35">
      <c r="G139" s="7">
        <v>133</v>
      </c>
      <c r="H139" s="7">
        <f t="array" aca="1" ref="H139" ca="1">IF(INT(M$4/500*360)&gt;=$G139,H$5,NA())</f>
        <v>10</v>
      </c>
      <c r="I139" s="7">
        <f t="array" aca="1" ref="I139" ca="1">IF(INT(N$4/500*360)&gt;=$G139,I$5,NA())</f>
        <v>9.3000000000000007</v>
      </c>
      <c r="J139" s="7">
        <f t="array" aca="1" ref="J139" ca="1">IF(INT(O$4/500*360)&gt;=$G139,J$5,NA())</f>
        <v>8.6</v>
      </c>
      <c r="K139" s="7">
        <f t="array" aca="1" ref="K139" ca="1">IF(INT(P$4/500*360)&gt;=$G139,K$5,NA())</f>
        <v>7.9</v>
      </c>
      <c r="L139" s="7" t="e">
        <f t="array" aca="1" ref="L139" ca="1">IF(INT(Q$4/500*360)&gt;=$G139,L$5,NA())</f>
        <v>#N/A</v>
      </c>
      <c r="M139" s="7" t="e">
        <f t="shared" ca="1" si="18"/>
        <v>#N/A</v>
      </c>
      <c r="N139" s="7" t="e">
        <f t="shared" ca="1" si="18"/>
        <v>#N/A</v>
      </c>
      <c r="O139" s="7" t="e">
        <f t="shared" ca="1" si="18"/>
        <v>#N/A</v>
      </c>
      <c r="P139" s="7">
        <f t="shared" ca="1" si="18"/>
        <v>7.9</v>
      </c>
      <c r="Q139" s="7" t="e">
        <f t="shared" ca="1" si="18"/>
        <v>#N/A</v>
      </c>
    </row>
    <row r="140" spans="7:17" ht="20.25" customHeight="1" x14ac:dyDescent="0.35">
      <c r="G140" s="7">
        <v>134</v>
      </c>
      <c r="H140" s="7">
        <f t="array" aca="1" ref="H140" ca="1">IF(INT(M$4/500*360)&gt;=$G140,H$5,NA())</f>
        <v>10</v>
      </c>
      <c r="I140" s="7">
        <f t="array" aca="1" ref="I140" ca="1">IF(INT(N$4/500*360)&gt;=$G140,I$5,NA())</f>
        <v>9.3000000000000007</v>
      </c>
      <c r="J140" s="7">
        <f t="array" aca="1" ref="J140" ca="1">IF(INT(O$4/500*360)&gt;=$G140,J$5,NA())</f>
        <v>8.6</v>
      </c>
      <c r="K140" s="7" t="e">
        <f t="array" aca="1" ref="K140" ca="1">IF(INT(P$4/500*360)&gt;=$G140,K$5,NA())</f>
        <v>#N/A</v>
      </c>
      <c r="L140" s="7" t="e">
        <f t="array" aca="1" ref="L140" ca="1">IF(INT(Q$4/500*360)&gt;=$G140,L$5,NA())</f>
        <v>#N/A</v>
      </c>
      <c r="M140" s="7" t="e">
        <f t="shared" ca="1" si="18"/>
        <v>#N/A</v>
      </c>
      <c r="N140" s="7" t="e">
        <f t="shared" ca="1" si="18"/>
        <v>#N/A</v>
      </c>
      <c r="O140" s="7">
        <f t="shared" ca="1" si="18"/>
        <v>8.6</v>
      </c>
      <c r="P140" s="7" t="e">
        <f t="shared" ca="1" si="18"/>
        <v>#N/A</v>
      </c>
      <c r="Q140" s="7" t="e">
        <f t="shared" ca="1" si="18"/>
        <v>#N/A</v>
      </c>
    </row>
    <row r="141" spans="7:17" ht="20.25" customHeight="1" x14ac:dyDescent="0.35">
      <c r="G141" s="7">
        <v>135</v>
      </c>
      <c r="H141" s="7">
        <f t="array" aca="1" ref="H141" ca="1">IF(INT(M$4/500*360)&gt;=$G141,H$5,NA())</f>
        <v>10</v>
      </c>
      <c r="I141" s="7">
        <f t="array" aca="1" ref="I141" ca="1">IF(INT(N$4/500*360)&gt;=$G141,I$5,NA())</f>
        <v>9.3000000000000007</v>
      </c>
      <c r="J141" s="7" t="e">
        <f t="array" aca="1" ref="J141" ca="1">IF(INT(O$4/500*360)&gt;=$G141,J$5,NA())</f>
        <v>#N/A</v>
      </c>
      <c r="K141" s="7" t="e">
        <f t="array" aca="1" ref="K141" ca="1">IF(INT(P$4/500*360)&gt;=$G141,K$5,NA())</f>
        <v>#N/A</v>
      </c>
      <c r="L141" s="7" t="e">
        <f t="array" aca="1" ref="L141" ca="1">IF(INT(Q$4/500*360)&gt;=$G141,L$5,NA())</f>
        <v>#N/A</v>
      </c>
      <c r="M141" s="7" t="e">
        <f t="shared" ca="1" si="18"/>
        <v>#N/A</v>
      </c>
      <c r="N141" s="7" t="e">
        <f t="shared" ca="1" si="18"/>
        <v>#N/A</v>
      </c>
      <c r="O141" s="7" t="e">
        <f t="shared" ca="1" si="18"/>
        <v>#N/A</v>
      </c>
      <c r="P141" s="7" t="e">
        <f t="shared" ca="1" si="18"/>
        <v>#N/A</v>
      </c>
      <c r="Q141" s="7" t="e">
        <f t="shared" ca="1" si="18"/>
        <v>#N/A</v>
      </c>
    </row>
    <row r="142" spans="7:17" ht="20.25" customHeight="1" x14ac:dyDescent="0.35">
      <c r="G142" s="7">
        <v>136</v>
      </c>
      <c r="H142" s="7">
        <f t="array" aca="1" ref="H142" ca="1">IF(INT(M$4/500*360)&gt;=$G142,H$5,NA())</f>
        <v>10</v>
      </c>
      <c r="I142" s="7">
        <f t="array" aca="1" ref="I142" ca="1">IF(INT(N$4/500*360)&gt;=$G142,I$5,NA())</f>
        <v>9.3000000000000007</v>
      </c>
      <c r="J142" s="7" t="e">
        <f t="array" aca="1" ref="J142" ca="1">IF(INT(O$4/500*360)&gt;=$G142,J$5,NA())</f>
        <v>#N/A</v>
      </c>
      <c r="K142" s="7" t="e">
        <f t="array" aca="1" ref="K142" ca="1">IF(INT(P$4/500*360)&gt;=$G142,K$5,NA())</f>
        <v>#N/A</v>
      </c>
      <c r="L142" s="7" t="e">
        <f t="array" aca="1" ref="L142" ca="1">IF(INT(Q$4/500*360)&gt;=$G142,L$5,NA())</f>
        <v>#N/A</v>
      </c>
      <c r="M142" s="7" t="e">
        <f t="shared" ca="1" si="18"/>
        <v>#N/A</v>
      </c>
      <c r="N142" s="7" t="e">
        <f t="shared" ca="1" si="18"/>
        <v>#N/A</v>
      </c>
      <c r="O142" s="7" t="e">
        <f t="shared" ca="1" si="18"/>
        <v>#N/A</v>
      </c>
      <c r="P142" s="7" t="e">
        <f t="shared" ca="1" si="18"/>
        <v>#N/A</v>
      </c>
      <c r="Q142" s="7" t="e">
        <f t="shared" ca="1" si="18"/>
        <v>#N/A</v>
      </c>
    </row>
    <row r="143" spans="7:17" ht="20.25" customHeight="1" x14ac:dyDescent="0.35">
      <c r="G143" s="7">
        <v>137</v>
      </c>
      <c r="H143" s="7">
        <f t="array" aca="1" ref="H143" ca="1">IF(INT(M$4/500*360)&gt;=$G143,H$5,NA())</f>
        <v>10</v>
      </c>
      <c r="I143" s="7">
        <f t="array" aca="1" ref="I143" ca="1">IF(INT(N$4/500*360)&gt;=$G143,I$5,NA())</f>
        <v>9.3000000000000007</v>
      </c>
      <c r="J143" s="7" t="e">
        <f t="array" aca="1" ref="J143" ca="1">IF(INT(O$4/500*360)&gt;=$G143,J$5,NA())</f>
        <v>#N/A</v>
      </c>
      <c r="K143" s="7" t="e">
        <f t="array" aca="1" ref="K143" ca="1">IF(INT(P$4/500*360)&gt;=$G143,K$5,NA())</f>
        <v>#N/A</v>
      </c>
      <c r="L143" s="7" t="e">
        <f t="array" aca="1" ref="L143" ca="1">IF(INT(Q$4/500*360)&gt;=$G143,L$5,NA())</f>
        <v>#N/A</v>
      </c>
      <c r="M143" s="7" t="e">
        <f t="shared" ca="1" si="18"/>
        <v>#N/A</v>
      </c>
      <c r="N143" s="7" t="e">
        <f t="shared" ca="1" si="18"/>
        <v>#N/A</v>
      </c>
      <c r="O143" s="7" t="e">
        <f t="shared" ca="1" si="18"/>
        <v>#N/A</v>
      </c>
      <c r="P143" s="7" t="e">
        <f t="shared" ca="1" si="18"/>
        <v>#N/A</v>
      </c>
      <c r="Q143" s="7" t="e">
        <f t="shared" ca="1" si="18"/>
        <v>#N/A</v>
      </c>
    </row>
    <row r="144" spans="7:17" ht="20.25" customHeight="1" x14ac:dyDescent="0.35">
      <c r="G144" s="7">
        <v>138</v>
      </c>
      <c r="H144" s="7">
        <f t="array" aca="1" ref="H144" ca="1">IF(INT(M$4/500*360)&gt;=$G144,H$5,NA())</f>
        <v>10</v>
      </c>
      <c r="I144" s="7">
        <f t="array" aca="1" ref="I144" ca="1">IF(INT(N$4/500*360)&gt;=$G144,I$5,NA())</f>
        <v>9.3000000000000007</v>
      </c>
      <c r="J144" s="7" t="e">
        <f t="array" aca="1" ref="J144" ca="1">IF(INT(O$4/500*360)&gt;=$G144,J$5,NA())</f>
        <v>#N/A</v>
      </c>
      <c r="K144" s="7" t="e">
        <f t="array" aca="1" ref="K144" ca="1">IF(INT(P$4/500*360)&gt;=$G144,K$5,NA())</f>
        <v>#N/A</v>
      </c>
      <c r="L144" s="7" t="e">
        <f t="array" aca="1" ref="L144" ca="1">IF(INT(Q$4/500*360)&gt;=$G144,L$5,NA())</f>
        <v>#N/A</v>
      </c>
      <c r="M144" s="7" t="e">
        <f t="shared" ca="1" si="18"/>
        <v>#N/A</v>
      </c>
      <c r="N144" s="7" t="e">
        <f t="shared" ca="1" si="18"/>
        <v>#N/A</v>
      </c>
      <c r="O144" s="7" t="e">
        <f t="shared" ca="1" si="18"/>
        <v>#N/A</v>
      </c>
      <c r="P144" s="7" t="e">
        <f t="shared" ca="1" si="18"/>
        <v>#N/A</v>
      </c>
      <c r="Q144" s="7" t="e">
        <f t="shared" ca="1" si="18"/>
        <v>#N/A</v>
      </c>
    </row>
    <row r="145" spans="7:17" ht="20.25" customHeight="1" x14ac:dyDescent="0.35">
      <c r="G145" s="7">
        <v>139</v>
      </c>
      <c r="H145" s="7">
        <f t="array" aca="1" ref="H145" ca="1">IF(INT(M$4/500*360)&gt;=$G145,H$5,NA())</f>
        <v>10</v>
      </c>
      <c r="I145" s="7">
        <f t="array" aca="1" ref="I145" ca="1">IF(INT(N$4/500*360)&gt;=$G145,I$5,NA())</f>
        <v>9.3000000000000007</v>
      </c>
      <c r="J145" s="7" t="e">
        <f t="array" aca="1" ref="J145" ca="1">IF(INT(O$4/500*360)&gt;=$G145,J$5,NA())</f>
        <v>#N/A</v>
      </c>
      <c r="K145" s="7" t="e">
        <f t="array" aca="1" ref="K145" ca="1">IF(INT(P$4/500*360)&gt;=$G145,K$5,NA())</f>
        <v>#N/A</v>
      </c>
      <c r="L145" s="7" t="e">
        <f t="array" aca="1" ref="L145" ca="1">IF(INT(Q$4/500*360)&gt;=$G145,L$5,NA())</f>
        <v>#N/A</v>
      </c>
      <c r="M145" s="7" t="e">
        <f t="shared" ca="1" si="18"/>
        <v>#N/A</v>
      </c>
      <c r="N145" s="7" t="e">
        <f t="shared" ca="1" si="18"/>
        <v>#N/A</v>
      </c>
      <c r="O145" s="7" t="e">
        <f t="shared" ca="1" si="18"/>
        <v>#N/A</v>
      </c>
      <c r="P145" s="7" t="e">
        <f t="shared" ca="1" si="18"/>
        <v>#N/A</v>
      </c>
      <c r="Q145" s="7" t="e">
        <f t="shared" ca="1" si="18"/>
        <v>#N/A</v>
      </c>
    </row>
    <row r="146" spans="7:17" ht="20.25" customHeight="1" x14ac:dyDescent="0.35">
      <c r="G146" s="7">
        <v>140</v>
      </c>
      <c r="H146" s="7">
        <f t="array" aca="1" ref="H146" ca="1">IF(INT(M$4/500*360)&gt;=$G146,H$5,NA())</f>
        <v>10</v>
      </c>
      <c r="I146" s="7">
        <f t="array" aca="1" ref="I146" ca="1">IF(INT(N$4/500*360)&gt;=$G146,I$5,NA())</f>
        <v>9.3000000000000007</v>
      </c>
      <c r="J146" s="7" t="e">
        <f t="array" aca="1" ref="J146" ca="1">IF(INT(O$4/500*360)&gt;=$G146,J$5,NA())</f>
        <v>#N/A</v>
      </c>
      <c r="K146" s="7" t="e">
        <f t="array" aca="1" ref="K146" ca="1">IF(INT(P$4/500*360)&gt;=$G146,K$5,NA())</f>
        <v>#N/A</v>
      </c>
      <c r="L146" s="7" t="e">
        <f t="array" aca="1" ref="L146" ca="1">IF(INT(Q$4/500*360)&gt;=$G146,L$5,NA())</f>
        <v>#N/A</v>
      </c>
      <c r="M146" s="7" t="e">
        <f t="shared" ca="1" si="18"/>
        <v>#N/A</v>
      </c>
      <c r="N146" s="7" t="e">
        <f t="shared" ca="1" si="18"/>
        <v>#N/A</v>
      </c>
      <c r="O146" s="7" t="e">
        <f t="shared" ca="1" si="18"/>
        <v>#N/A</v>
      </c>
      <c r="P146" s="7" t="e">
        <f t="shared" ca="1" si="18"/>
        <v>#N/A</v>
      </c>
      <c r="Q146" s="7" t="e">
        <f t="shared" ca="1" si="18"/>
        <v>#N/A</v>
      </c>
    </row>
    <row r="147" spans="7:17" ht="20.25" customHeight="1" x14ac:dyDescent="0.35">
      <c r="G147" s="7">
        <v>141</v>
      </c>
      <c r="H147" s="7">
        <f t="array" aca="1" ref="H147" ca="1">IF(INT(M$4/500*360)&gt;=$G147,H$5,NA())</f>
        <v>10</v>
      </c>
      <c r="I147" s="7">
        <f t="array" aca="1" ref="I147" ca="1">IF(INT(N$4/500*360)&gt;=$G147,I$5,NA())</f>
        <v>9.3000000000000007</v>
      </c>
      <c r="J147" s="7" t="e">
        <f t="array" aca="1" ref="J147" ca="1">IF(INT(O$4/500*360)&gt;=$G147,J$5,NA())</f>
        <v>#N/A</v>
      </c>
      <c r="K147" s="7" t="e">
        <f t="array" aca="1" ref="K147" ca="1">IF(INT(P$4/500*360)&gt;=$G147,K$5,NA())</f>
        <v>#N/A</v>
      </c>
      <c r="L147" s="7" t="e">
        <f t="array" aca="1" ref="L147" ca="1">IF(INT(Q$4/500*360)&gt;=$G147,L$5,NA())</f>
        <v>#N/A</v>
      </c>
      <c r="M147" s="7" t="e">
        <f t="shared" ref="M147:Q156" ca="1" si="19">IF(INT(M$4/500*360)=$G147,M$5,NA())</f>
        <v>#N/A</v>
      </c>
      <c r="N147" s="7" t="e">
        <f t="shared" ca="1" si="19"/>
        <v>#N/A</v>
      </c>
      <c r="O147" s="7" t="e">
        <f t="shared" ca="1" si="19"/>
        <v>#N/A</v>
      </c>
      <c r="P147" s="7" t="e">
        <f t="shared" ca="1" si="19"/>
        <v>#N/A</v>
      </c>
      <c r="Q147" s="7" t="e">
        <f t="shared" ca="1" si="19"/>
        <v>#N/A</v>
      </c>
    </row>
    <row r="148" spans="7:17" ht="20.25" customHeight="1" x14ac:dyDescent="0.35">
      <c r="G148" s="7">
        <v>142</v>
      </c>
      <c r="H148" s="7">
        <f t="array" aca="1" ref="H148" ca="1">IF(INT(M$4/500*360)&gt;=$G148,H$5,NA())</f>
        <v>10</v>
      </c>
      <c r="I148" s="7">
        <f t="array" aca="1" ref="I148" ca="1">IF(INT(N$4/500*360)&gt;=$G148,I$5,NA())</f>
        <v>9.3000000000000007</v>
      </c>
      <c r="J148" s="7" t="e">
        <f t="array" aca="1" ref="J148" ca="1">IF(INT(O$4/500*360)&gt;=$G148,J$5,NA())</f>
        <v>#N/A</v>
      </c>
      <c r="K148" s="7" t="e">
        <f t="array" aca="1" ref="K148" ca="1">IF(INT(P$4/500*360)&gt;=$G148,K$5,NA())</f>
        <v>#N/A</v>
      </c>
      <c r="L148" s="7" t="e">
        <f t="array" aca="1" ref="L148" ca="1">IF(INT(Q$4/500*360)&gt;=$G148,L$5,NA())</f>
        <v>#N/A</v>
      </c>
      <c r="M148" s="7" t="e">
        <f t="shared" ca="1" si="19"/>
        <v>#N/A</v>
      </c>
      <c r="N148" s="7" t="e">
        <f t="shared" ca="1" si="19"/>
        <v>#N/A</v>
      </c>
      <c r="O148" s="7" t="e">
        <f t="shared" ca="1" si="19"/>
        <v>#N/A</v>
      </c>
      <c r="P148" s="7" t="e">
        <f t="shared" ca="1" si="19"/>
        <v>#N/A</v>
      </c>
      <c r="Q148" s="7" t="e">
        <f t="shared" ca="1" si="19"/>
        <v>#N/A</v>
      </c>
    </row>
    <row r="149" spans="7:17" ht="20.25" customHeight="1" x14ac:dyDescent="0.35">
      <c r="G149" s="7">
        <v>143</v>
      </c>
      <c r="H149" s="7">
        <f t="array" aca="1" ref="H149" ca="1">IF(INT(M$4/500*360)&gt;=$G149,H$5,NA())</f>
        <v>10</v>
      </c>
      <c r="I149" s="7">
        <f t="array" aca="1" ref="I149" ca="1">IF(INT(N$4/500*360)&gt;=$G149,I$5,NA())</f>
        <v>9.3000000000000007</v>
      </c>
      <c r="J149" s="7" t="e">
        <f t="array" aca="1" ref="J149" ca="1">IF(INT(O$4/500*360)&gt;=$G149,J$5,NA())</f>
        <v>#N/A</v>
      </c>
      <c r="K149" s="7" t="e">
        <f t="array" aca="1" ref="K149" ca="1">IF(INT(P$4/500*360)&gt;=$G149,K$5,NA())</f>
        <v>#N/A</v>
      </c>
      <c r="L149" s="7" t="e">
        <f t="array" aca="1" ref="L149" ca="1">IF(INT(Q$4/500*360)&gt;=$G149,L$5,NA())</f>
        <v>#N/A</v>
      </c>
      <c r="M149" s="7" t="e">
        <f t="shared" ca="1" si="19"/>
        <v>#N/A</v>
      </c>
      <c r="N149" s="7" t="e">
        <f t="shared" ca="1" si="19"/>
        <v>#N/A</v>
      </c>
      <c r="O149" s="7" t="e">
        <f t="shared" ca="1" si="19"/>
        <v>#N/A</v>
      </c>
      <c r="P149" s="7" t="e">
        <f t="shared" ca="1" si="19"/>
        <v>#N/A</v>
      </c>
      <c r="Q149" s="7" t="e">
        <f t="shared" ca="1" si="19"/>
        <v>#N/A</v>
      </c>
    </row>
    <row r="150" spans="7:17" ht="20.25" customHeight="1" x14ac:dyDescent="0.35">
      <c r="G150" s="7">
        <v>144</v>
      </c>
      <c r="H150" s="7">
        <f t="array" aca="1" ref="H150" ca="1">IF(INT(M$4/500*360)&gt;=$G150,H$5,NA())</f>
        <v>10</v>
      </c>
      <c r="I150" s="7">
        <f t="array" aca="1" ref="I150" ca="1">IF(INT(N$4/500*360)&gt;=$G150,I$5,NA())</f>
        <v>9.3000000000000007</v>
      </c>
      <c r="J150" s="7" t="e">
        <f t="array" aca="1" ref="J150" ca="1">IF(INT(O$4/500*360)&gt;=$G150,J$5,NA())</f>
        <v>#N/A</v>
      </c>
      <c r="K150" s="7" t="e">
        <f t="array" aca="1" ref="K150" ca="1">IF(INT(P$4/500*360)&gt;=$G150,K$5,NA())</f>
        <v>#N/A</v>
      </c>
      <c r="L150" s="7" t="e">
        <f t="array" aca="1" ref="L150" ca="1">IF(INT(Q$4/500*360)&gt;=$G150,L$5,NA())</f>
        <v>#N/A</v>
      </c>
      <c r="M150" s="7" t="e">
        <f t="shared" ca="1" si="19"/>
        <v>#N/A</v>
      </c>
      <c r="N150" s="7" t="e">
        <f t="shared" ca="1" si="19"/>
        <v>#N/A</v>
      </c>
      <c r="O150" s="7" t="e">
        <f t="shared" ca="1" si="19"/>
        <v>#N/A</v>
      </c>
      <c r="P150" s="7" t="e">
        <f t="shared" ca="1" si="19"/>
        <v>#N/A</v>
      </c>
      <c r="Q150" s="7" t="e">
        <f t="shared" ca="1" si="19"/>
        <v>#N/A</v>
      </c>
    </row>
    <row r="151" spans="7:17" ht="20.25" customHeight="1" x14ac:dyDescent="0.35">
      <c r="G151" s="7">
        <v>145</v>
      </c>
      <c r="H151" s="7">
        <f t="array" aca="1" ref="H151" ca="1">IF(INT(M$4/500*360)&gt;=$G151,H$5,NA())</f>
        <v>10</v>
      </c>
      <c r="I151" s="7">
        <f t="array" aca="1" ref="I151" ca="1">IF(INT(N$4/500*360)&gt;=$G151,I$5,NA())</f>
        <v>9.3000000000000007</v>
      </c>
      <c r="J151" s="7" t="e">
        <f t="array" aca="1" ref="J151" ca="1">IF(INT(O$4/500*360)&gt;=$G151,J$5,NA())</f>
        <v>#N/A</v>
      </c>
      <c r="K151" s="7" t="e">
        <f t="array" aca="1" ref="K151" ca="1">IF(INT(P$4/500*360)&gt;=$G151,K$5,NA())</f>
        <v>#N/A</v>
      </c>
      <c r="L151" s="7" t="e">
        <f t="array" aca="1" ref="L151" ca="1">IF(INT(Q$4/500*360)&gt;=$G151,L$5,NA())</f>
        <v>#N/A</v>
      </c>
      <c r="M151" s="7" t="e">
        <f t="shared" ca="1" si="19"/>
        <v>#N/A</v>
      </c>
      <c r="N151" s="7" t="e">
        <f t="shared" ca="1" si="19"/>
        <v>#N/A</v>
      </c>
      <c r="O151" s="7" t="e">
        <f t="shared" ca="1" si="19"/>
        <v>#N/A</v>
      </c>
      <c r="P151" s="7" t="e">
        <f t="shared" ca="1" si="19"/>
        <v>#N/A</v>
      </c>
      <c r="Q151" s="7" t="e">
        <f t="shared" ca="1" si="19"/>
        <v>#N/A</v>
      </c>
    </row>
    <row r="152" spans="7:17" ht="20.25" customHeight="1" x14ac:dyDescent="0.35">
      <c r="G152" s="7">
        <v>146</v>
      </c>
      <c r="H152" s="7">
        <f t="array" aca="1" ref="H152" ca="1">IF(INT(M$4/500*360)&gt;=$G152,H$5,NA())</f>
        <v>10</v>
      </c>
      <c r="I152" s="7">
        <f t="array" aca="1" ref="I152" ca="1">IF(INT(N$4/500*360)&gt;=$G152,I$5,NA())</f>
        <v>9.3000000000000007</v>
      </c>
      <c r="J152" s="7" t="e">
        <f t="array" aca="1" ref="J152" ca="1">IF(INT(O$4/500*360)&gt;=$G152,J$5,NA())</f>
        <v>#N/A</v>
      </c>
      <c r="K152" s="7" t="e">
        <f t="array" aca="1" ref="K152" ca="1">IF(INT(P$4/500*360)&gt;=$G152,K$5,NA())</f>
        <v>#N/A</v>
      </c>
      <c r="L152" s="7" t="e">
        <f t="array" aca="1" ref="L152" ca="1">IF(INT(Q$4/500*360)&gt;=$G152,L$5,NA())</f>
        <v>#N/A</v>
      </c>
      <c r="M152" s="7" t="e">
        <f t="shared" ca="1" si="19"/>
        <v>#N/A</v>
      </c>
      <c r="N152" s="7" t="e">
        <f t="shared" ca="1" si="19"/>
        <v>#N/A</v>
      </c>
      <c r="O152" s="7" t="e">
        <f t="shared" ca="1" si="19"/>
        <v>#N/A</v>
      </c>
      <c r="P152" s="7" t="e">
        <f t="shared" ca="1" si="19"/>
        <v>#N/A</v>
      </c>
      <c r="Q152" s="7" t="e">
        <f t="shared" ca="1" si="19"/>
        <v>#N/A</v>
      </c>
    </row>
    <row r="153" spans="7:17" ht="20.25" customHeight="1" x14ac:dyDescent="0.35">
      <c r="G153" s="7">
        <v>147</v>
      </c>
      <c r="H153" s="7">
        <f t="array" aca="1" ref="H153" ca="1">IF(INT(M$4/500*360)&gt;=$G153,H$5,NA())</f>
        <v>10</v>
      </c>
      <c r="I153" s="7">
        <f t="array" aca="1" ref="I153" ca="1">IF(INT(N$4/500*360)&gt;=$G153,I$5,NA())</f>
        <v>9.3000000000000007</v>
      </c>
      <c r="J153" s="7" t="e">
        <f t="array" aca="1" ref="J153" ca="1">IF(INT(O$4/500*360)&gt;=$G153,J$5,NA())</f>
        <v>#N/A</v>
      </c>
      <c r="K153" s="7" t="e">
        <f t="array" aca="1" ref="K153" ca="1">IF(INT(P$4/500*360)&gt;=$G153,K$5,NA())</f>
        <v>#N/A</v>
      </c>
      <c r="L153" s="7" t="e">
        <f t="array" aca="1" ref="L153" ca="1">IF(INT(Q$4/500*360)&gt;=$G153,L$5,NA())</f>
        <v>#N/A</v>
      </c>
      <c r="M153" s="7" t="e">
        <f t="shared" ca="1" si="19"/>
        <v>#N/A</v>
      </c>
      <c r="N153" s="7" t="e">
        <f t="shared" ca="1" si="19"/>
        <v>#N/A</v>
      </c>
      <c r="O153" s="7" t="e">
        <f t="shared" ca="1" si="19"/>
        <v>#N/A</v>
      </c>
      <c r="P153" s="7" t="e">
        <f t="shared" ca="1" si="19"/>
        <v>#N/A</v>
      </c>
      <c r="Q153" s="7" t="e">
        <f t="shared" ca="1" si="19"/>
        <v>#N/A</v>
      </c>
    </row>
    <row r="154" spans="7:17" ht="20.25" customHeight="1" x14ac:dyDescent="0.35">
      <c r="G154" s="7">
        <v>148</v>
      </c>
      <c r="H154" s="7">
        <f t="array" aca="1" ref="H154" ca="1">IF(INT(M$4/500*360)&gt;=$G154,H$5,NA())</f>
        <v>10</v>
      </c>
      <c r="I154" s="7">
        <f t="array" aca="1" ref="I154" ca="1">IF(INT(N$4/500*360)&gt;=$G154,I$5,NA())</f>
        <v>9.3000000000000007</v>
      </c>
      <c r="J154" s="7" t="e">
        <f t="array" aca="1" ref="J154" ca="1">IF(INT(O$4/500*360)&gt;=$G154,J$5,NA())</f>
        <v>#N/A</v>
      </c>
      <c r="K154" s="7" t="e">
        <f t="array" aca="1" ref="K154" ca="1">IF(INT(P$4/500*360)&gt;=$G154,K$5,NA())</f>
        <v>#N/A</v>
      </c>
      <c r="L154" s="7" t="e">
        <f t="array" aca="1" ref="L154" ca="1">IF(INT(Q$4/500*360)&gt;=$G154,L$5,NA())</f>
        <v>#N/A</v>
      </c>
      <c r="M154" s="7" t="e">
        <f t="shared" ca="1" si="19"/>
        <v>#N/A</v>
      </c>
      <c r="N154" s="7" t="e">
        <f t="shared" ca="1" si="19"/>
        <v>#N/A</v>
      </c>
      <c r="O154" s="7" t="e">
        <f t="shared" ca="1" si="19"/>
        <v>#N/A</v>
      </c>
      <c r="P154" s="7" t="e">
        <f t="shared" ca="1" si="19"/>
        <v>#N/A</v>
      </c>
      <c r="Q154" s="7" t="e">
        <f t="shared" ca="1" si="19"/>
        <v>#N/A</v>
      </c>
    </row>
    <row r="155" spans="7:17" ht="20.25" customHeight="1" x14ac:dyDescent="0.35">
      <c r="G155" s="7">
        <v>149</v>
      </c>
      <c r="H155" s="7">
        <f t="array" aca="1" ref="H155" ca="1">IF(INT(M$4/500*360)&gt;=$G155,H$5,NA())</f>
        <v>10</v>
      </c>
      <c r="I155" s="7">
        <f t="array" aca="1" ref="I155" ca="1">IF(INT(N$4/500*360)&gt;=$G155,I$5,NA())</f>
        <v>9.3000000000000007</v>
      </c>
      <c r="J155" s="7" t="e">
        <f t="array" aca="1" ref="J155" ca="1">IF(INT(O$4/500*360)&gt;=$G155,J$5,NA())</f>
        <v>#N/A</v>
      </c>
      <c r="K155" s="7" t="e">
        <f t="array" aca="1" ref="K155" ca="1">IF(INT(P$4/500*360)&gt;=$G155,K$5,NA())</f>
        <v>#N/A</v>
      </c>
      <c r="L155" s="7" t="e">
        <f t="array" aca="1" ref="L155" ca="1">IF(INT(Q$4/500*360)&gt;=$G155,L$5,NA())</f>
        <v>#N/A</v>
      </c>
      <c r="M155" s="7" t="e">
        <f t="shared" ca="1" si="19"/>
        <v>#N/A</v>
      </c>
      <c r="N155" s="7" t="e">
        <f t="shared" ca="1" si="19"/>
        <v>#N/A</v>
      </c>
      <c r="O155" s="7" t="e">
        <f t="shared" ca="1" si="19"/>
        <v>#N/A</v>
      </c>
      <c r="P155" s="7" t="e">
        <f t="shared" ca="1" si="19"/>
        <v>#N/A</v>
      </c>
      <c r="Q155" s="7" t="e">
        <f t="shared" ca="1" si="19"/>
        <v>#N/A</v>
      </c>
    </row>
    <row r="156" spans="7:17" ht="20.25" customHeight="1" x14ac:dyDescent="0.35">
      <c r="G156" s="7">
        <v>150</v>
      </c>
      <c r="H156" s="7">
        <f t="array" aca="1" ref="H156" ca="1">IF(INT(M$4/500*360)&gt;=$G156,H$5,NA())</f>
        <v>10</v>
      </c>
      <c r="I156" s="7">
        <f t="array" aca="1" ref="I156" ca="1">IF(INT(N$4/500*360)&gt;=$G156,I$5,NA())</f>
        <v>9.3000000000000007</v>
      </c>
      <c r="J156" s="7" t="e">
        <f t="array" aca="1" ref="J156" ca="1">IF(INT(O$4/500*360)&gt;=$G156,J$5,NA())</f>
        <v>#N/A</v>
      </c>
      <c r="K156" s="7" t="e">
        <f t="array" aca="1" ref="K156" ca="1">IF(INT(P$4/500*360)&gt;=$G156,K$5,NA())</f>
        <v>#N/A</v>
      </c>
      <c r="L156" s="7" t="e">
        <f t="array" aca="1" ref="L156" ca="1">IF(INT(Q$4/500*360)&gt;=$G156,L$5,NA())</f>
        <v>#N/A</v>
      </c>
      <c r="M156" s="7" t="e">
        <f t="shared" ca="1" si="19"/>
        <v>#N/A</v>
      </c>
      <c r="N156" s="7" t="e">
        <f t="shared" ca="1" si="19"/>
        <v>#N/A</v>
      </c>
      <c r="O156" s="7" t="e">
        <f t="shared" ca="1" si="19"/>
        <v>#N/A</v>
      </c>
      <c r="P156" s="7" t="e">
        <f t="shared" ca="1" si="19"/>
        <v>#N/A</v>
      </c>
      <c r="Q156" s="7" t="e">
        <f t="shared" ca="1" si="19"/>
        <v>#N/A</v>
      </c>
    </row>
    <row r="157" spans="7:17" ht="20.25" customHeight="1" x14ac:dyDescent="0.35">
      <c r="G157" s="7">
        <v>151</v>
      </c>
      <c r="H157" s="7">
        <f t="array" aca="1" ref="H157" ca="1">IF(INT(M$4/500*360)&gt;=$G157,H$5,NA())</f>
        <v>10</v>
      </c>
      <c r="I157" s="7">
        <f t="array" aca="1" ref="I157" ca="1">IF(INT(N$4/500*360)&gt;=$G157,I$5,NA())</f>
        <v>9.3000000000000007</v>
      </c>
      <c r="J157" s="7" t="e">
        <f t="array" aca="1" ref="J157" ca="1">IF(INT(O$4/500*360)&gt;=$G157,J$5,NA())</f>
        <v>#N/A</v>
      </c>
      <c r="K157" s="7" t="e">
        <f t="array" aca="1" ref="K157" ca="1">IF(INT(P$4/500*360)&gt;=$G157,K$5,NA())</f>
        <v>#N/A</v>
      </c>
      <c r="L157" s="7" t="e">
        <f t="array" aca="1" ref="L157" ca="1">IF(INT(Q$4/500*360)&gt;=$G157,L$5,NA())</f>
        <v>#N/A</v>
      </c>
      <c r="M157" s="7" t="e">
        <f t="shared" ref="M157:Q166" ca="1" si="20">IF(INT(M$4/500*360)=$G157,M$5,NA())</f>
        <v>#N/A</v>
      </c>
      <c r="N157" s="7" t="e">
        <f t="shared" ca="1" si="20"/>
        <v>#N/A</v>
      </c>
      <c r="O157" s="7" t="e">
        <f t="shared" ca="1" si="20"/>
        <v>#N/A</v>
      </c>
      <c r="P157" s="7" t="e">
        <f t="shared" ca="1" si="20"/>
        <v>#N/A</v>
      </c>
      <c r="Q157" s="7" t="e">
        <f t="shared" ca="1" si="20"/>
        <v>#N/A</v>
      </c>
    </row>
    <row r="158" spans="7:17" ht="20.25" customHeight="1" x14ac:dyDescent="0.35">
      <c r="G158" s="7">
        <v>152</v>
      </c>
      <c r="H158" s="7">
        <f t="array" aca="1" ref="H158" ca="1">IF(INT(M$4/500*360)&gt;=$G158,H$5,NA())</f>
        <v>10</v>
      </c>
      <c r="I158" s="7">
        <f t="array" aca="1" ref="I158" ca="1">IF(INT(N$4/500*360)&gt;=$G158,I$5,NA())</f>
        <v>9.3000000000000007</v>
      </c>
      <c r="J158" s="7" t="e">
        <f t="array" aca="1" ref="J158" ca="1">IF(INT(O$4/500*360)&gt;=$G158,J$5,NA())</f>
        <v>#N/A</v>
      </c>
      <c r="K158" s="7" t="e">
        <f t="array" aca="1" ref="K158" ca="1">IF(INT(P$4/500*360)&gt;=$G158,K$5,NA())</f>
        <v>#N/A</v>
      </c>
      <c r="L158" s="7" t="e">
        <f t="array" aca="1" ref="L158" ca="1">IF(INT(Q$4/500*360)&gt;=$G158,L$5,NA())</f>
        <v>#N/A</v>
      </c>
      <c r="M158" s="7" t="e">
        <f t="shared" ca="1" si="20"/>
        <v>#N/A</v>
      </c>
      <c r="N158" s="7" t="e">
        <f t="shared" ca="1" si="20"/>
        <v>#N/A</v>
      </c>
      <c r="O158" s="7" t="e">
        <f t="shared" ca="1" si="20"/>
        <v>#N/A</v>
      </c>
      <c r="P158" s="7" t="e">
        <f t="shared" ca="1" si="20"/>
        <v>#N/A</v>
      </c>
      <c r="Q158" s="7" t="e">
        <f t="shared" ca="1" si="20"/>
        <v>#N/A</v>
      </c>
    </row>
    <row r="159" spans="7:17" ht="20.25" customHeight="1" x14ac:dyDescent="0.35">
      <c r="G159" s="7">
        <v>153</v>
      </c>
      <c r="H159" s="7">
        <f t="array" aca="1" ref="H159" ca="1">IF(INT(M$4/500*360)&gt;=$G159,H$5,NA())</f>
        <v>10</v>
      </c>
      <c r="I159" s="7">
        <f t="array" aca="1" ref="I159" ca="1">IF(INT(N$4/500*360)&gt;=$G159,I$5,NA())</f>
        <v>9.3000000000000007</v>
      </c>
      <c r="J159" s="7" t="e">
        <f t="array" aca="1" ref="J159" ca="1">IF(INT(O$4/500*360)&gt;=$G159,J$5,NA())</f>
        <v>#N/A</v>
      </c>
      <c r="K159" s="7" t="e">
        <f t="array" aca="1" ref="K159" ca="1">IF(INT(P$4/500*360)&gt;=$G159,K$5,NA())</f>
        <v>#N/A</v>
      </c>
      <c r="L159" s="7" t="e">
        <f t="array" aca="1" ref="L159" ca="1">IF(INT(Q$4/500*360)&gt;=$G159,L$5,NA())</f>
        <v>#N/A</v>
      </c>
      <c r="M159" s="7" t="e">
        <f t="shared" ca="1" si="20"/>
        <v>#N/A</v>
      </c>
      <c r="N159" s="7" t="e">
        <f t="shared" ca="1" si="20"/>
        <v>#N/A</v>
      </c>
      <c r="O159" s="7" t="e">
        <f t="shared" ca="1" si="20"/>
        <v>#N/A</v>
      </c>
      <c r="P159" s="7" t="e">
        <f t="shared" ca="1" si="20"/>
        <v>#N/A</v>
      </c>
      <c r="Q159" s="7" t="e">
        <f t="shared" ca="1" si="20"/>
        <v>#N/A</v>
      </c>
    </row>
    <row r="160" spans="7:17" ht="20.25" customHeight="1" x14ac:dyDescent="0.35">
      <c r="G160" s="7">
        <v>154</v>
      </c>
      <c r="H160" s="7">
        <f t="array" aca="1" ref="H160" ca="1">IF(INT(M$4/500*360)&gt;=$G160,H$5,NA())</f>
        <v>10</v>
      </c>
      <c r="I160" s="7">
        <f t="array" aca="1" ref="I160" ca="1">IF(INT(N$4/500*360)&gt;=$G160,I$5,NA())</f>
        <v>9.3000000000000007</v>
      </c>
      <c r="J160" s="7" t="e">
        <f t="array" aca="1" ref="J160" ca="1">IF(INT(O$4/500*360)&gt;=$G160,J$5,NA())</f>
        <v>#N/A</v>
      </c>
      <c r="K160" s="7" t="e">
        <f t="array" aca="1" ref="K160" ca="1">IF(INT(P$4/500*360)&gt;=$G160,K$5,NA())</f>
        <v>#N/A</v>
      </c>
      <c r="L160" s="7" t="e">
        <f t="array" aca="1" ref="L160" ca="1">IF(INT(Q$4/500*360)&gt;=$G160,L$5,NA())</f>
        <v>#N/A</v>
      </c>
      <c r="M160" s="7" t="e">
        <f t="shared" ca="1" si="20"/>
        <v>#N/A</v>
      </c>
      <c r="N160" s="7" t="e">
        <f t="shared" ca="1" si="20"/>
        <v>#N/A</v>
      </c>
      <c r="O160" s="7" t="e">
        <f t="shared" ca="1" si="20"/>
        <v>#N/A</v>
      </c>
      <c r="P160" s="7" t="e">
        <f t="shared" ca="1" si="20"/>
        <v>#N/A</v>
      </c>
      <c r="Q160" s="7" t="e">
        <f t="shared" ca="1" si="20"/>
        <v>#N/A</v>
      </c>
    </row>
    <row r="161" spans="7:17" ht="20.25" customHeight="1" x14ac:dyDescent="0.35">
      <c r="G161" s="7">
        <v>155</v>
      </c>
      <c r="H161" s="7">
        <f t="array" aca="1" ref="H161" ca="1">IF(INT(M$4/500*360)&gt;=$G161,H$5,NA())</f>
        <v>10</v>
      </c>
      <c r="I161" s="7">
        <f t="array" aca="1" ref="I161" ca="1">IF(INT(N$4/500*360)&gt;=$G161,I$5,NA())</f>
        <v>9.3000000000000007</v>
      </c>
      <c r="J161" s="7" t="e">
        <f t="array" aca="1" ref="J161" ca="1">IF(INT(O$4/500*360)&gt;=$G161,J$5,NA())</f>
        <v>#N/A</v>
      </c>
      <c r="K161" s="7" t="e">
        <f t="array" aca="1" ref="K161" ca="1">IF(INT(P$4/500*360)&gt;=$G161,K$5,NA())</f>
        <v>#N/A</v>
      </c>
      <c r="L161" s="7" t="e">
        <f t="array" aca="1" ref="L161" ca="1">IF(INT(Q$4/500*360)&gt;=$G161,L$5,NA())</f>
        <v>#N/A</v>
      </c>
      <c r="M161" s="7" t="e">
        <f t="shared" ca="1" si="20"/>
        <v>#N/A</v>
      </c>
      <c r="N161" s="7" t="e">
        <f t="shared" ca="1" si="20"/>
        <v>#N/A</v>
      </c>
      <c r="O161" s="7" t="e">
        <f t="shared" ca="1" si="20"/>
        <v>#N/A</v>
      </c>
      <c r="P161" s="7" t="e">
        <f t="shared" ca="1" si="20"/>
        <v>#N/A</v>
      </c>
      <c r="Q161" s="7" t="e">
        <f t="shared" ca="1" si="20"/>
        <v>#N/A</v>
      </c>
    </row>
    <row r="162" spans="7:17" ht="20.25" customHeight="1" x14ac:dyDescent="0.35">
      <c r="G162" s="7">
        <v>156</v>
      </c>
      <c r="H162" s="7">
        <f t="array" aca="1" ref="H162" ca="1">IF(INT(M$4/500*360)&gt;=$G162,H$5,NA())</f>
        <v>10</v>
      </c>
      <c r="I162" s="7">
        <f t="array" aca="1" ref="I162" ca="1">IF(INT(N$4/500*360)&gt;=$G162,I$5,NA())</f>
        <v>9.3000000000000007</v>
      </c>
      <c r="J162" s="7" t="e">
        <f t="array" aca="1" ref="J162" ca="1">IF(INT(O$4/500*360)&gt;=$G162,J$5,NA())</f>
        <v>#N/A</v>
      </c>
      <c r="K162" s="7" t="e">
        <f t="array" aca="1" ref="K162" ca="1">IF(INT(P$4/500*360)&gt;=$G162,K$5,NA())</f>
        <v>#N/A</v>
      </c>
      <c r="L162" s="7" t="e">
        <f t="array" aca="1" ref="L162" ca="1">IF(INT(Q$4/500*360)&gt;=$G162,L$5,NA())</f>
        <v>#N/A</v>
      </c>
      <c r="M162" s="7" t="e">
        <f t="shared" ca="1" si="20"/>
        <v>#N/A</v>
      </c>
      <c r="N162" s="7" t="e">
        <f t="shared" ca="1" si="20"/>
        <v>#N/A</v>
      </c>
      <c r="O162" s="7" t="e">
        <f t="shared" ca="1" si="20"/>
        <v>#N/A</v>
      </c>
      <c r="P162" s="7" t="e">
        <f t="shared" ca="1" si="20"/>
        <v>#N/A</v>
      </c>
      <c r="Q162" s="7" t="e">
        <f t="shared" ca="1" si="20"/>
        <v>#N/A</v>
      </c>
    </row>
    <row r="163" spans="7:17" ht="20.25" customHeight="1" x14ac:dyDescent="0.35">
      <c r="G163" s="7">
        <v>157</v>
      </c>
      <c r="H163" s="7">
        <f t="array" aca="1" ref="H163" ca="1">IF(INT(M$4/500*360)&gt;=$G163,H$5,NA())</f>
        <v>10</v>
      </c>
      <c r="I163" s="7">
        <f t="array" aca="1" ref="I163" ca="1">IF(INT(N$4/500*360)&gt;=$G163,I$5,NA())</f>
        <v>9.3000000000000007</v>
      </c>
      <c r="J163" s="7" t="e">
        <f t="array" aca="1" ref="J163" ca="1">IF(INT(O$4/500*360)&gt;=$G163,J$5,NA())</f>
        <v>#N/A</v>
      </c>
      <c r="K163" s="7" t="e">
        <f t="array" aca="1" ref="K163" ca="1">IF(INT(P$4/500*360)&gt;=$G163,K$5,NA())</f>
        <v>#N/A</v>
      </c>
      <c r="L163" s="7" t="e">
        <f t="array" aca="1" ref="L163" ca="1">IF(INT(Q$4/500*360)&gt;=$G163,L$5,NA())</f>
        <v>#N/A</v>
      </c>
      <c r="M163" s="7" t="e">
        <f t="shared" ca="1" si="20"/>
        <v>#N/A</v>
      </c>
      <c r="N163" s="7" t="e">
        <f t="shared" ca="1" si="20"/>
        <v>#N/A</v>
      </c>
      <c r="O163" s="7" t="e">
        <f t="shared" ca="1" si="20"/>
        <v>#N/A</v>
      </c>
      <c r="P163" s="7" t="e">
        <f t="shared" ca="1" si="20"/>
        <v>#N/A</v>
      </c>
      <c r="Q163" s="7" t="e">
        <f t="shared" ca="1" si="20"/>
        <v>#N/A</v>
      </c>
    </row>
    <row r="164" spans="7:17" ht="20.25" customHeight="1" x14ac:dyDescent="0.35">
      <c r="G164" s="7">
        <v>158</v>
      </c>
      <c r="H164" s="7">
        <f t="array" aca="1" ref="H164" ca="1">IF(INT(M$4/500*360)&gt;=$G164,H$5,NA())</f>
        <v>10</v>
      </c>
      <c r="I164" s="7">
        <f t="array" aca="1" ref="I164" ca="1">IF(INT(N$4/500*360)&gt;=$G164,I$5,NA())</f>
        <v>9.3000000000000007</v>
      </c>
      <c r="J164" s="7" t="e">
        <f t="array" aca="1" ref="J164" ca="1">IF(INT(O$4/500*360)&gt;=$G164,J$5,NA())</f>
        <v>#N/A</v>
      </c>
      <c r="K164" s="7" t="e">
        <f t="array" aca="1" ref="K164" ca="1">IF(INT(P$4/500*360)&gt;=$G164,K$5,NA())</f>
        <v>#N/A</v>
      </c>
      <c r="L164" s="7" t="e">
        <f t="array" aca="1" ref="L164" ca="1">IF(INT(Q$4/500*360)&gt;=$G164,L$5,NA())</f>
        <v>#N/A</v>
      </c>
      <c r="M164" s="7" t="e">
        <f t="shared" ca="1" si="20"/>
        <v>#N/A</v>
      </c>
      <c r="N164" s="7" t="e">
        <f t="shared" ca="1" si="20"/>
        <v>#N/A</v>
      </c>
      <c r="O164" s="7" t="e">
        <f t="shared" ca="1" si="20"/>
        <v>#N/A</v>
      </c>
      <c r="P164" s="7" t="e">
        <f t="shared" ca="1" si="20"/>
        <v>#N/A</v>
      </c>
      <c r="Q164" s="7" t="e">
        <f t="shared" ca="1" si="20"/>
        <v>#N/A</v>
      </c>
    </row>
    <row r="165" spans="7:17" ht="20.25" customHeight="1" x14ac:dyDescent="0.35">
      <c r="G165" s="7">
        <v>159</v>
      </c>
      <c r="H165" s="7">
        <f t="array" aca="1" ref="H165" ca="1">IF(INT(M$4/500*360)&gt;=$G165,H$5,NA())</f>
        <v>10</v>
      </c>
      <c r="I165" s="7">
        <f t="array" aca="1" ref="I165" ca="1">IF(INT(N$4/500*360)&gt;=$G165,I$5,NA())</f>
        <v>9.3000000000000007</v>
      </c>
      <c r="J165" s="7" t="e">
        <f t="array" aca="1" ref="J165" ca="1">IF(INT(O$4/500*360)&gt;=$G165,J$5,NA())</f>
        <v>#N/A</v>
      </c>
      <c r="K165" s="7" t="e">
        <f t="array" aca="1" ref="K165" ca="1">IF(INT(P$4/500*360)&gt;=$G165,K$5,NA())</f>
        <v>#N/A</v>
      </c>
      <c r="L165" s="7" t="e">
        <f t="array" aca="1" ref="L165" ca="1">IF(INT(Q$4/500*360)&gt;=$G165,L$5,NA())</f>
        <v>#N/A</v>
      </c>
      <c r="M165" s="7" t="e">
        <f t="shared" ca="1" si="20"/>
        <v>#N/A</v>
      </c>
      <c r="N165" s="7" t="e">
        <f t="shared" ca="1" si="20"/>
        <v>#N/A</v>
      </c>
      <c r="O165" s="7" t="e">
        <f t="shared" ca="1" si="20"/>
        <v>#N/A</v>
      </c>
      <c r="P165" s="7" t="e">
        <f t="shared" ca="1" si="20"/>
        <v>#N/A</v>
      </c>
      <c r="Q165" s="7" t="e">
        <f t="shared" ca="1" si="20"/>
        <v>#N/A</v>
      </c>
    </row>
    <row r="166" spans="7:17" ht="20.25" customHeight="1" x14ac:dyDescent="0.35">
      <c r="G166" s="7">
        <v>160</v>
      </c>
      <c r="H166" s="7">
        <f t="array" aca="1" ref="H166" ca="1">IF(INT(M$4/500*360)&gt;=$G166,H$5,NA())</f>
        <v>10</v>
      </c>
      <c r="I166" s="7">
        <f t="array" aca="1" ref="I166" ca="1">IF(INT(N$4/500*360)&gt;=$G166,I$5,NA())</f>
        <v>9.3000000000000007</v>
      </c>
      <c r="J166" s="7" t="e">
        <f t="array" aca="1" ref="J166" ca="1">IF(INT(O$4/500*360)&gt;=$G166,J$5,NA())</f>
        <v>#N/A</v>
      </c>
      <c r="K166" s="7" t="e">
        <f t="array" aca="1" ref="K166" ca="1">IF(INT(P$4/500*360)&gt;=$G166,K$5,NA())</f>
        <v>#N/A</v>
      </c>
      <c r="L166" s="7" t="e">
        <f t="array" aca="1" ref="L166" ca="1">IF(INT(Q$4/500*360)&gt;=$G166,L$5,NA())</f>
        <v>#N/A</v>
      </c>
      <c r="M166" s="7" t="e">
        <f t="shared" ca="1" si="20"/>
        <v>#N/A</v>
      </c>
      <c r="N166" s="7" t="e">
        <f t="shared" ca="1" si="20"/>
        <v>#N/A</v>
      </c>
      <c r="O166" s="7" t="e">
        <f t="shared" ca="1" si="20"/>
        <v>#N/A</v>
      </c>
      <c r="P166" s="7" t="e">
        <f t="shared" ca="1" si="20"/>
        <v>#N/A</v>
      </c>
      <c r="Q166" s="7" t="e">
        <f t="shared" ca="1" si="20"/>
        <v>#N/A</v>
      </c>
    </row>
    <row r="167" spans="7:17" ht="20.25" customHeight="1" x14ac:dyDescent="0.35">
      <c r="G167" s="7">
        <v>161</v>
      </c>
      <c r="H167" s="7">
        <f t="array" aca="1" ref="H167" ca="1">IF(INT(M$4/500*360)&gt;=$G167,H$5,NA())</f>
        <v>10</v>
      </c>
      <c r="I167" s="7">
        <f t="array" aca="1" ref="I167" ca="1">IF(INT(N$4/500*360)&gt;=$G167,I$5,NA())</f>
        <v>9.3000000000000007</v>
      </c>
      <c r="J167" s="7" t="e">
        <f t="array" aca="1" ref="J167" ca="1">IF(INT(O$4/500*360)&gt;=$G167,J$5,NA())</f>
        <v>#N/A</v>
      </c>
      <c r="K167" s="7" t="e">
        <f t="array" aca="1" ref="K167" ca="1">IF(INT(P$4/500*360)&gt;=$G167,K$5,NA())</f>
        <v>#N/A</v>
      </c>
      <c r="L167" s="7" t="e">
        <f t="array" aca="1" ref="L167" ca="1">IF(INT(Q$4/500*360)&gt;=$G167,L$5,NA())</f>
        <v>#N/A</v>
      </c>
      <c r="M167" s="7" t="e">
        <f t="shared" ref="M167:Q176" ca="1" si="21">IF(INT(M$4/500*360)=$G167,M$5,NA())</f>
        <v>#N/A</v>
      </c>
      <c r="N167" s="7" t="e">
        <f t="shared" ca="1" si="21"/>
        <v>#N/A</v>
      </c>
      <c r="O167" s="7" t="e">
        <f t="shared" ca="1" si="21"/>
        <v>#N/A</v>
      </c>
      <c r="P167" s="7" t="e">
        <f t="shared" ca="1" si="21"/>
        <v>#N/A</v>
      </c>
      <c r="Q167" s="7" t="e">
        <f t="shared" ca="1" si="21"/>
        <v>#N/A</v>
      </c>
    </row>
    <row r="168" spans="7:17" ht="20.25" customHeight="1" x14ac:dyDescent="0.35">
      <c r="G168" s="7">
        <v>162</v>
      </c>
      <c r="H168" s="7">
        <f t="array" aca="1" ref="H168" ca="1">IF(INT(M$4/500*360)&gt;=$G168,H$5,NA())</f>
        <v>10</v>
      </c>
      <c r="I168" s="7">
        <f t="array" aca="1" ref="I168" ca="1">IF(INT(N$4/500*360)&gt;=$G168,I$5,NA())</f>
        <v>9.3000000000000007</v>
      </c>
      <c r="J168" s="7" t="e">
        <f t="array" aca="1" ref="J168" ca="1">IF(INT(O$4/500*360)&gt;=$G168,J$5,NA())</f>
        <v>#N/A</v>
      </c>
      <c r="K168" s="7" t="e">
        <f t="array" aca="1" ref="K168" ca="1">IF(INT(P$4/500*360)&gt;=$G168,K$5,NA())</f>
        <v>#N/A</v>
      </c>
      <c r="L168" s="7" t="e">
        <f t="array" aca="1" ref="L168" ca="1">IF(INT(Q$4/500*360)&gt;=$G168,L$5,NA())</f>
        <v>#N/A</v>
      </c>
      <c r="M168" s="7" t="e">
        <f t="shared" ca="1" si="21"/>
        <v>#N/A</v>
      </c>
      <c r="N168" s="7" t="e">
        <f t="shared" ca="1" si="21"/>
        <v>#N/A</v>
      </c>
      <c r="O168" s="7" t="e">
        <f t="shared" ca="1" si="21"/>
        <v>#N/A</v>
      </c>
      <c r="P168" s="7" t="e">
        <f t="shared" ca="1" si="21"/>
        <v>#N/A</v>
      </c>
      <c r="Q168" s="7" t="e">
        <f t="shared" ca="1" si="21"/>
        <v>#N/A</v>
      </c>
    </row>
    <row r="169" spans="7:17" ht="20.25" customHeight="1" x14ac:dyDescent="0.35">
      <c r="G169" s="7">
        <v>163</v>
      </c>
      <c r="H169" s="7">
        <f t="array" aca="1" ref="H169" ca="1">IF(INT(M$4/500*360)&gt;=$G169,H$5,NA())</f>
        <v>10</v>
      </c>
      <c r="I169" s="7">
        <f t="array" aca="1" ref="I169" ca="1">IF(INT(N$4/500*360)&gt;=$G169,I$5,NA())</f>
        <v>9.3000000000000007</v>
      </c>
      <c r="J169" s="7" t="e">
        <f t="array" aca="1" ref="J169" ca="1">IF(INT(O$4/500*360)&gt;=$G169,J$5,NA())</f>
        <v>#N/A</v>
      </c>
      <c r="K169" s="7" t="e">
        <f t="array" aca="1" ref="K169" ca="1">IF(INT(P$4/500*360)&gt;=$G169,K$5,NA())</f>
        <v>#N/A</v>
      </c>
      <c r="L169" s="7" t="e">
        <f t="array" aca="1" ref="L169" ca="1">IF(INT(Q$4/500*360)&gt;=$G169,L$5,NA())</f>
        <v>#N/A</v>
      </c>
      <c r="M169" s="7" t="e">
        <f t="shared" ca="1" si="21"/>
        <v>#N/A</v>
      </c>
      <c r="N169" s="7" t="e">
        <f t="shared" ca="1" si="21"/>
        <v>#N/A</v>
      </c>
      <c r="O169" s="7" t="e">
        <f t="shared" ca="1" si="21"/>
        <v>#N/A</v>
      </c>
      <c r="P169" s="7" t="e">
        <f t="shared" ca="1" si="21"/>
        <v>#N/A</v>
      </c>
      <c r="Q169" s="7" t="e">
        <f t="shared" ca="1" si="21"/>
        <v>#N/A</v>
      </c>
    </row>
    <row r="170" spans="7:17" ht="20.25" customHeight="1" x14ac:dyDescent="0.35">
      <c r="G170" s="7">
        <v>164</v>
      </c>
      <c r="H170" s="7">
        <f t="array" aca="1" ref="H170" ca="1">IF(INT(M$4/500*360)&gt;=$G170,H$5,NA())</f>
        <v>10</v>
      </c>
      <c r="I170" s="7">
        <f t="array" aca="1" ref="I170" ca="1">IF(INT(N$4/500*360)&gt;=$G170,I$5,NA())</f>
        <v>9.3000000000000007</v>
      </c>
      <c r="J170" s="7" t="e">
        <f t="array" aca="1" ref="J170" ca="1">IF(INT(O$4/500*360)&gt;=$G170,J$5,NA())</f>
        <v>#N/A</v>
      </c>
      <c r="K170" s="7" t="e">
        <f t="array" aca="1" ref="K170" ca="1">IF(INT(P$4/500*360)&gt;=$G170,K$5,NA())</f>
        <v>#N/A</v>
      </c>
      <c r="L170" s="7" t="e">
        <f t="array" aca="1" ref="L170" ca="1">IF(INT(Q$4/500*360)&gt;=$G170,L$5,NA())</f>
        <v>#N/A</v>
      </c>
      <c r="M170" s="7" t="e">
        <f t="shared" ca="1" si="21"/>
        <v>#N/A</v>
      </c>
      <c r="N170" s="7" t="e">
        <f t="shared" ca="1" si="21"/>
        <v>#N/A</v>
      </c>
      <c r="O170" s="7" t="e">
        <f t="shared" ca="1" si="21"/>
        <v>#N/A</v>
      </c>
      <c r="P170" s="7" t="e">
        <f t="shared" ca="1" si="21"/>
        <v>#N/A</v>
      </c>
      <c r="Q170" s="7" t="e">
        <f t="shared" ca="1" si="21"/>
        <v>#N/A</v>
      </c>
    </row>
    <row r="171" spans="7:17" ht="20.25" customHeight="1" x14ac:dyDescent="0.35">
      <c r="G171" s="7">
        <v>165</v>
      </c>
      <c r="H171" s="7">
        <f t="array" aca="1" ref="H171" ca="1">IF(INT(M$4/500*360)&gt;=$G171,H$5,NA())</f>
        <v>10</v>
      </c>
      <c r="I171" s="7">
        <f t="array" aca="1" ref="I171" ca="1">IF(INT(N$4/500*360)&gt;=$G171,I$5,NA())</f>
        <v>9.3000000000000007</v>
      </c>
      <c r="J171" s="7" t="e">
        <f t="array" aca="1" ref="J171" ca="1">IF(INT(O$4/500*360)&gt;=$G171,J$5,NA())</f>
        <v>#N/A</v>
      </c>
      <c r="K171" s="7" t="e">
        <f t="array" aca="1" ref="K171" ca="1">IF(INT(P$4/500*360)&gt;=$G171,K$5,NA())</f>
        <v>#N/A</v>
      </c>
      <c r="L171" s="7" t="e">
        <f t="array" aca="1" ref="L171" ca="1">IF(INT(Q$4/500*360)&gt;=$G171,L$5,NA())</f>
        <v>#N/A</v>
      </c>
      <c r="M171" s="7" t="e">
        <f t="shared" ca="1" si="21"/>
        <v>#N/A</v>
      </c>
      <c r="N171" s="7" t="e">
        <f t="shared" ca="1" si="21"/>
        <v>#N/A</v>
      </c>
      <c r="O171" s="7" t="e">
        <f t="shared" ca="1" si="21"/>
        <v>#N/A</v>
      </c>
      <c r="P171" s="7" t="e">
        <f t="shared" ca="1" si="21"/>
        <v>#N/A</v>
      </c>
      <c r="Q171" s="7" t="e">
        <f t="shared" ca="1" si="21"/>
        <v>#N/A</v>
      </c>
    </row>
    <row r="172" spans="7:17" ht="20.25" customHeight="1" x14ac:dyDescent="0.35">
      <c r="G172" s="7">
        <v>166</v>
      </c>
      <c r="H172" s="7">
        <f t="array" aca="1" ref="H172" ca="1">IF(INT(M$4/500*360)&gt;=$G172,H$5,NA())</f>
        <v>10</v>
      </c>
      <c r="I172" s="7">
        <f t="array" aca="1" ref="I172" ca="1">IF(INT(N$4/500*360)&gt;=$G172,I$5,NA())</f>
        <v>9.3000000000000007</v>
      </c>
      <c r="J172" s="7" t="e">
        <f t="array" aca="1" ref="J172" ca="1">IF(INT(O$4/500*360)&gt;=$G172,J$5,NA())</f>
        <v>#N/A</v>
      </c>
      <c r="K172" s="7" t="e">
        <f t="array" aca="1" ref="K172" ca="1">IF(INT(P$4/500*360)&gt;=$G172,K$5,NA())</f>
        <v>#N/A</v>
      </c>
      <c r="L172" s="7" t="e">
        <f t="array" aca="1" ref="L172" ca="1">IF(INT(Q$4/500*360)&gt;=$G172,L$5,NA())</f>
        <v>#N/A</v>
      </c>
      <c r="M172" s="7" t="e">
        <f t="shared" ca="1" si="21"/>
        <v>#N/A</v>
      </c>
      <c r="N172" s="7" t="e">
        <f t="shared" ca="1" si="21"/>
        <v>#N/A</v>
      </c>
      <c r="O172" s="7" t="e">
        <f t="shared" ca="1" si="21"/>
        <v>#N/A</v>
      </c>
      <c r="P172" s="7" t="e">
        <f t="shared" ca="1" si="21"/>
        <v>#N/A</v>
      </c>
      <c r="Q172" s="7" t="e">
        <f t="shared" ca="1" si="21"/>
        <v>#N/A</v>
      </c>
    </row>
    <row r="173" spans="7:17" ht="20.25" customHeight="1" x14ac:dyDescent="0.35">
      <c r="G173" s="7">
        <v>167</v>
      </c>
      <c r="H173" s="7">
        <f t="array" aca="1" ref="H173" ca="1">IF(INT(M$4/500*360)&gt;=$G173,H$5,NA())</f>
        <v>10</v>
      </c>
      <c r="I173" s="7">
        <f t="array" aca="1" ref="I173" ca="1">IF(INT(N$4/500*360)&gt;=$G173,I$5,NA())</f>
        <v>9.3000000000000007</v>
      </c>
      <c r="J173" s="7" t="e">
        <f t="array" aca="1" ref="J173" ca="1">IF(INT(O$4/500*360)&gt;=$G173,J$5,NA())</f>
        <v>#N/A</v>
      </c>
      <c r="K173" s="7" t="e">
        <f t="array" aca="1" ref="K173" ca="1">IF(INT(P$4/500*360)&gt;=$G173,K$5,NA())</f>
        <v>#N/A</v>
      </c>
      <c r="L173" s="7" t="e">
        <f t="array" aca="1" ref="L173" ca="1">IF(INT(Q$4/500*360)&gt;=$G173,L$5,NA())</f>
        <v>#N/A</v>
      </c>
      <c r="M173" s="7" t="e">
        <f t="shared" ca="1" si="21"/>
        <v>#N/A</v>
      </c>
      <c r="N173" s="7" t="e">
        <f t="shared" ca="1" si="21"/>
        <v>#N/A</v>
      </c>
      <c r="O173" s="7" t="e">
        <f t="shared" ca="1" si="21"/>
        <v>#N/A</v>
      </c>
      <c r="P173" s="7" t="e">
        <f t="shared" ca="1" si="21"/>
        <v>#N/A</v>
      </c>
      <c r="Q173" s="7" t="e">
        <f t="shared" ca="1" si="21"/>
        <v>#N/A</v>
      </c>
    </row>
    <row r="174" spans="7:17" ht="20.25" customHeight="1" x14ac:dyDescent="0.35">
      <c r="G174" s="7">
        <v>168</v>
      </c>
      <c r="H174" s="7">
        <f t="array" aca="1" ref="H174" ca="1">IF(INT(M$4/500*360)&gt;=$G174,H$5,NA())</f>
        <v>10</v>
      </c>
      <c r="I174" s="7">
        <f t="array" aca="1" ref="I174" ca="1">IF(INT(N$4/500*360)&gt;=$G174,I$5,NA())</f>
        <v>9.3000000000000007</v>
      </c>
      <c r="J174" s="7" t="e">
        <f t="array" aca="1" ref="J174" ca="1">IF(INT(O$4/500*360)&gt;=$G174,J$5,NA())</f>
        <v>#N/A</v>
      </c>
      <c r="K174" s="7" t="e">
        <f t="array" aca="1" ref="K174" ca="1">IF(INT(P$4/500*360)&gt;=$G174,K$5,NA())</f>
        <v>#N/A</v>
      </c>
      <c r="L174" s="7" t="e">
        <f t="array" aca="1" ref="L174" ca="1">IF(INT(Q$4/500*360)&gt;=$G174,L$5,NA())</f>
        <v>#N/A</v>
      </c>
      <c r="M174" s="7" t="e">
        <f t="shared" ca="1" si="21"/>
        <v>#N/A</v>
      </c>
      <c r="N174" s="7" t="e">
        <f t="shared" ca="1" si="21"/>
        <v>#N/A</v>
      </c>
      <c r="O174" s="7" t="e">
        <f t="shared" ca="1" si="21"/>
        <v>#N/A</v>
      </c>
      <c r="P174" s="7" t="e">
        <f t="shared" ca="1" si="21"/>
        <v>#N/A</v>
      </c>
      <c r="Q174" s="7" t="e">
        <f t="shared" ca="1" si="21"/>
        <v>#N/A</v>
      </c>
    </row>
    <row r="175" spans="7:17" ht="20.25" customHeight="1" x14ac:dyDescent="0.35">
      <c r="G175" s="7">
        <v>169</v>
      </c>
      <c r="H175" s="7">
        <f t="array" aca="1" ref="H175" ca="1">IF(INT(M$4/500*360)&gt;=$G175,H$5,NA())</f>
        <v>10</v>
      </c>
      <c r="I175" s="7">
        <f t="array" aca="1" ref="I175" ca="1">IF(INT(N$4/500*360)&gt;=$G175,I$5,NA())</f>
        <v>9.3000000000000007</v>
      </c>
      <c r="J175" s="7" t="e">
        <f t="array" aca="1" ref="J175" ca="1">IF(INT(O$4/500*360)&gt;=$G175,J$5,NA())</f>
        <v>#N/A</v>
      </c>
      <c r="K175" s="7" t="e">
        <f t="array" aca="1" ref="K175" ca="1">IF(INT(P$4/500*360)&gt;=$G175,K$5,NA())</f>
        <v>#N/A</v>
      </c>
      <c r="L175" s="7" t="e">
        <f t="array" aca="1" ref="L175" ca="1">IF(INT(Q$4/500*360)&gt;=$G175,L$5,NA())</f>
        <v>#N/A</v>
      </c>
      <c r="M175" s="7" t="e">
        <f t="shared" ca="1" si="21"/>
        <v>#N/A</v>
      </c>
      <c r="N175" s="7" t="e">
        <f t="shared" ca="1" si="21"/>
        <v>#N/A</v>
      </c>
      <c r="O175" s="7" t="e">
        <f t="shared" ca="1" si="21"/>
        <v>#N/A</v>
      </c>
      <c r="P175" s="7" t="e">
        <f t="shared" ca="1" si="21"/>
        <v>#N/A</v>
      </c>
      <c r="Q175" s="7" t="e">
        <f t="shared" ca="1" si="21"/>
        <v>#N/A</v>
      </c>
    </row>
    <row r="176" spans="7:17" ht="20.25" customHeight="1" x14ac:dyDescent="0.35">
      <c r="G176" s="7">
        <v>170</v>
      </c>
      <c r="H176" s="7">
        <f t="array" aca="1" ref="H176" ca="1">IF(INT(M$4/500*360)&gt;=$G176,H$5,NA())</f>
        <v>10</v>
      </c>
      <c r="I176" s="7">
        <f t="array" aca="1" ref="I176" ca="1">IF(INT(N$4/500*360)&gt;=$G176,I$5,NA())</f>
        <v>9.3000000000000007</v>
      </c>
      <c r="J176" s="7" t="e">
        <f t="array" aca="1" ref="J176" ca="1">IF(INT(O$4/500*360)&gt;=$G176,J$5,NA())</f>
        <v>#N/A</v>
      </c>
      <c r="K176" s="7" t="e">
        <f t="array" aca="1" ref="K176" ca="1">IF(INT(P$4/500*360)&gt;=$G176,K$5,NA())</f>
        <v>#N/A</v>
      </c>
      <c r="L176" s="7" t="e">
        <f t="array" aca="1" ref="L176" ca="1">IF(INT(Q$4/500*360)&gt;=$G176,L$5,NA())</f>
        <v>#N/A</v>
      </c>
      <c r="M176" s="7" t="e">
        <f t="shared" ca="1" si="21"/>
        <v>#N/A</v>
      </c>
      <c r="N176" s="7" t="e">
        <f t="shared" ca="1" si="21"/>
        <v>#N/A</v>
      </c>
      <c r="O176" s="7" t="e">
        <f t="shared" ca="1" si="21"/>
        <v>#N/A</v>
      </c>
      <c r="P176" s="7" t="e">
        <f t="shared" ca="1" si="21"/>
        <v>#N/A</v>
      </c>
      <c r="Q176" s="7" t="e">
        <f t="shared" ca="1" si="21"/>
        <v>#N/A</v>
      </c>
    </row>
    <row r="177" spans="7:17" ht="20.25" customHeight="1" x14ac:dyDescent="0.35">
      <c r="G177" s="7">
        <v>171</v>
      </c>
      <c r="H177" s="7">
        <f t="array" aca="1" ref="H177" ca="1">IF(INT(M$4/500*360)&gt;=$G177,H$5,NA())</f>
        <v>10</v>
      </c>
      <c r="I177" s="7">
        <f t="array" aca="1" ref="I177" ca="1">IF(INT(N$4/500*360)&gt;=$G177,I$5,NA())</f>
        <v>9.3000000000000007</v>
      </c>
      <c r="J177" s="7" t="e">
        <f t="array" aca="1" ref="J177" ca="1">IF(INT(O$4/500*360)&gt;=$G177,J$5,NA())</f>
        <v>#N/A</v>
      </c>
      <c r="K177" s="7" t="e">
        <f t="array" aca="1" ref="K177" ca="1">IF(INT(P$4/500*360)&gt;=$G177,K$5,NA())</f>
        <v>#N/A</v>
      </c>
      <c r="L177" s="7" t="e">
        <f t="array" aca="1" ref="L177" ca="1">IF(INT(Q$4/500*360)&gt;=$G177,L$5,NA())</f>
        <v>#N/A</v>
      </c>
      <c r="M177" s="7" t="e">
        <f t="shared" ref="M177:Q186" ca="1" si="22">IF(INT(M$4/500*360)=$G177,M$5,NA())</f>
        <v>#N/A</v>
      </c>
      <c r="N177" s="7" t="e">
        <f t="shared" ca="1" si="22"/>
        <v>#N/A</v>
      </c>
      <c r="O177" s="7" t="e">
        <f t="shared" ca="1" si="22"/>
        <v>#N/A</v>
      </c>
      <c r="P177" s="7" t="e">
        <f t="shared" ca="1" si="22"/>
        <v>#N/A</v>
      </c>
      <c r="Q177" s="7" t="e">
        <f t="shared" ca="1" si="22"/>
        <v>#N/A</v>
      </c>
    </row>
    <row r="178" spans="7:17" ht="20.25" customHeight="1" x14ac:dyDescent="0.35">
      <c r="G178" s="7">
        <v>172</v>
      </c>
      <c r="H178" s="7">
        <f t="array" aca="1" ref="H178" ca="1">IF(INT(M$4/500*360)&gt;=$G178,H$5,NA())</f>
        <v>10</v>
      </c>
      <c r="I178" s="7">
        <f t="array" aca="1" ref="I178" ca="1">IF(INT(N$4/500*360)&gt;=$G178,I$5,NA())</f>
        <v>9.3000000000000007</v>
      </c>
      <c r="J178" s="7" t="e">
        <f t="array" aca="1" ref="J178" ca="1">IF(INT(O$4/500*360)&gt;=$G178,J$5,NA())</f>
        <v>#N/A</v>
      </c>
      <c r="K178" s="7" t="e">
        <f t="array" aca="1" ref="K178" ca="1">IF(INT(P$4/500*360)&gt;=$G178,K$5,NA())</f>
        <v>#N/A</v>
      </c>
      <c r="L178" s="7" t="e">
        <f t="array" aca="1" ref="L178" ca="1">IF(INT(Q$4/500*360)&gt;=$G178,L$5,NA())</f>
        <v>#N/A</v>
      </c>
      <c r="M178" s="7" t="e">
        <f t="shared" ca="1" si="22"/>
        <v>#N/A</v>
      </c>
      <c r="N178" s="7" t="e">
        <f t="shared" ca="1" si="22"/>
        <v>#N/A</v>
      </c>
      <c r="O178" s="7" t="e">
        <f t="shared" ca="1" si="22"/>
        <v>#N/A</v>
      </c>
      <c r="P178" s="7" t="e">
        <f t="shared" ca="1" si="22"/>
        <v>#N/A</v>
      </c>
      <c r="Q178" s="7" t="e">
        <f t="shared" ca="1" si="22"/>
        <v>#N/A</v>
      </c>
    </row>
    <row r="179" spans="7:17" ht="20.25" customHeight="1" x14ac:dyDescent="0.35">
      <c r="G179" s="7">
        <v>173</v>
      </c>
      <c r="H179" s="7">
        <f t="array" aca="1" ref="H179" ca="1">IF(INT(M$4/500*360)&gt;=$G179,H$5,NA())</f>
        <v>10</v>
      </c>
      <c r="I179" s="7">
        <f t="array" aca="1" ref="I179" ca="1">IF(INT(N$4/500*360)&gt;=$G179,I$5,NA())</f>
        <v>9.3000000000000007</v>
      </c>
      <c r="J179" s="7" t="e">
        <f t="array" aca="1" ref="J179" ca="1">IF(INT(O$4/500*360)&gt;=$G179,J$5,NA())</f>
        <v>#N/A</v>
      </c>
      <c r="K179" s="7" t="e">
        <f t="array" aca="1" ref="K179" ca="1">IF(INT(P$4/500*360)&gt;=$G179,K$5,NA())</f>
        <v>#N/A</v>
      </c>
      <c r="L179" s="7" t="e">
        <f t="array" aca="1" ref="L179" ca="1">IF(INT(Q$4/500*360)&gt;=$G179,L$5,NA())</f>
        <v>#N/A</v>
      </c>
      <c r="M179" s="7" t="e">
        <f t="shared" ca="1" si="22"/>
        <v>#N/A</v>
      </c>
      <c r="N179" s="7" t="e">
        <f t="shared" ca="1" si="22"/>
        <v>#N/A</v>
      </c>
      <c r="O179" s="7" t="e">
        <f t="shared" ca="1" si="22"/>
        <v>#N/A</v>
      </c>
      <c r="P179" s="7" t="e">
        <f t="shared" ca="1" si="22"/>
        <v>#N/A</v>
      </c>
      <c r="Q179" s="7" t="e">
        <f t="shared" ca="1" si="22"/>
        <v>#N/A</v>
      </c>
    </row>
    <row r="180" spans="7:17" ht="20.25" customHeight="1" x14ac:dyDescent="0.35">
      <c r="G180" s="7">
        <v>174</v>
      </c>
      <c r="H180" s="7">
        <f t="array" aca="1" ref="H180" ca="1">IF(INT(M$4/500*360)&gt;=$G180,H$5,NA())</f>
        <v>10</v>
      </c>
      <c r="I180" s="7">
        <f t="array" aca="1" ref="I180" ca="1">IF(INT(N$4/500*360)&gt;=$G180,I$5,NA())</f>
        <v>9.3000000000000007</v>
      </c>
      <c r="J180" s="7" t="e">
        <f t="array" aca="1" ref="J180" ca="1">IF(INT(O$4/500*360)&gt;=$G180,J$5,NA())</f>
        <v>#N/A</v>
      </c>
      <c r="K180" s="7" t="e">
        <f t="array" aca="1" ref="K180" ca="1">IF(INT(P$4/500*360)&gt;=$G180,K$5,NA())</f>
        <v>#N/A</v>
      </c>
      <c r="L180" s="7" t="e">
        <f t="array" aca="1" ref="L180" ca="1">IF(INT(Q$4/500*360)&gt;=$G180,L$5,NA())</f>
        <v>#N/A</v>
      </c>
      <c r="M180" s="7" t="e">
        <f t="shared" ca="1" si="22"/>
        <v>#N/A</v>
      </c>
      <c r="N180" s="7" t="e">
        <f t="shared" ca="1" si="22"/>
        <v>#N/A</v>
      </c>
      <c r="O180" s="7" t="e">
        <f t="shared" ca="1" si="22"/>
        <v>#N/A</v>
      </c>
      <c r="P180" s="7" t="e">
        <f t="shared" ca="1" si="22"/>
        <v>#N/A</v>
      </c>
      <c r="Q180" s="7" t="e">
        <f t="shared" ca="1" si="22"/>
        <v>#N/A</v>
      </c>
    </row>
    <row r="181" spans="7:17" ht="20.25" customHeight="1" x14ac:dyDescent="0.35">
      <c r="G181" s="7">
        <v>175</v>
      </c>
      <c r="H181" s="7">
        <f t="array" aca="1" ref="H181" ca="1">IF(INT(M$4/500*360)&gt;=$G181,H$5,NA())</f>
        <v>10</v>
      </c>
      <c r="I181" s="7">
        <f t="array" aca="1" ref="I181" ca="1">IF(INT(N$4/500*360)&gt;=$G181,I$5,NA())</f>
        <v>9.3000000000000007</v>
      </c>
      <c r="J181" s="7" t="e">
        <f t="array" aca="1" ref="J181" ca="1">IF(INT(O$4/500*360)&gt;=$G181,J$5,NA())</f>
        <v>#N/A</v>
      </c>
      <c r="K181" s="7" t="e">
        <f t="array" aca="1" ref="K181" ca="1">IF(INT(P$4/500*360)&gt;=$G181,K$5,NA())</f>
        <v>#N/A</v>
      </c>
      <c r="L181" s="7" t="e">
        <f t="array" aca="1" ref="L181" ca="1">IF(INT(Q$4/500*360)&gt;=$G181,L$5,NA())</f>
        <v>#N/A</v>
      </c>
      <c r="M181" s="7" t="e">
        <f t="shared" ca="1" si="22"/>
        <v>#N/A</v>
      </c>
      <c r="N181" s="7" t="e">
        <f t="shared" ca="1" si="22"/>
        <v>#N/A</v>
      </c>
      <c r="O181" s="7" t="e">
        <f t="shared" ca="1" si="22"/>
        <v>#N/A</v>
      </c>
      <c r="P181" s="7" t="e">
        <f t="shared" ca="1" si="22"/>
        <v>#N/A</v>
      </c>
      <c r="Q181" s="7" t="e">
        <f t="shared" ca="1" si="22"/>
        <v>#N/A</v>
      </c>
    </row>
    <row r="182" spans="7:17" ht="20.25" customHeight="1" x14ac:dyDescent="0.35">
      <c r="G182" s="7">
        <v>176</v>
      </c>
      <c r="H182" s="7">
        <f t="array" aca="1" ref="H182" ca="1">IF(INT(M$4/500*360)&gt;=$G182,H$5,NA())</f>
        <v>10</v>
      </c>
      <c r="I182" s="7">
        <f t="array" aca="1" ref="I182" ca="1">IF(INT(N$4/500*360)&gt;=$G182,I$5,NA())</f>
        <v>9.3000000000000007</v>
      </c>
      <c r="J182" s="7" t="e">
        <f t="array" aca="1" ref="J182" ca="1">IF(INT(O$4/500*360)&gt;=$G182,J$5,NA())</f>
        <v>#N/A</v>
      </c>
      <c r="K182" s="7" t="e">
        <f t="array" aca="1" ref="K182" ca="1">IF(INT(P$4/500*360)&gt;=$G182,K$5,NA())</f>
        <v>#N/A</v>
      </c>
      <c r="L182" s="7" t="e">
        <f t="array" aca="1" ref="L182" ca="1">IF(INT(Q$4/500*360)&gt;=$G182,L$5,NA())</f>
        <v>#N/A</v>
      </c>
      <c r="M182" s="7" t="e">
        <f t="shared" ca="1" si="22"/>
        <v>#N/A</v>
      </c>
      <c r="N182" s="7" t="e">
        <f t="shared" ca="1" si="22"/>
        <v>#N/A</v>
      </c>
      <c r="O182" s="7" t="e">
        <f t="shared" ca="1" si="22"/>
        <v>#N/A</v>
      </c>
      <c r="P182" s="7" t="e">
        <f t="shared" ca="1" si="22"/>
        <v>#N/A</v>
      </c>
      <c r="Q182" s="7" t="e">
        <f t="shared" ca="1" si="22"/>
        <v>#N/A</v>
      </c>
    </row>
    <row r="183" spans="7:17" ht="20.25" customHeight="1" x14ac:dyDescent="0.35">
      <c r="G183" s="7">
        <v>177</v>
      </c>
      <c r="H183" s="7">
        <f t="array" aca="1" ref="H183" ca="1">IF(INT(M$4/500*360)&gt;=$G183,H$5,NA())</f>
        <v>10</v>
      </c>
      <c r="I183" s="7">
        <f t="array" aca="1" ref="I183" ca="1">IF(INT(N$4/500*360)&gt;=$G183,I$5,NA())</f>
        <v>9.3000000000000007</v>
      </c>
      <c r="J183" s="7" t="e">
        <f t="array" aca="1" ref="J183" ca="1">IF(INT(O$4/500*360)&gt;=$G183,J$5,NA())</f>
        <v>#N/A</v>
      </c>
      <c r="K183" s="7" t="e">
        <f t="array" aca="1" ref="K183" ca="1">IF(INT(P$4/500*360)&gt;=$G183,K$5,NA())</f>
        <v>#N/A</v>
      </c>
      <c r="L183" s="7" t="e">
        <f t="array" aca="1" ref="L183" ca="1">IF(INT(Q$4/500*360)&gt;=$G183,L$5,NA())</f>
        <v>#N/A</v>
      </c>
      <c r="M183" s="7" t="e">
        <f t="shared" ca="1" si="22"/>
        <v>#N/A</v>
      </c>
      <c r="N183" s="7" t="e">
        <f t="shared" ca="1" si="22"/>
        <v>#N/A</v>
      </c>
      <c r="O183" s="7" t="e">
        <f t="shared" ca="1" si="22"/>
        <v>#N/A</v>
      </c>
      <c r="P183" s="7" t="e">
        <f t="shared" ca="1" si="22"/>
        <v>#N/A</v>
      </c>
      <c r="Q183" s="7" t="e">
        <f t="shared" ca="1" si="22"/>
        <v>#N/A</v>
      </c>
    </row>
    <row r="184" spans="7:17" ht="20.25" customHeight="1" x14ac:dyDescent="0.35">
      <c r="G184" s="7">
        <v>178</v>
      </c>
      <c r="H184" s="7">
        <f t="array" aca="1" ref="H184" ca="1">IF(INT(M$4/500*360)&gt;=$G184,H$5,NA())</f>
        <v>10</v>
      </c>
      <c r="I184" s="7">
        <f t="array" aca="1" ref="I184" ca="1">IF(INT(N$4/500*360)&gt;=$G184,I$5,NA())</f>
        <v>9.3000000000000007</v>
      </c>
      <c r="J184" s="7" t="e">
        <f t="array" aca="1" ref="J184" ca="1">IF(INT(O$4/500*360)&gt;=$G184,J$5,NA())</f>
        <v>#N/A</v>
      </c>
      <c r="K184" s="7" t="e">
        <f t="array" aca="1" ref="K184" ca="1">IF(INT(P$4/500*360)&gt;=$G184,K$5,NA())</f>
        <v>#N/A</v>
      </c>
      <c r="L184" s="7" t="e">
        <f t="array" aca="1" ref="L184" ca="1">IF(INT(Q$4/500*360)&gt;=$G184,L$5,NA())</f>
        <v>#N/A</v>
      </c>
      <c r="M184" s="7" t="e">
        <f t="shared" ca="1" si="22"/>
        <v>#N/A</v>
      </c>
      <c r="N184" s="7" t="e">
        <f t="shared" ca="1" si="22"/>
        <v>#N/A</v>
      </c>
      <c r="O184" s="7" t="e">
        <f t="shared" ca="1" si="22"/>
        <v>#N/A</v>
      </c>
      <c r="P184" s="7" t="e">
        <f t="shared" ca="1" si="22"/>
        <v>#N/A</v>
      </c>
      <c r="Q184" s="7" t="e">
        <f t="shared" ca="1" si="22"/>
        <v>#N/A</v>
      </c>
    </row>
    <row r="185" spans="7:17" ht="20.25" customHeight="1" x14ac:dyDescent="0.35">
      <c r="G185" s="7">
        <v>179</v>
      </c>
      <c r="H185" s="7">
        <f t="array" aca="1" ref="H185" ca="1">IF(INT(M$4/500*360)&gt;=$G185,H$5,NA())</f>
        <v>10</v>
      </c>
      <c r="I185" s="7">
        <f t="array" aca="1" ref="I185" ca="1">IF(INT(N$4/500*360)&gt;=$G185,I$5,NA())</f>
        <v>9.3000000000000007</v>
      </c>
      <c r="J185" s="7" t="e">
        <f t="array" aca="1" ref="J185" ca="1">IF(INT(O$4/500*360)&gt;=$G185,J$5,NA())</f>
        <v>#N/A</v>
      </c>
      <c r="K185" s="7" t="e">
        <f t="array" aca="1" ref="K185" ca="1">IF(INT(P$4/500*360)&gt;=$G185,K$5,NA())</f>
        <v>#N/A</v>
      </c>
      <c r="L185" s="7" t="e">
        <f t="array" aca="1" ref="L185" ca="1">IF(INT(Q$4/500*360)&gt;=$G185,L$5,NA())</f>
        <v>#N/A</v>
      </c>
      <c r="M185" s="7" t="e">
        <f t="shared" ca="1" si="22"/>
        <v>#N/A</v>
      </c>
      <c r="N185" s="7" t="e">
        <f t="shared" ca="1" si="22"/>
        <v>#N/A</v>
      </c>
      <c r="O185" s="7" t="e">
        <f t="shared" ca="1" si="22"/>
        <v>#N/A</v>
      </c>
      <c r="P185" s="7" t="e">
        <f t="shared" ca="1" si="22"/>
        <v>#N/A</v>
      </c>
      <c r="Q185" s="7" t="e">
        <f t="shared" ca="1" si="22"/>
        <v>#N/A</v>
      </c>
    </row>
    <row r="186" spans="7:17" ht="20.25" customHeight="1" x14ac:dyDescent="0.35">
      <c r="G186" s="7">
        <v>180</v>
      </c>
      <c r="H186" s="7">
        <f t="array" aca="1" ref="H186" ca="1">IF(INT(M$4/500*360)&gt;=$G186,H$5,NA())</f>
        <v>10</v>
      </c>
      <c r="I186" s="7">
        <f t="array" aca="1" ref="I186" ca="1">IF(INT(N$4/500*360)&gt;=$G186,I$5,NA())</f>
        <v>9.3000000000000007</v>
      </c>
      <c r="J186" s="7" t="e">
        <f t="array" aca="1" ref="J186" ca="1">IF(INT(O$4/500*360)&gt;=$G186,J$5,NA())</f>
        <v>#N/A</v>
      </c>
      <c r="K186" s="7" t="e">
        <f t="array" aca="1" ref="K186" ca="1">IF(INT(P$4/500*360)&gt;=$G186,K$5,NA())</f>
        <v>#N/A</v>
      </c>
      <c r="L186" s="7" t="e">
        <f t="array" aca="1" ref="L186" ca="1">IF(INT(Q$4/500*360)&gt;=$G186,L$5,NA())</f>
        <v>#N/A</v>
      </c>
      <c r="M186" s="7" t="e">
        <f t="shared" ca="1" si="22"/>
        <v>#N/A</v>
      </c>
      <c r="N186" s="7" t="e">
        <f t="shared" ca="1" si="22"/>
        <v>#N/A</v>
      </c>
      <c r="O186" s="7" t="e">
        <f t="shared" ca="1" si="22"/>
        <v>#N/A</v>
      </c>
      <c r="P186" s="7" t="e">
        <f t="shared" ca="1" si="22"/>
        <v>#N/A</v>
      </c>
      <c r="Q186" s="7" t="e">
        <f t="shared" ca="1" si="22"/>
        <v>#N/A</v>
      </c>
    </row>
    <row r="187" spans="7:17" ht="20.25" customHeight="1" x14ac:dyDescent="0.35">
      <c r="G187" s="7">
        <v>181</v>
      </c>
      <c r="H187" s="7">
        <f t="array" aca="1" ref="H187" ca="1">IF(INT(M$4/500*360)&gt;=$G187,H$5,NA())</f>
        <v>10</v>
      </c>
      <c r="I187" s="7">
        <f t="array" aca="1" ref="I187" ca="1">IF(INT(N$4/500*360)&gt;=$G187,I$5,NA())</f>
        <v>9.3000000000000007</v>
      </c>
      <c r="J187" s="7" t="e">
        <f t="array" aca="1" ref="J187" ca="1">IF(INT(O$4/500*360)&gt;=$G187,J$5,NA())</f>
        <v>#N/A</v>
      </c>
      <c r="K187" s="7" t="e">
        <f t="array" aca="1" ref="K187" ca="1">IF(INT(P$4/500*360)&gt;=$G187,K$5,NA())</f>
        <v>#N/A</v>
      </c>
      <c r="L187" s="7" t="e">
        <f t="array" aca="1" ref="L187" ca="1">IF(INT(Q$4/500*360)&gt;=$G187,L$5,NA())</f>
        <v>#N/A</v>
      </c>
      <c r="M187" s="7" t="e">
        <f t="shared" ref="M187:Q196" ca="1" si="23">IF(INT(M$4/500*360)=$G187,M$5,NA())</f>
        <v>#N/A</v>
      </c>
      <c r="N187" s="7" t="e">
        <f t="shared" ca="1" si="23"/>
        <v>#N/A</v>
      </c>
      <c r="O187" s="7" t="e">
        <f t="shared" ca="1" si="23"/>
        <v>#N/A</v>
      </c>
      <c r="P187" s="7" t="e">
        <f t="shared" ca="1" si="23"/>
        <v>#N/A</v>
      </c>
      <c r="Q187" s="7" t="e">
        <f t="shared" ca="1" si="23"/>
        <v>#N/A</v>
      </c>
    </row>
    <row r="188" spans="7:17" ht="20.25" customHeight="1" x14ac:dyDescent="0.35">
      <c r="G188" s="7">
        <v>182</v>
      </c>
      <c r="H188" s="7">
        <f t="array" aca="1" ref="H188" ca="1">IF(INT(M$4/500*360)&gt;=$G188,H$5,NA())</f>
        <v>10</v>
      </c>
      <c r="I188" s="7">
        <f t="array" aca="1" ref="I188" ca="1">IF(INT(N$4/500*360)&gt;=$G188,I$5,NA())</f>
        <v>9.3000000000000007</v>
      </c>
      <c r="J188" s="7" t="e">
        <f t="array" aca="1" ref="J188" ca="1">IF(INT(O$4/500*360)&gt;=$G188,J$5,NA())</f>
        <v>#N/A</v>
      </c>
      <c r="K188" s="7" t="e">
        <f t="array" aca="1" ref="K188" ca="1">IF(INT(P$4/500*360)&gt;=$G188,K$5,NA())</f>
        <v>#N/A</v>
      </c>
      <c r="L188" s="7" t="e">
        <f t="array" aca="1" ref="L188" ca="1">IF(INT(Q$4/500*360)&gt;=$G188,L$5,NA())</f>
        <v>#N/A</v>
      </c>
      <c r="M188" s="7" t="e">
        <f t="shared" ca="1" si="23"/>
        <v>#N/A</v>
      </c>
      <c r="N188" s="7" t="e">
        <f t="shared" ca="1" si="23"/>
        <v>#N/A</v>
      </c>
      <c r="O188" s="7" t="e">
        <f t="shared" ca="1" si="23"/>
        <v>#N/A</v>
      </c>
      <c r="P188" s="7" t="e">
        <f t="shared" ca="1" si="23"/>
        <v>#N/A</v>
      </c>
      <c r="Q188" s="7" t="e">
        <f t="shared" ca="1" si="23"/>
        <v>#N/A</v>
      </c>
    </row>
    <row r="189" spans="7:17" ht="20.25" customHeight="1" x14ac:dyDescent="0.35">
      <c r="G189" s="7">
        <v>183</v>
      </c>
      <c r="H189" s="7">
        <f t="array" aca="1" ref="H189" ca="1">IF(INT(M$4/500*360)&gt;=$G189,H$5,NA())</f>
        <v>10</v>
      </c>
      <c r="I189" s="7">
        <f t="array" aca="1" ref="I189" ca="1">IF(INT(N$4/500*360)&gt;=$G189,I$5,NA())</f>
        <v>9.3000000000000007</v>
      </c>
      <c r="J189" s="7" t="e">
        <f t="array" aca="1" ref="J189" ca="1">IF(INT(O$4/500*360)&gt;=$G189,J$5,NA())</f>
        <v>#N/A</v>
      </c>
      <c r="K189" s="7" t="e">
        <f t="array" aca="1" ref="K189" ca="1">IF(INT(P$4/500*360)&gt;=$G189,K$5,NA())</f>
        <v>#N/A</v>
      </c>
      <c r="L189" s="7" t="e">
        <f t="array" aca="1" ref="L189" ca="1">IF(INT(Q$4/500*360)&gt;=$G189,L$5,NA())</f>
        <v>#N/A</v>
      </c>
      <c r="M189" s="7" t="e">
        <f t="shared" ca="1" si="23"/>
        <v>#N/A</v>
      </c>
      <c r="N189" s="7" t="e">
        <f t="shared" ca="1" si="23"/>
        <v>#N/A</v>
      </c>
      <c r="O189" s="7" t="e">
        <f t="shared" ca="1" si="23"/>
        <v>#N/A</v>
      </c>
      <c r="P189" s="7" t="e">
        <f t="shared" ca="1" si="23"/>
        <v>#N/A</v>
      </c>
      <c r="Q189" s="7" t="e">
        <f t="shared" ca="1" si="23"/>
        <v>#N/A</v>
      </c>
    </row>
    <row r="190" spans="7:17" ht="20.25" customHeight="1" x14ac:dyDescent="0.35">
      <c r="G190" s="7">
        <v>184</v>
      </c>
      <c r="H190" s="7">
        <f t="array" aca="1" ref="H190" ca="1">IF(INT(M$4/500*360)&gt;=$G190,H$5,NA())</f>
        <v>10</v>
      </c>
      <c r="I190" s="7">
        <f t="array" aca="1" ref="I190" ca="1">IF(INT(N$4/500*360)&gt;=$G190,I$5,NA())</f>
        <v>9.3000000000000007</v>
      </c>
      <c r="J190" s="7" t="e">
        <f t="array" aca="1" ref="J190" ca="1">IF(INT(O$4/500*360)&gt;=$G190,J$5,NA())</f>
        <v>#N/A</v>
      </c>
      <c r="K190" s="7" t="e">
        <f t="array" aca="1" ref="K190" ca="1">IF(INT(P$4/500*360)&gt;=$G190,K$5,NA())</f>
        <v>#N/A</v>
      </c>
      <c r="L190" s="7" t="e">
        <f t="array" aca="1" ref="L190" ca="1">IF(INT(Q$4/500*360)&gt;=$G190,L$5,NA())</f>
        <v>#N/A</v>
      </c>
      <c r="M190" s="7" t="e">
        <f t="shared" ca="1" si="23"/>
        <v>#N/A</v>
      </c>
      <c r="N190" s="7" t="e">
        <f t="shared" ca="1" si="23"/>
        <v>#N/A</v>
      </c>
      <c r="O190" s="7" t="e">
        <f t="shared" ca="1" si="23"/>
        <v>#N/A</v>
      </c>
      <c r="P190" s="7" t="e">
        <f t="shared" ca="1" si="23"/>
        <v>#N/A</v>
      </c>
      <c r="Q190" s="7" t="e">
        <f t="shared" ca="1" si="23"/>
        <v>#N/A</v>
      </c>
    </row>
    <row r="191" spans="7:17" ht="20.25" customHeight="1" x14ac:dyDescent="0.35">
      <c r="G191" s="7">
        <v>185</v>
      </c>
      <c r="H191" s="7">
        <f t="array" aca="1" ref="H191" ca="1">IF(INT(M$4/500*360)&gt;=$G191,H$5,NA())</f>
        <v>10</v>
      </c>
      <c r="I191" s="7">
        <f t="array" aca="1" ref="I191" ca="1">IF(INT(N$4/500*360)&gt;=$G191,I$5,NA())</f>
        <v>9.3000000000000007</v>
      </c>
      <c r="J191" s="7" t="e">
        <f t="array" aca="1" ref="J191" ca="1">IF(INT(O$4/500*360)&gt;=$G191,J$5,NA())</f>
        <v>#N/A</v>
      </c>
      <c r="K191" s="7" t="e">
        <f t="array" aca="1" ref="K191" ca="1">IF(INT(P$4/500*360)&gt;=$G191,K$5,NA())</f>
        <v>#N/A</v>
      </c>
      <c r="L191" s="7" t="e">
        <f t="array" aca="1" ref="L191" ca="1">IF(INT(Q$4/500*360)&gt;=$G191,L$5,NA())</f>
        <v>#N/A</v>
      </c>
      <c r="M191" s="7" t="e">
        <f t="shared" ca="1" si="23"/>
        <v>#N/A</v>
      </c>
      <c r="N191" s="7" t="e">
        <f t="shared" ca="1" si="23"/>
        <v>#N/A</v>
      </c>
      <c r="O191" s="7" t="e">
        <f t="shared" ca="1" si="23"/>
        <v>#N/A</v>
      </c>
      <c r="P191" s="7" t="e">
        <f t="shared" ca="1" si="23"/>
        <v>#N/A</v>
      </c>
      <c r="Q191" s="7" t="e">
        <f t="shared" ca="1" si="23"/>
        <v>#N/A</v>
      </c>
    </row>
    <row r="192" spans="7:17" ht="20.25" customHeight="1" x14ac:dyDescent="0.35">
      <c r="G192" s="7">
        <v>186</v>
      </c>
      <c r="H192" s="7">
        <f t="array" aca="1" ref="H192" ca="1">IF(INT(M$4/500*360)&gt;=$G192,H$5,NA())</f>
        <v>10</v>
      </c>
      <c r="I192" s="7">
        <f t="array" aca="1" ref="I192" ca="1">IF(INT(N$4/500*360)&gt;=$G192,I$5,NA())</f>
        <v>9.3000000000000007</v>
      </c>
      <c r="J192" s="7" t="e">
        <f t="array" aca="1" ref="J192" ca="1">IF(INT(O$4/500*360)&gt;=$G192,J$5,NA())</f>
        <v>#N/A</v>
      </c>
      <c r="K192" s="7" t="e">
        <f t="array" aca="1" ref="K192" ca="1">IF(INT(P$4/500*360)&gt;=$G192,K$5,NA())</f>
        <v>#N/A</v>
      </c>
      <c r="L192" s="7" t="e">
        <f t="array" aca="1" ref="L192" ca="1">IF(INT(Q$4/500*360)&gt;=$G192,L$5,NA())</f>
        <v>#N/A</v>
      </c>
      <c r="M192" s="7" t="e">
        <f t="shared" ca="1" si="23"/>
        <v>#N/A</v>
      </c>
      <c r="N192" s="7" t="e">
        <f t="shared" ca="1" si="23"/>
        <v>#N/A</v>
      </c>
      <c r="O192" s="7" t="e">
        <f t="shared" ca="1" si="23"/>
        <v>#N/A</v>
      </c>
      <c r="P192" s="7" t="e">
        <f t="shared" ca="1" si="23"/>
        <v>#N/A</v>
      </c>
      <c r="Q192" s="7" t="e">
        <f t="shared" ca="1" si="23"/>
        <v>#N/A</v>
      </c>
    </row>
    <row r="193" spans="7:17" ht="20.25" customHeight="1" x14ac:dyDescent="0.35">
      <c r="G193" s="7">
        <v>187</v>
      </c>
      <c r="H193" s="7">
        <f t="array" aca="1" ref="H193" ca="1">IF(INT(M$4/500*360)&gt;=$G193,H$5,NA())</f>
        <v>10</v>
      </c>
      <c r="I193" s="7">
        <f t="array" aca="1" ref="I193" ca="1">IF(INT(N$4/500*360)&gt;=$G193,I$5,NA())</f>
        <v>9.3000000000000007</v>
      </c>
      <c r="J193" s="7" t="e">
        <f t="array" aca="1" ref="J193" ca="1">IF(INT(O$4/500*360)&gt;=$G193,J$5,NA())</f>
        <v>#N/A</v>
      </c>
      <c r="K193" s="7" t="e">
        <f t="array" aca="1" ref="K193" ca="1">IF(INT(P$4/500*360)&gt;=$G193,K$5,NA())</f>
        <v>#N/A</v>
      </c>
      <c r="L193" s="7" t="e">
        <f t="array" aca="1" ref="L193" ca="1">IF(INT(Q$4/500*360)&gt;=$G193,L$5,NA())</f>
        <v>#N/A</v>
      </c>
      <c r="M193" s="7" t="e">
        <f t="shared" ca="1" si="23"/>
        <v>#N/A</v>
      </c>
      <c r="N193" s="7" t="e">
        <f t="shared" ca="1" si="23"/>
        <v>#N/A</v>
      </c>
      <c r="O193" s="7" t="e">
        <f t="shared" ca="1" si="23"/>
        <v>#N/A</v>
      </c>
      <c r="P193" s="7" t="e">
        <f t="shared" ca="1" si="23"/>
        <v>#N/A</v>
      </c>
      <c r="Q193" s="7" t="e">
        <f t="shared" ca="1" si="23"/>
        <v>#N/A</v>
      </c>
    </row>
    <row r="194" spans="7:17" ht="20.25" customHeight="1" x14ac:dyDescent="0.35">
      <c r="G194" s="7">
        <v>188</v>
      </c>
      <c r="H194" s="7">
        <f t="array" aca="1" ref="H194" ca="1">IF(INT(M$4/500*360)&gt;=$G194,H$5,NA())</f>
        <v>10</v>
      </c>
      <c r="I194" s="7">
        <f t="array" aca="1" ref="I194" ca="1">IF(INT(N$4/500*360)&gt;=$G194,I$5,NA())</f>
        <v>9.3000000000000007</v>
      </c>
      <c r="J194" s="7" t="e">
        <f t="array" aca="1" ref="J194" ca="1">IF(INT(O$4/500*360)&gt;=$G194,J$5,NA())</f>
        <v>#N/A</v>
      </c>
      <c r="K194" s="7" t="e">
        <f t="array" aca="1" ref="K194" ca="1">IF(INT(P$4/500*360)&gt;=$G194,K$5,NA())</f>
        <v>#N/A</v>
      </c>
      <c r="L194" s="7" t="e">
        <f t="array" aca="1" ref="L194" ca="1">IF(INT(Q$4/500*360)&gt;=$G194,L$5,NA())</f>
        <v>#N/A</v>
      </c>
      <c r="M194" s="7" t="e">
        <f t="shared" ca="1" si="23"/>
        <v>#N/A</v>
      </c>
      <c r="N194" s="7" t="e">
        <f t="shared" ca="1" si="23"/>
        <v>#N/A</v>
      </c>
      <c r="O194" s="7" t="e">
        <f t="shared" ca="1" si="23"/>
        <v>#N/A</v>
      </c>
      <c r="P194" s="7" t="e">
        <f t="shared" ca="1" si="23"/>
        <v>#N/A</v>
      </c>
      <c r="Q194" s="7" t="e">
        <f t="shared" ca="1" si="23"/>
        <v>#N/A</v>
      </c>
    </row>
    <row r="195" spans="7:17" ht="20.25" customHeight="1" x14ac:dyDescent="0.35">
      <c r="G195" s="7">
        <v>189</v>
      </c>
      <c r="H195" s="7">
        <f t="array" aca="1" ref="H195" ca="1">IF(INT(M$4/500*360)&gt;=$G195,H$5,NA())</f>
        <v>10</v>
      </c>
      <c r="I195" s="7">
        <f t="array" aca="1" ref="I195" ca="1">IF(INT(N$4/500*360)&gt;=$G195,I$5,NA())</f>
        <v>9.3000000000000007</v>
      </c>
      <c r="J195" s="7" t="e">
        <f t="array" aca="1" ref="J195" ca="1">IF(INT(O$4/500*360)&gt;=$G195,J$5,NA())</f>
        <v>#N/A</v>
      </c>
      <c r="K195" s="7" t="e">
        <f t="array" aca="1" ref="K195" ca="1">IF(INT(P$4/500*360)&gt;=$G195,K$5,NA())</f>
        <v>#N/A</v>
      </c>
      <c r="L195" s="7" t="e">
        <f t="array" aca="1" ref="L195" ca="1">IF(INT(Q$4/500*360)&gt;=$G195,L$5,NA())</f>
        <v>#N/A</v>
      </c>
      <c r="M195" s="7" t="e">
        <f t="shared" ca="1" si="23"/>
        <v>#N/A</v>
      </c>
      <c r="N195" s="7" t="e">
        <f t="shared" ca="1" si="23"/>
        <v>#N/A</v>
      </c>
      <c r="O195" s="7" t="e">
        <f t="shared" ca="1" si="23"/>
        <v>#N/A</v>
      </c>
      <c r="P195" s="7" t="e">
        <f t="shared" ca="1" si="23"/>
        <v>#N/A</v>
      </c>
      <c r="Q195" s="7" t="e">
        <f t="shared" ca="1" si="23"/>
        <v>#N/A</v>
      </c>
    </row>
    <row r="196" spans="7:17" ht="20.25" customHeight="1" x14ac:dyDescent="0.35">
      <c r="G196" s="7">
        <v>190</v>
      </c>
      <c r="H196" s="7">
        <f t="array" aca="1" ref="H196" ca="1">IF(INT(M$4/500*360)&gt;=$G196,H$5,NA())</f>
        <v>10</v>
      </c>
      <c r="I196" s="7">
        <f t="array" aca="1" ref="I196" ca="1">IF(INT(N$4/500*360)&gt;=$G196,I$5,NA())</f>
        <v>9.3000000000000007</v>
      </c>
      <c r="J196" s="7" t="e">
        <f t="array" aca="1" ref="J196" ca="1">IF(INT(O$4/500*360)&gt;=$G196,J$5,NA())</f>
        <v>#N/A</v>
      </c>
      <c r="K196" s="7" t="e">
        <f t="array" aca="1" ref="K196" ca="1">IF(INT(P$4/500*360)&gt;=$G196,K$5,NA())</f>
        <v>#N/A</v>
      </c>
      <c r="L196" s="7" t="e">
        <f t="array" aca="1" ref="L196" ca="1">IF(INT(Q$4/500*360)&gt;=$G196,L$5,NA())</f>
        <v>#N/A</v>
      </c>
      <c r="M196" s="7" t="e">
        <f t="shared" ca="1" si="23"/>
        <v>#N/A</v>
      </c>
      <c r="N196" s="7" t="e">
        <f t="shared" ca="1" si="23"/>
        <v>#N/A</v>
      </c>
      <c r="O196" s="7" t="e">
        <f t="shared" ca="1" si="23"/>
        <v>#N/A</v>
      </c>
      <c r="P196" s="7" t="e">
        <f t="shared" ca="1" si="23"/>
        <v>#N/A</v>
      </c>
      <c r="Q196" s="7" t="e">
        <f t="shared" ca="1" si="23"/>
        <v>#N/A</v>
      </c>
    </row>
    <row r="197" spans="7:17" ht="20.25" customHeight="1" x14ac:dyDescent="0.35">
      <c r="G197" s="7">
        <v>191</v>
      </c>
      <c r="H197" s="7">
        <f t="array" aca="1" ref="H197" ca="1">IF(INT(M$4/500*360)&gt;=$G197,H$5,NA())</f>
        <v>10</v>
      </c>
      <c r="I197" s="7">
        <f t="array" aca="1" ref="I197" ca="1">IF(INT(N$4/500*360)&gt;=$G197,I$5,NA())</f>
        <v>9.3000000000000007</v>
      </c>
      <c r="J197" s="7" t="e">
        <f t="array" aca="1" ref="J197" ca="1">IF(INT(O$4/500*360)&gt;=$G197,J$5,NA())</f>
        <v>#N/A</v>
      </c>
      <c r="K197" s="7" t="e">
        <f t="array" aca="1" ref="K197" ca="1">IF(INT(P$4/500*360)&gt;=$G197,K$5,NA())</f>
        <v>#N/A</v>
      </c>
      <c r="L197" s="7" t="e">
        <f t="array" aca="1" ref="L197" ca="1">IF(INT(Q$4/500*360)&gt;=$G197,L$5,NA())</f>
        <v>#N/A</v>
      </c>
      <c r="M197" s="7" t="e">
        <f t="shared" ref="M197:Q206" ca="1" si="24">IF(INT(M$4/500*360)=$G197,M$5,NA())</f>
        <v>#N/A</v>
      </c>
      <c r="N197" s="7" t="e">
        <f t="shared" ca="1" si="24"/>
        <v>#N/A</v>
      </c>
      <c r="O197" s="7" t="e">
        <f t="shared" ca="1" si="24"/>
        <v>#N/A</v>
      </c>
      <c r="P197" s="7" t="e">
        <f t="shared" ca="1" si="24"/>
        <v>#N/A</v>
      </c>
      <c r="Q197" s="7" t="e">
        <f t="shared" ca="1" si="24"/>
        <v>#N/A</v>
      </c>
    </row>
    <row r="198" spans="7:17" ht="20.25" customHeight="1" x14ac:dyDescent="0.35">
      <c r="G198" s="7">
        <v>192</v>
      </c>
      <c r="H198" s="7">
        <f t="array" aca="1" ref="H198" ca="1">IF(INT(M$4/500*360)&gt;=$G198,H$5,NA())</f>
        <v>10</v>
      </c>
      <c r="I198" s="7">
        <f t="array" aca="1" ref="I198" ca="1">IF(INT(N$4/500*360)&gt;=$G198,I$5,NA())</f>
        <v>9.3000000000000007</v>
      </c>
      <c r="J198" s="7" t="e">
        <f t="array" aca="1" ref="J198" ca="1">IF(INT(O$4/500*360)&gt;=$G198,J$5,NA())</f>
        <v>#N/A</v>
      </c>
      <c r="K198" s="7" t="e">
        <f t="array" aca="1" ref="K198" ca="1">IF(INT(P$4/500*360)&gt;=$G198,K$5,NA())</f>
        <v>#N/A</v>
      </c>
      <c r="L198" s="7" t="e">
        <f t="array" aca="1" ref="L198" ca="1">IF(INT(Q$4/500*360)&gt;=$G198,L$5,NA())</f>
        <v>#N/A</v>
      </c>
      <c r="M198" s="7" t="e">
        <f t="shared" ca="1" si="24"/>
        <v>#N/A</v>
      </c>
      <c r="N198" s="7" t="e">
        <f t="shared" ca="1" si="24"/>
        <v>#N/A</v>
      </c>
      <c r="O198" s="7" t="e">
        <f t="shared" ca="1" si="24"/>
        <v>#N/A</v>
      </c>
      <c r="P198" s="7" t="e">
        <f t="shared" ca="1" si="24"/>
        <v>#N/A</v>
      </c>
      <c r="Q198" s="7" t="e">
        <f t="shared" ca="1" si="24"/>
        <v>#N/A</v>
      </c>
    </row>
    <row r="199" spans="7:17" ht="20.25" customHeight="1" x14ac:dyDescent="0.35">
      <c r="G199" s="7">
        <v>193</v>
      </c>
      <c r="H199" s="7">
        <f t="array" aca="1" ref="H199" ca="1">IF(INT(M$4/500*360)&gt;=$G199,H$5,NA())</f>
        <v>10</v>
      </c>
      <c r="I199" s="7">
        <f t="array" aca="1" ref="I199" ca="1">IF(INT(N$4/500*360)&gt;=$G199,I$5,NA())</f>
        <v>9.3000000000000007</v>
      </c>
      <c r="J199" s="7" t="e">
        <f t="array" aca="1" ref="J199" ca="1">IF(INT(O$4/500*360)&gt;=$G199,J$5,NA())</f>
        <v>#N/A</v>
      </c>
      <c r="K199" s="7" t="e">
        <f t="array" aca="1" ref="K199" ca="1">IF(INT(P$4/500*360)&gt;=$G199,K$5,NA())</f>
        <v>#N/A</v>
      </c>
      <c r="L199" s="7" t="e">
        <f t="array" aca="1" ref="L199" ca="1">IF(INT(Q$4/500*360)&gt;=$G199,L$5,NA())</f>
        <v>#N/A</v>
      </c>
      <c r="M199" s="7" t="e">
        <f t="shared" ca="1" si="24"/>
        <v>#N/A</v>
      </c>
      <c r="N199" s="7" t="e">
        <f t="shared" ca="1" si="24"/>
        <v>#N/A</v>
      </c>
      <c r="O199" s="7" t="e">
        <f t="shared" ca="1" si="24"/>
        <v>#N/A</v>
      </c>
      <c r="P199" s="7" t="e">
        <f t="shared" ca="1" si="24"/>
        <v>#N/A</v>
      </c>
      <c r="Q199" s="7" t="e">
        <f t="shared" ca="1" si="24"/>
        <v>#N/A</v>
      </c>
    </row>
    <row r="200" spans="7:17" ht="20.25" customHeight="1" x14ac:dyDescent="0.35">
      <c r="G200" s="7">
        <v>194</v>
      </c>
      <c r="H200" s="7">
        <f t="array" aca="1" ref="H200" ca="1">IF(INT(M$4/500*360)&gt;=$G200,H$5,NA())</f>
        <v>10</v>
      </c>
      <c r="I200" s="7">
        <f t="array" aca="1" ref="I200" ca="1">IF(INT(N$4/500*360)&gt;=$G200,I$5,NA())</f>
        <v>9.3000000000000007</v>
      </c>
      <c r="J200" s="7" t="e">
        <f t="array" aca="1" ref="J200" ca="1">IF(INT(O$4/500*360)&gt;=$G200,J$5,NA())</f>
        <v>#N/A</v>
      </c>
      <c r="K200" s="7" t="e">
        <f t="array" aca="1" ref="K200" ca="1">IF(INT(P$4/500*360)&gt;=$G200,K$5,NA())</f>
        <v>#N/A</v>
      </c>
      <c r="L200" s="7" t="e">
        <f t="array" aca="1" ref="L200" ca="1">IF(INT(Q$4/500*360)&gt;=$G200,L$5,NA())</f>
        <v>#N/A</v>
      </c>
      <c r="M200" s="7" t="e">
        <f t="shared" ca="1" si="24"/>
        <v>#N/A</v>
      </c>
      <c r="N200" s="7" t="e">
        <f t="shared" ca="1" si="24"/>
        <v>#N/A</v>
      </c>
      <c r="O200" s="7" t="e">
        <f t="shared" ca="1" si="24"/>
        <v>#N/A</v>
      </c>
      <c r="P200" s="7" t="e">
        <f t="shared" ca="1" si="24"/>
        <v>#N/A</v>
      </c>
      <c r="Q200" s="7" t="e">
        <f t="shared" ca="1" si="24"/>
        <v>#N/A</v>
      </c>
    </row>
    <row r="201" spans="7:17" ht="20.25" customHeight="1" x14ac:dyDescent="0.35">
      <c r="G201" s="7">
        <v>195</v>
      </c>
      <c r="H201" s="7">
        <f t="array" aca="1" ref="H201" ca="1">IF(INT(M$4/500*360)&gt;=$G201,H$5,NA())</f>
        <v>10</v>
      </c>
      <c r="I201" s="7">
        <f t="array" aca="1" ref="I201" ca="1">IF(INT(N$4/500*360)&gt;=$G201,I$5,NA())</f>
        <v>9.3000000000000007</v>
      </c>
      <c r="J201" s="7" t="e">
        <f t="array" aca="1" ref="J201" ca="1">IF(INT(O$4/500*360)&gt;=$G201,J$5,NA())</f>
        <v>#N/A</v>
      </c>
      <c r="K201" s="7" t="e">
        <f t="array" aca="1" ref="K201" ca="1">IF(INT(P$4/500*360)&gt;=$G201,K$5,NA())</f>
        <v>#N/A</v>
      </c>
      <c r="L201" s="7" t="e">
        <f t="array" aca="1" ref="L201" ca="1">IF(INT(Q$4/500*360)&gt;=$G201,L$5,NA())</f>
        <v>#N/A</v>
      </c>
      <c r="M201" s="7" t="e">
        <f t="shared" ca="1" si="24"/>
        <v>#N/A</v>
      </c>
      <c r="N201" s="7" t="e">
        <f t="shared" ca="1" si="24"/>
        <v>#N/A</v>
      </c>
      <c r="O201" s="7" t="e">
        <f t="shared" ca="1" si="24"/>
        <v>#N/A</v>
      </c>
      <c r="P201" s="7" t="e">
        <f t="shared" ca="1" si="24"/>
        <v>#N/A</v>
      </c>
      <c r="Q201" s="7" t="e">
        <f t="shared" ca="1" si="24"/>
        <v>#N/A</v>
      </c>
    </row>
    <row r="202" spans="7:17" ht="20.25" customHeight="1" x14ac:dyDescent="0.35">
      <c r="G202" s="7">
        <v>196</v>
      </c>
      <c r="H202" s="7">
        <f t="array" aca="1" ref="H202" ca="1">IF(INT(M$4/500*360)&gt;=$G202,H$5,NA())</f>
        <v>10</v>
      </c>
      <c r="I202" s="7">
        <f t="array" aca="1" ref="I202" ca="1">IF(INT(N$4/500*360)&gt;=$G202,I$5,NA())</f>
        <v>9.3000000000000007</v>
      </c>
      <c r="J202" s="7" t="e">
        <f t="array" aca="1" ref="J202" ca="1">IF(INT(O$4/500*360)&gt;=$G202,J$5,NA())</f>
        <v>#N/A</v>
      </c>
      <c r="K202" s="7" t="e">
        <f t="array" aca="1" ref="K202" ca="1">IF(INT(P$4/500*360)&gt;=$G202,K$5,NA())</f>
        <v>#N/A</v>
      </c>
      <c r="L202" s="7" t="e">
        <f t="array" aca="1" ref="L202" ca="1">IF(INT(Q$4/500*360)&gt;=$G202,L$5,NA())</f>
        <v>#N/A</v>
      </c>
      <c r="M202" s="7" t="e">
        <f t="shared" ca="1" si="24"/>
        <v>#N/A</v>
      </c>
      <c r="N202" s="7" t="e">
        <f t="shared" ca="1" si="24"/>
        <v>#N/A</v>
      </c>
      <c r="O202" s="7" t="e">
        <f t="shared" ca="1" si="24"/>
        <v>#N/A</v>
      </c>
      <c r="P202" s="7" t="e">
        <f t="shared" ca="1" si="24"/>
        <v>#N/A</v>
      </c>
      <c r="Q202" s="7" t="e">
        <f t="shared" ca="1" si="24"/>
        <v>#N/A</v>
      </c>
    </row>
    <row r="203" spans="7:17" ht="20.25" customHeight="1" x14ac:dyDescent="0.35">
      <c r="G203" s="7">
        <v>197</v>
      </c>
      <c r="H203" s="7">
        <f t="array" aca="1" ref="H203" ca="1">IF(INT(M$4/500*360)&gt;=$G203,H$5,NA())</f>
        <v>10</v>
      </c>
      <c r="I203" s="7">
        <f t="array" aca="1" ref="I203" ca="1">IF(INT(N$4/500*360)&gt;=$G203,I$5,NA())</f>
        <v>9.3000000000000007</v>
      </c>
      <c r="J203" s="7" t="e">
        <f t="array" aca="1" ref="J203" ca="1">IF(INT(O$4/500*360)&gt;=$G203,J$5,NA())</f>
        <v>#N/A</v>
      </c>
      <c r="K203" s="7" t="e">
        <f t="array" aca="1" ref="K203" ca="1">IF(INT(P$4/500*360)&gt;=$G203,K$5,NA())</f>
        <v>#N/A</v>
      </c>
      <c r="L203" s="7" t="e">
        <f t="array" aca="1" ref="L203" ca="1">IF(INT(Q$4/500*360)&gt;=$G203,L$5,NA())</f>
        <v>#N/A</v>
      </c>
      <c r="M203" s="7" t="e">
        <f t="shared" ca="1" si="24"/>
        <v>#N/A</v>
      </c>
      <c r="N203" s="7" t="e">
        <f t="shared" ca="1" si="24"/>
        <v>#N/A</v>
      </c>
      <c r="O203" s="7" t="e">
        <f t="shared" ca="1" si="24"/>
        <v>#N/A</v>
      </c>
      <c r="P203" s="7" t="e">
        <f t="shared" ca="1" si="24"/>
        <v>#N/A</v>
      </c>
      <c r="Q203" s="7" t="e">
        <f t="shared" ca="1" si="24"/>
        <v>#N/A</v>
      </c>
    </row>
    <row r="204" spans="7:17" ht="20.25" customHeight="1" x14ac:dyDescent="0.35">
      <c r="G204" s="7">
        <v>198</v>
      </c>
      <c r="H204" s="7">
        <f t="array" aca="1" ref="H204" ca="1">IF(INT(M$4/500*360)&gt;=$G204,H$5,NA())</f>
        <v>10</v>
      </c>
      <c r="I204" s="7">
        <f t="array" aca="1" ref="I204" ca="1">IF(INT(N$4/500*360)&gt;=$G204,I$5,NA())</f>
        <v>9.3000000000000007</v>
      </c>
      <c r="J204" s="7" t="e">
        <f t="array" aca="1" ref="J204" ca="1">IF(INT(O$4/500*360)&gt;=$G204,J$5,NA())</f>
        <v>#N/A</v>
      </c>
      <c r="K204" s="7" t="e">
        <f t="array" aca="1" ref="K204" ca="1">IF(INT(P$4/500*360)&gt;=$G204,K$5,NA())</f>
        <v>#N/A</v>
      </c>
      <c r="L204" s="7" t="e">
        <f t="array" aca="1" ref="L204" ca="1">IF(INT(Q$4/500*360)&gt;=$G204,L$5,NA())</f>
        <v>#N/A</v>
      </c>
      <c r="M204" s="7" t="e">
        <f t="shared" ca="1" si="24"/>
        <v>#N/A</v>
      </c>
      <c r="N204" s="7" t="e">
        <f t="shared" ca="1" si="24"/>
        <v>#N/A</v>
      </c>
      <c r="O204" s="7" t="e">
        <f t="shared" ca="1" si="24"/>
        <v>#N/A</v>
      </c>
      <c r="P204" s="7" t="e">
        <f t="shared" ca="1" si="24"/>
        <v>#N/A</v>
      </c>
      <c r="Q204" s="7" t="e">
        <f t="shared" ca="1" si="24"/>
        <v>#N/A</v>
      </c>
    </row>
    <row r="205" spans="7:17" ht="20.25" customHeight="1" x14ac:dyDescent="0.35">
      <c r="G205" s="7">
        <v>199</v>
      </c>
      <c r="H205" s="7">
        <f t="array" aca="1" ref="H205" ca="1">IF(INT(M$4/500*360)&gt;=$G205,H$5,NA())</f>
        <v>10</v>
      </c>
      <c r="I205" s="7">
        <f t="array" aca="1" ref="I205" ca="1">IF(INT(N$4/500*360)&gt;=$G205,I$5,NA())</f>
        <v>9.3000000000000007</v>
      </c>
      <c r="J205" s="7" t="e">
        <f t="array" aca="1" ref="J205" ca="1">IF(INT(O$4/500*360)&gt;=$G205,J$5,NA())</f>
        <v>#N/A</v>
      </c>
      <c r="K205" s="7" t="e">
        <f t="array" aca="1" ref="K205" ca="1">IF(INT(P$4/500*360)&gt;=$G205,K$5,NA())</f>
        <v>#N/A</v>
      </c>
      <c r="L205" s="7" t="e">
        <f t="array" aca="1" ref="L205" ca="1">IF(INT(Q$4/500*360)&gt;=$G205,L$5,NA())</f>
        <v>#N/A</v>
      </c>
      <c r="M205" s="7" t="e">
        <f t="shared" ca="1" si="24"/>
        <v>#N/A</v>
      </c>
      <c r="N205" s="7" t="e">
        <f t="shared" ca="1" si="24"/>
        <v>#N/A</v>
      </c>
      <c r="O205" s="7" t="e">
        <f t="shared" ca="1" si="24"/>
        <v>#N/A</v>
      </c>
      <c r="P205" s="7" t="e">
        <f t="shared" ca="1" si="24"/>
        <v>#N/A</v>
      </c>
      <c r="Q205" s="7" t="e">
        <f t="shared" ca="1" si="24"/>
        <v>#N/A</v>
      </c>
    </row>
    <row r="206" spans="7:17" ht="20.25" customHeight="1" x14ac:dyDescent="0.35">
      <c r="G206" s="7">
        <v>200</v>
      </c>
      <c r="H206" s="7">
        <f t="array" aca="1" ref="H206" ca="1">IF(INT(M$4/500*360)&gt;=$G206,H$5,NA())</f>
        <v>10</v>
      </c>
      <c r="I206" s="7">
        <f t="array" aca="1" ref="I206" ca="1">IF(INT(N$4/500*360)&gt;=$G206,I$5,NA())</f>
        <v>9.3000000000000007</v>
      </c>
      <c r="J206" s="7" t="e">
        <f t="array" aca="1" ref="J206" ca="1">IF(INT(O$4/500*360)&gt;=$G206,J$5,NA())</f>
        <v>#N/A</v>
      </c>
      <c r="K206" s="7" t="e">
        <f t="array" aca="1" ref="K206" ca="1">IF(INT(P$4/500*360)&gt;=$G206,K$5,NA())</f>
        <v>#N/A</v>
      </c>
      <c r="L206" s="7" t="e">
        <f t="array" aca="1" ref="L206" ca="1">IF(INT(Q$4/500*360)&gt;=$G206,L$5,NA())</f>
        <v>#N/A</v>
      </c>
      <c r="M206" s="7" t="e">
        <f t="shared" ca="1" si="24"/>
        <v>#N/A</v>
      </c>
      <c r="N206" s="7" t="e">
        <f t="shared" ca="1" si="24"/>
        <v>#N/A</v>
      </c>
      <c r="O206" s="7" t="e">
        <f t="shared" ca="1" si="24"/>
        <v>#N/A</v>
      </c>
      <c r="P206" s="7" t="e">
        <f t="shared" ca="1" si="24"/>
        <v>#N/A</v>
      </c>
      <c r="Q206" s="7" t="e">
        <f t="shared" ca="1" si="24"/>
        <v>#N/A</v>
      </c>
    </row>
    <row r="207" spans="7:17" ht="20.25" customHeight="1" x14ac:dyDescent="0.35">
      <c r="G207" s="7">
        <v>201</v>
      </c>
      <c r="H207" s="7">
        <f t="array" aca="1" ref="H207" ca="1">IF(INT(M$4/500*360)&gt;=$G207,H$5,NA())</f>
        <v>10</v>
      </c>
      <c r="I207" s="7">
        <f t="array" aca="1" ref="I207" ca="1">IF(INT(N$4/500*360)&gt;=$G207,I$5,NA())</f>
        <v>9.3000000000000007</v>
      </c>
      <c r="J207" s="7" t="e">
        <f t="array" aca="1" ref="J207" ca="1">IF(INT(O$4/500*360)&gt;=$G207,J$5,NA())</f>
        <v>#N/A</v>
      </c>
      <c r="K207" s="7" t="e">
        <f t="array" aca="1" ref="K207" ca="1">IF(INT(P$4/500*360)&gt;=$G207,K$5,NA())</f>
        <v>#N/A</v>
      </c>
      <c r="L207" s="7" t="e">
        <f t="array" aca="1" ref="L207" ca="1">IF(INT(Q$4/500*360)&gt;=$G207,L$5,NA())</f>
        <v>#N/A</v>
      </c>
      <c r="M207" s="7" t="e">
        <f t="shared" ref="M207:Q216" ca="1" si="25">IF(INT(M$4/500*360)=$G207,M$5,NA())</f>
        <v>#N/A</v>
      </c>
      <c r="N207" s="7" t="e">
        <f t="shared" ca="1" si="25"/>
        <v>#N/A</v>
      </c>
      <c r="O207" s="7" t="e">
        <f t="shared" ca="1" si="25"/>
        <v>#N/A</v>
      </c>
      <c r="P207" s="7" t="e">
        <f t="shared" ca="1" si="25"/>
        <v>#N/A</v>
      </c>
      <c r="Q207" s="7" t="e">
        <f t="shared" ca="1" si="25"/>
        <v>#N/A</v>
      </c>
    </row>
    <row r="208" spans="7:17" ht="20.25" customHeight="1" x14ac:dyDescent="0.35">
      <c r="G208" s="7">
        <v>202</v>
      </c>
      <c r="H208" s="7">
        <f t="array" aca="1" ref="H208" ca="1">IF(INT(M$4/500*360)&gt;=$G208,H$5,NA())</f>
        <v>10</v>
      </c>
      <c r="I208" s="7">
        <f t="array" aca="1" ref="I208" ca="1">IF(INT(N$4/500*360)&gt;=$G208,I$5,NA())</f>
        <v>9.3000000000000007</v>
      </c>
      <c r="J208" s="7" t="e">
        <f t="array" aca="1" ref="J208" ca="1">IF(INT(O$4/500*360)&gt;=$G208,J$5,NA())</f>
        <v>#N/A</v>
      </c>
      <c r="K208" s="7" t="e">
        <f t="array" aca="1" ref="K208" ca="1">IF(INT(P$4/500*360)&gt;=$G208,K$5,NA())</f>
        <v>#N/A</v>
      </c>
      <c r="L208" s="7" t="e">
        <f t="array" aca="1" ref="L208" ca="1">IF(INT(Q$4/500*360)&gt;=$G208,L$5,NA())</f>
        <v>#N/A</v>
      </c>
      <c r="M208" s="7" t="e">
        <f t="shared" ca="1" si="25"/>
        <v>#N/A</v>
      </c>
      <c r="N208" s="7" t="e">
        <f t="shared" ca="1" si="25"/>
        <v>#N/A</v>
      </c>
      <c r="O208" s="7" t="e">
        <f t="shared" ca="1" si="25"/>
        <v>#N/A</v>
      </c>
      <c r="P208" s="7" t="e">
        <f t="shared" ca="1" si="25"/>
        <v>#N/A</v>
      </c>
      <c r="Q208" s="7" t="e">
        <f t="shared" ca="1" si="25"/>
        <v>#N/A</v>
      </c>
    </row>
    <row r="209" spans="7:17" ht="20.25" customHeight="1" x14ac:dyDescent="0.35">
      <c r="G209" s="7">
        <v>203</v>
      </c>
      <c r="H209" s="7">
        <f t="array" aca="1" ref="H209" ca="1">IF(INT(M$4/500*360)&gt;=$G209,H$5,NA())</f>
        <v>10</v>
      </c>
      <c r="I209" s="7">
        <f t="array" aca="1" ref="I209" ca="1">IF(INT(N$4/500*360)&gt;=$G209,I$5,NA())</f>
        <v>9.3000000000000007</v>
      </c>
      <c r="J209" s="7" t="e">
        <f t="array" aca="1" ref="J209" ca="1">IF(INT(O$4/500*360)&gt;=$G209,J$5,NA())</f>
        <v>#N/A</v>
      </c>
      <c r="K209" s="7" t="e">
        <f t="array" aca="1" ref="K209" ca="1">IF(INT(P$4/500*360)&gt;=$G209,K$5,NA())</f>
        <v>#N/A</v>
      </c>
      <c r="L209" s="7" t="e">
        <f t="array" aca="1" ref="L209" ca="1">IF(INT(Q$4/500*360)&gt;=$G209,L$5,NA())</f>
        <v>#N/A</v>
      </c>
      <c r="M209" s="7" t="e">
        <f t="shared" ca="1" si="25"/>
        <v>#N/A</v>
      </c>
      <c r="N209" s="7" t="e">
        <f t="shared" ca="1" si="25"/>
        <v>#N/A</v>
      </c>
      <c r="O209" s="7" t="e">
        <f t="shared" ca="1" si="25"/>
        <v>#N/A</v>
      </c>
      <c r="P209" s="7" t="e">
        <f t="shared" ca="1" si="25"/>
        <v>#N/A</v>
      </c>
      <c r="Q209" s="7" t="e">
        <f t="shared" ca="1" si="25"/>
        <v>#N/A</v>
      </c>
    </row>
    <row r="210" spans="7:17" ht="20.25" customHeight="1" x14ac:dyDescent="0.35">
      <c r="G210" s="7">
        <v>204</v>
      </c>
      <c r="H210" s="7">
        <f t="array" aca="1" ref="H210" ca="1">IF(INT(M$4/500*360)&gt;=$G210,H$5,NA())</f>
        <v>10</v>
      </c>
      <c r="I210" s="7">
        <f t="array" aca="1" ref="I210" ca="1">IF(INT(N$4/500*360)&gt;=$G210,I$5,NA())</f>
        <v>9.3000000000000007</v>
      </c>
      <c r="J210" s="7" t="e">
        <f t="array" aca="1" ref="J210" ca="1">IF(INT(O$4/500*360)&gt;=$G210,J$5,NA())</f>
        <v>#N/A</v>
      </c>
      <c r="K210" s="7" t="e">
        <f t="array" aca="1" ref="K210" ca="1">IF(INT(P$4/500*360)&gt;=$G210,K$5,NA())</f>
        <v>#N/A</v>
      </c>
      <c r="L210" s="7" t="e">
        <f t="array" aca="1" ref="L210" ca="1">IF(INT(Q$4/500*360)&gt;=$G210,L$5,NA())</f>
        <v>#N/A</v>
      </c>
      <c r="M210" s="7" t="e">
        <f t="shared" ca="1" si="25"/>
        <v>#N/A</v>
      </c>
      <c r="N210" s="7" t="e">
        <f t="shared" ca="1" si="25"/>
        <v>#N/A</v>
      </c>
      <c r="O210" s="7" t="e">
        <f t="shared" ca="1" si="25"/>
        <v>#N/A</v>
      </c>
      <c r="P210" s="7" t="e">
        <f t="shared" ca="1" si="25"/>
        <v>#N/A</v>
      </c>
      <c r="Q210" s="7" t="e">
        <f t="shared" ca="1" si="25"/>
        <v>#N/A</v>
      </c>
    </row>
    <row r="211" spans="7:17" ht="20.25" customHeight="1" x14ac:dyDescent="0.35">
      <c r="G211" s="7">
        <v>205</v>
      </c>
      <c r="H211" s="7">
        <f t="array" aca="1" ref="H211" ca="1">IF(INT(M$4/500*360)&gt;=$G211,H$5,NA())</f>
        <v>10</v>
      </c>
      <c r="I211" s="7">
        <f t="array" aca="1" ref="I211" ca="1">IF(INT(N$4/500*360)&gt;=$G211,I$5,NA())</f>
        <v>9.3000000000000007</v>
      </c>
      <c r="J211" s="7" t="e">
        <f t="array" aca="1" ref="J211" ca="1">IF(INT(O$4/500*360)&gt;=$G211,J$5,NA())</f>
        <v>#N/A</v>
      </c>
      <c r="K211" s="7" t="e">
        <f t="array" aca="1" ref="K211" ca="1">IF(INT(P$4/500*360)&gt;=$G211,K$5,NA())</f>
        <v>#N/A</v>
      </c>
      <c r="L211" s="7" t="e">
        <f t="array" aca="1" ref="L211" ca="1">IF(INT(Q$4/500*360)&gt;=$G211,L$5,NA())</f>
        <v>#N/A</v>
      </c>
      <c r="M211" s="7" t="e">
        <f t="shared" ca="1" si="25"/>
        <v>#N/A</v>
      </c>
      <c r="N211" s="7" t="e">
        <f t="shared" ca="1" si="25"/>
        <v>#N/A</v>
      </c>
      <c r="O211" s="7" t="e">
        <f t="shared" ca="1" si="25"/>
        <v>#N/A</v>
      </c>
      <c r="P211" s="7" t="e">
        <f t="shared" ca="1" si="25"/>
        <v>#N/A</v>
      </c>
      <c r="Q211" s="7" t="e">
        <f t="shared" ca="1" si="25"/>
        <v>#N/A</v>
      </c>
    </row>
    <row r="212" spans="7:17" ht="20.25" customHeight="1" x14ac:dyDescent="0.35">
      <c r="G212" s="7">
        <v>206</v>
      </c>
      <c r="H212" s="7">
        <f t="array" aca="1" ref="H212" ca="1">IF(INT(M$4/500*360)&gt;=$G212,H$5,NA())</f>
        <v>10</v>
      </c>
      <c r="I212" s="7">
        <f t="array" aca="1" ref="I212" ca="1">IF(INT(N$4/500*360)&gt;=$G212,I$5,NA())</f>
        <v>9.3000000000000007</v>
      </c>
      <c r="J212" s="7" t="e">
        <f t="array" aca="1" ref="J212" ca="1">IF(INT(O$4/500*360)&gt;=$G212,J$5,NA())</f>
        <v>#N/A</v>
      </c>
      <c r="K212" s="7" t="e">
        <f t="array" aca="1" ref="K212" ca="1">IF(INT(P$4/500*360)&gt;=$G212,K$5,NA())</f>
        <v>#N/A</v>
      </c>
      <c r="L212" s="7" t="e">
        <f t="array" aca="1" ref="L212" ca="1">IF(INT(Q$4/500*360)&gt;=$G212,L$5,NA())</f>
        <v>#N/A</v>
      </c>
      <c r="M212" s="7" t="e">
        <f t="shared" ca="1" si="25"/>
        <v>#N/A</v>
      </c>
      <c r="N212" s="7" t="e">
        <f t="shared" ca="1" si="25"/>
        <v>#N/A</v>
      </c>
      <c r="O212" s="7" t="e">
        <f t="shared" ca="1" si="25"/>
        <v>#N/A</v>
      </c>
      <c r="P212" s="7" t="e">
        <f t="shared" ca="1" si="25"/>
        <v>#N/A</v>
      </c>
      <c r="Q212" s="7" t="e">
        <f t="shared" ca="1" si="25"/>
        <v>#N/A</v>
      </c>
    </row>
    <row r="213" spans="7:17" ht="20.25" customHeight="1" x14ac:dyDescent="0.35">
      <c r="G213" s="7">
        <v>207</v>
      </c>
      <c r="H213" s="7">
        <f t="array" aca="1" ref="H213" ca="1">IF(INT(M$4/500*360)&gt;=$G213,H$5,NA())</f>
        <v>10</v>
      </c>
      <c r="I213" s="7">
        <f t="array" aca="1" ref="I213" ca="1">IF(INT(N$4/500*360)&gt;=$G213,I$5,NA())</f>
        <v>9.3000000000000007</v>
      </c>
      <c r="J213" s="7" t="e">
        <f t="array" aca="1" ref="J213" ca="1">IF(INT(O$4/500*360)&gt;=$G213,J$5,NA())</f>
        <v>#N/A</v>
      </c>
      <c r="K213" s="7" t="e">
        <f t="array" aca="1" ref="K213" ca="1">IF(INT(P$4/500*360)&gt;=$G213,K$5,NA())</f>
        <v>#N/A</v>
      </c>
      <c r="L213" s="7" t="e">
        <f t="array" aca="1" ref="L213" ca="1">IF(INT(Q$4/500*360)&gt;=$G213,L$5,NA())</f>
        <v>#N/A</v>
      </c>
      <c r="M213" s="7" t="e">
        <f t="shared" ca="1" si="25"/>
        <v>#N/A</v>
      </c>
      <c r="N213" s="7" t="e">
        <f t="shared" ca="1" si="25"/>
        <v>#N/A</v>
      </c>
      <c r="O213" s="7" t="e">
        <f t="shared" ca="1" si="25"/>
        <v>#N/A</v>
      </c>
      <c r="P213" s="7" t="e">
        <f t="shared" ca="1" si="25"/>
        <v>#N/A</v>
      </c>
      <c r="Q213" s="7" t="e">
        <f t="shared" ca="1" si="25"/>
        <v>#N/A</v>
      </c>
    </row>
    <row r="214" spans="7:17" ht="20.25" customHeight="1" x14ac:dyDescent="0.35">
      <c r="G214" s="7">
        <v>208</v>
      </c>
      <c r="H214" s="7">
        <f t="array" aca="1" ref="H214" ca="1">IF(INT(M$4/500*360)&gt;=$G214,H$5,NA())</f>
        <v>10</v>
      </c>
      <c r="I214" s="7">
        <f t="array" aca="1" ref="I214" ca="1">IF(INT(N$4/500*360)&gt;=$G214,I$5,NA())</f>
        <v>9.3000000000000007</v>
      </c>
      <c r="J214" s="7" t="e">
        <f t="array" aca="1" ref="J214" ca="1">IF(INT(O$4/500*360)&gt;=$G214,J$5,NA())</f>
        <v>#N/A</v>
      </c>
      <c r="K214" s="7" t="e">
        <f t="array" aca="1" ref="K214" ca="1">IF(INT(P$4/500*360)&gt;=$G214,K$5,NA())</f>
        <v>#N/A</v>
      </c>
      <c r="L214" s="7" t="e">
        <f t="array" aca="1" ref="L214" ca="1">IF(INT(Q$4/500*360)&gt;=$G214,L$5,NA())</f>
        <v>#N/A</v>
      </c>
      <c r="M214" s="7" t="e">
        <f t="shared" ca="1" si="25"/>
        <v>#N/A</v>
      </c>
      <c r="N214" s="7" t="e">
        <f t="shared" ca="1" si="25"/>
        <v>#N/A</v>
      </c>
      <c r="O214" s="7" t="e">
        <f t="shared" ca="1" si="25"/>
        <v>#N/A</v>
      </c>
      <c r="P214" s="7" t="e">
        <f t="shared" ca="1" si="25"/>
        <v>#N/A</v>
      </c>
      <c r="Q214" s="7" t="e">
        <f t="shared" ca="1" si="25"/>
        <v>#N/A</v>
      </c>
    </row>
    <row r="215" spans="7:17" ht="20.25" customHeight="1" x14ac:dyDescent="0.35">
      <c r="G215" s="7">
        <v>209</v>
      </c>
      <c r="H215" s="7">
        <f t="array" aca="1" ref="H215" ca="1">IF(INT(M$4/500*360)&gt;=$G215,H$5,NA())</f>
        <v>10</v>
      </c>
      <c r="I215" s="7">
        <f t="array" aca="1" ref="I215" ca="1">IF(INT(N$4/500*360)&gt;=$G215,I$5,NA())</f>
        <v>9.3000000000000007</v>
      </c>
      <c r="J215" s="7" t="e">
        <f t="array" aca="1" ref="J215" ca="1">IF(INT(O$4/500*360)&gt;=$G215,J$5,NA())</f>
        <v>#N/A</v>
      </c>
      <c r="K215" s="7" t="e">
        <f t="array" aca="1" ref="K215" ca="1">IF(INT(P$4/500*360)&gt;=$G215,K$5,NA())</f>
        <v>#N/A</v>
      </c>
      <c r="L215" s="7" t="e">
        <f t="array" aca="1" ref="L215" ca="1">IF(INT(Q$4/500*360)&gt;=$G215,L$5,NA())</f>
        <v>#N/A</v>
      </c>
      <c r="M215" s="7" t="e">
        <f t="shared" ca="1" si="25"/>
        <v>#N/A</v>
      </c>
      <c r="N215" s="7" t="e">
        <f t="shared" ca="1" si="25"/>
        <v>#N/A</v>
      </c>
      <c r="O215" s="7" t="e">
        <f t="shared" ca="1" si="25"/>
        <v>#N/A</v>
      </c>
      <c r="P215" s="7" t="e">
        <f t="shared" ca="1" si="25"/>
        <v>#N/A</v>
      </c>
      <c r="Q215" s="7" t="e">
        <f t="shared" ca="1" si="25"/>
        <v>#N/A</v>
      </c>
    </row>
    <row r="216" spans="7:17" ht="20.25" customHeight="1" x14ac:dyDescent="0.35">
      <c r="G216" s="7">
        <v>210</v>
      </c>
      <c r="H216" s="7">
        <f t="array" aca="1" ref="H216" ca="1">IF(INT(M$4/500*360)&gt;=$G216,H$5,NA())</f>
        <v>10</v>
      </c>
      <c r="I216" s="7">
        <f t="array" aca="1" ref="I216" ca="1">IF(INT(N$4/500*360)&gt;=$G216,I$5,NA())</f>
        <v>9.3000000000000007</v>
      </c>
      <c r="J216" s="7" t="e">
        <f t="array" aca="1" ref="J216" ca="1">IF(INT(O$4/500*360)&gt;=$G216,J$5,NA())</f>
        <v>#N/A</v>
      </c>
      <c r="K216" s="7" t="e">
        <f t="array" aca="1" ref="K216" ca="1">IF(INT(P$4/500*360)&gt;=$G216,K$5,NA())</f>
        <v>#N/A</v>
      </c>
      <c r="L216" s="7" t="e">
        <f t="array" aca="1" ref="L216" ca="1">IF(INT(Q$4/500*360)&gt;=$G216,L$5,NA())</f>
        <v>#N/A</v>
      </c>
      <c r="M216" s="7" t="e">
        <f t="shared" ca="1" si="25"/>
        <v>#N/A</v>
      </c>
      <c r="N216" s="7" t="e">
        <f t="shared" ca="1" si="25"/>
        <v>#N/A</v>
      </c>
      <c r="O216" s="7" t="e">
        <f t="shared" ca="1" si="25"/>
        <v>#N/A</v>
      </c>
      <c r="P216" s="7" t="e">
        <f t="shared" ca="1" si="25"/>
        <v>#N/A</v>
      </c>
      <c r="Q216" s="7" t="e">
        <f t="shared" ca="1" si="25"/>
        <v>#N/A</v>
      </c>
    </row>
    <row r="217" spans="7:17" ht="20.25" customHeight="1" x14ac:dyDescent="0.35">
      <c r="G217" s="7">
        <v>211</v>
      </c>
      <c r="H217" s="7">
        <f t="array" aca="1" ref="H217" ca="1">IF(INT(M$4/500*360)&gt;=$G217,H$5,NA())</f>
        <v>10</v>
      </c>
      <c r="I217" s="7">
        <f t="array" aca="1" ref="I217" ca="1">IF(INT(N$4/500*360)&gt;=$G217,I$5,NA())</f>
        <v>9.3000000000000007</v>
      </c>
      <c r="J217" s="7" t="e">
        <f t="array" aca="1" ref="J217" ca="1">IF(INT(O$4/500*360)&gt;=$G217,J$5,NA())</f>
        <v>#N/A</v>
      </c>
      <c r="K217" s="7" t="e">
        <f t="array" aca="1" ref="K217" ca="1">IF(INT(P$4/500*360)&gt;=$G217,K$5,NA())</f>
        <v>#N/A</v>
      </c>
      <c r="L217" s="7" t="e">
        <f t="array" aca="1" ref="L217" ca="1">IF(INT(Q$4/500*360)&gt;=$G217,L$5,NA())</f>
        <v>#N/A</v>
      </c>
      <c r="M217" s="7" t="e">
        <f t="shared" ref="M217:Q226" ca="1" si="26">IF(INT(M$4/500*360)=$G217,M$5,NA())</f>
        <v>#N/A</v>
      </c>
      <c r="N217" s="7" t="e">
        <f t="shared" ca="1" si="26"/>
        <v>#N/A</v>
      </c>
      <c r="O217" s="7" t="e">
        <f t="shared" ca="1" si="26"/>
        <v>#N/A</v>
      </c>
      <c r="P217" s="7" t="e">
        <f t="shared" ca="1" si="26"/>
        <v>#N/A</v>
      </c>
      <c r="Q217" s="7" t="e">
        <f t="shared" ca="1" si="26"/>
        <v>#N/A</v>
      </c>
    </row>
    <row r="218" spans="7:17" ht="20.25" customHeight="1" x14ac:dyDescent="0.35">
      <c r="G218" s="7">
        <v>212</v>
      </c>
      <c r="H218" s="7">
        <f t="array" aca="1" ref="H218" ca="1">IF(INT(M$4/500*360)&gt;=$G218,H$5,NA())</f>
        <v>10</v>
      </c>
      <c r="I218" s="7">
        <f t="array" aca="1" ref="I218" ca="1">IF(INT(N$4/500*360)&gt;=$G218,I$5,NA())</f>
        <v>9.3000000000000007</v>
      </c>
      <c r="J218" s="7" t="e">
        <f t="array" aca="1" ref="J218" ca="1">IF(INT(O$4/500*360)&gt;=$G218,J$5,NA())</f>
        <v>#N/A</v>
      </c>
      <c r="K218" s="7" t="e">
        <f t="array" aca="1" ref="K218" ca="1">IF(INT(P$4/500*360)&gt;=$G218,K$5,NA())</f>
        <v>#N/A</v>
      </c>
      <c r="L218" s="7" t="e">
        <f t="array" aca="1" ref="L218" ca="1">IF(INT(Q$4/500*360)&gt;=$G218,L$5,NA())</f>
        <v>#N/A</v>
      </c>
      <c r="M218" s="7" t="e">
        <f t="shared" ca="1" si="26"/>
        <v>#N/A</v>
      </c>
      <c r="N218" s="7" t="e">
        <f t="shared" ca="1" si="26"/>
        <v>#N/A</v>
      </c>
      <c r="O218" s="7" t="e">
        <f t="shared" ca="1" si="26"/>
        <v>#N/A</v>
      </c>
      <c r="P218" s="7" t="e">
        <f t="shared" ca="1" si="26"/>
        <v>#N/A</v>
      </c>
      <c r="Q218" s="7" t="e">
        <f t="shared" ca="1" si="26"/>
        <v>#N/A</v>
      </c>
    </row>
    <row r="219" spans="7:17" ht="20.25" customHeight="1" x14ac:dyDescent="0.35">
      <c r="G219" s="7">
        <v>213</v>
      </c>
      <c r="H219" s="7">
        <f t="array" aca="1" ref="H219" ca="1">IF(INT(M$4/500*360)&gt;=$G219,H$5,NA())</f>
        <v>10</v>
      </c>
      <c r="I219" s="7">
        <f t="array" aca="1" ref="I219" ca="1">IF(INT(N$4/500*360)&gt;=$G219,I$5,NA())</f>
        <v>9.3000000000000007</v>
      </c>
      <c r="J219" s="7" t="e">
        <f t="array" aca="1" ref="J219" ca="1">IF(INT(O$4/500*360)&gt;=$G219,J$5,NA())</f>
        <v>#N/A</v>
      </c>
      <c r="K219" s="7" t="e">
        <f t="array" aca="1" ref="K219" ca="1">IF(INT(P$4/500*360)&gt;=$G219,K$5,NA())</f>
        <v>#N/A</v>
      </c>
      <c r="L219" s="7" t="e">
        <f t="array" aca="1" ref="L219" ca="1">IF(INT(Q$4/500*360)&gt;=$G219,L$5,NA())</f>
        <v>#N/A</v>
      </c>
      <c r="M219" s="7" t="e">
        <f t="shared" ca="1" si="26"/>
        <v>#N/A</v>
      </c>
      <c r="N219" s="7" t="e">
        <f t="shared" ca="1" si="26"/>
        <v>#N/A</v>
      </c>
      <c r="O219" s="7" t="e">
        <f t="shared" ca="1" si="26"/>
        <v>#N/A</v>
      </c>
      <c r="P219" s="7" t="e">
        <f t="shared" ca="1" si="26"/>
        <v>#N/A</v>
      </c>
      <c r="Q219" s="7" t="e">
        <f t="shared" ca="1" si="26"/>
        <v>#N/A</v>
      </c>
    </row>
    <row r="220" spans="7:17" ht="20.25" customHeight="1" x14ac:dyDescent="0.35">
      <c r="G220" s="7">
        <v>214</v>
      </c>
      <c r="H220" s="7">
        <f t="array" aca="1" ref="H220" ca="1">IF(INT(M$4/500*360)&gt;=$G220,H$5,NA())</f>
        <v>10</v>
      </c>
      <c r="I220" s="7">
        <f t="array" aca="1" ref="I220" ca="1">IF(INT(N$4/500*360)&gt;=$G220,I$5,NA())</f>
        <v>9.3000000000000007</v>
      </c>
      <c r="J220" s="7" t="e">
        <f t="array" aca="1" ref="J220" ca="1">IF(INT(O$4/500*360)&gt;=$G220,J$5,NA())</f>
        <v>#N/A</v>
      </c>
      <c r="K220" s="7" t="e">
        <f t="array" aca="1" ref="K220" ca="1">IF(INT(P$4/500*360)&gt;=$G220,K$5,NA())</f>
        <v>#N/A</v>
      </c>
      <c r="L220" s="7" t="e">
        <f t="array" aca="1" ref="L220" ca="1">IF(INT(Q$4/500*360)&gt;=$G220,L$5,NA())</f>
        <v>#N/A</v>
      </c>
      <c r="M220" s="7" t="e">
        <f t="shared" ca="1" si="26"/>
        <v>#N/A</v>
      </c>
      <c r="N220" s="7" t="e">
        <f t="shared" ca="1" si="26"/>
        <v>#N/A</v>
      </c>
      <c r="O220" s="7" t="e">
        <f t="shared" ca="1" si="26"/>
        <v>#N/A</v>
      </c>
      <c r="P220" s="7" t="e">
        <f t="shared" ca="1" si="26"/>
        <v>#N/A</v>
      </c>
      <c r="Q220" s="7" t="e">
        <f t="shared" ca="1" si="26"/>
        <v>#N/A</v>
      </c>
    </row>
    <row r="221" spans="7:17" ht="20.25" customHeight="1" x14ac:dyDescent="0.35">
      <c r="G221" s="7">
        <v>215</v>
      </c>
      <c r="H221" s="7">
        <f t="array" aca="1" ref="H221" ca="1">IF(INT(M$4/500*360)&gt;=$G221,H$5,NA())</f>
        <v>10</v>
      </c>
      <c r="I221" s="7">
        <f t="array" aca="1" ref="I221" ca="1">IF(INT(N$4/500*360)&gt;=$G221,I$5,NA())</f>
        <v>9.3000000000000007</v>
      </c>
      <c r="J221" s="7" t="e">
        <f t="array" aca="1" ref="J221" ca="1">IF(INT(O$4/500*360)&gt;=$G221,J$5,NA())</f>
        <v>#N/A</v>
      </c>
      <c r="K221" s="7" t="e">
        <f t="array" aca="1" ref="K221" ca="1">IF(INT(P$4/500*360)&gt;=$G221,K$5,NA())</f>
        <v>#N/A</v>
      </c>
      <c r="L221" s="7" t="e">
        <f t="array" aca="1" ref="L221" ca="1">IF(INT(Q$4/500*360)&gt;=$G221,L$5,NA())</f>
        <v>#N/A</v>
      </c>
      <c r="M221" s="7" t="e">
        <f t="shared" ca="1" si="26"/>
        <v>#N/A</v>
      </c>
      <c r="N221" s="7" t="e">
        <f t="shared" ca="1" si="26"/>
        <v>#N/A</v>
      </c>
      <c r="O221" s="7" t="e">
        <f t="shared" ca="1" si="26"/>
        <v>#N/A</v>
      </c>
      <c r="P221" s="7" t="e">
        <f t="shared" ca="1" si="26"/>
        <v>#N/A</v>
      </c>
      <c r="Q221" s="7" t="e">
        <f t="shared" ca="1" si="26"/>
        <v>#N/A</v>
      </c>
    </row>
    <row r="222" spans="7:17" ht="20.25" customHeight="1" x14ac:dyDescent="0.35">
      <c r="G222" s="7">
        <v>216</v>
      </c>
      <c r="H222" s="7">
        <f t="array" aca="1" ref="H222" ca="1">IF(INT(M$4/500*360)&gt;=$G222,H$5,NA())</f>
        <v>10</v>
      </c>
      <c r="I222" s="7">
        <f t="array" aca="1" ref="I222" ca="1">IF(INT(N$4/500*360)&gt;=$G222,I$5,NA())</f>
        <v>9.3000000000000007</v>
      </c>
      <c r="J222" s="7" t="e">
        <f t="array" aca="1" ref="J222" ca="1">IF(INT(O$4/500*360)&gt;=$G222,J$5,NA())</f>
        <v>#N/A</v>
      </c>
      <c r="K222" s="7" t="e">
        <f t="array" aca="1" ref="K222" ca="1">IF(INT(P$4/500*360)&gt;=$G222,K$5,NA())</f>
        <v>#N/A</v>
      </c>
      <c r="L222" s="7" t="e">
        <f t="array" aca="1" ref="L222" ca="1">IF(INT(Q$4/500*360)&gt;=$G222,L$5,NA())</f>
        <v>#N/A</v>
      </c>
      <c r="M222" s="7" t="e">
        <f t="shared" ca="1" si="26"/>
        <v>#N/A</v>
      </c>
      <c r="N222" s="7" t="e">
        <f t="shared" ca="1" si="26"/>
        <v>#N/A</v>
      </c>
      <c r="O222" s="7" t="e">
        <f t="shared" ca="1" si="26"/>
        <v>#N/A</v>
      </c>
      <c r="P222" s="7" t="e">
        <f t="shared" ca="1" si="26"/>
        <v>#N/A</v>
      </c>
      <c r="Q222" s="7" t="e">
        <f t="shared" ca="1" si="26"/>
        <v>#N/A</v>
      </c>
    </row>
    <row r="223" spans="7:17" ht="20.25" customHeight="1" x14ac:dyDescent="0.35">
      <c r="G223" s="7">
        <v>217</v>
      </c>
      <c r="H223" s="7">
        <f t="array" aca="1" ref="H223" ca="1">IF(INT(M$4/500*360)&gt;=$G223,H$5,NA())</f>
        <v>10</v>
      </c>
      <c r="I223" s="7">
        <f t="array" aca="1" ref="I223" ca="1">IF(INT(N$4/500*360)&gt;=$G223,I$5,NA())</f>
        <v>9.3000000000000007</v>
      </c>
      <c r="J223" s="7" t="e">
        <f t="array" aca="1" ref="J223" ca="1">IF(INT(O$4/500*360)&gt;=$G223,J$5,NA())</f>
        <v>#N/A</v>
      </c>
      <c r="K223" s="7" t="e">
        <f t="array" aca="1" ref="K223" ca="1">IF(INT(P$4/500*360)&gt;=$G223,K$5,NA())</f>
        <v>#N/A</v>
      </c>
      <c r="L223" s="7" t="e">
        <f t="array" aca="1" ref="L223" ca="1">IF(INT(Q$4/500*360)&gt;=$G223,L$5,NA())</f>
        <v>#N/A</v>
      </c>
      <c r="M223" s="7" t="e">
        <f t="shared" ca="1" si="26"/>
        <v>#N/A</v>
      </c>
      <c r="N223" s="7" t="e">
        <f t="shared" ca="1" si="26"/>
        <v>#N/A</v>
      </c>
      <c r="O223" s="7" t="e">
        <f t="shared" ca="1" si="26"/>
        <v>#N/A</v>
      </c>
      <c r="P223" s="7" t="e">
        <f t="shared" ca="1" si="26"/>
        <v>#N/A</v>
      </c>
      <c r="Q223" s="7" t="e">
        <f t="shared" ca="1" si="26"/>
        <v>#N/A</v>
      </c>
    </row>
    <row r="224" spans="7:17" ht="20.25" customHeight="1" x14ac:dyDescent="0.35">
      <c r="G224" s="7">
        <v>218</v>
      </c>
      <c r="H224" s="7">
        <f t="array" aca="1" ref="H224" ca="1">IF(INT(M$4/500*360)&gt;=$G224,H$5,NA())</f>
        <v>10</v>
      </c>
      <c r="I224" s="7">
        <f t="array" aca="1" ref="I224" ca="1">IF(INT(N$4/500*360)&gt;=$G224,I$5,NA())</f>
        <v>9.3000000000000007</v>
      </c>
      <c r="J224" s="7" t="e">
        <f t="array" aca="1" ref="J224" ca="1">IF(INT(O$4/500*360)&gt;=$G224,J$5,NA())</f>
        <v>#N/A</v>
      </c>
      <c r="K224" s="7" t="e">
        <f t="array" aca="1" ref="K224" ca="1">IF(INT(P$4/500*360)&gt;=$G224,K$5,NA())</f>
        <v>#N/A</v>
      </c>
      <c r="L224" s="7" t="e">
        <f t="array" aca="1" ref="L224" ca="1">IF(INT(Q$4/500*360)&gt;=$G224,L$5,NA())</f>
        <v>#N/A</v>
      </c>
      <c r="M224" s="7" t="e">
        <f t="shared" ca="1" si="26"/>
        <v>#N/A</v>
      </c>
      <c r="N224" s="7" t="e">
        <f t="shared" ca="1" si="26"/>
        <v>#N/A</v>
      </c>
      <c r="O224" s="7" t="e">
        <f t="shared" ca="1" si="26"/>
        <v>#N/A</v>
      </c>
      <c r="P224" s="7" t="e">
        <f t="shared" ca="1" si="26"/>
        <v>#N/A</v>
      </c>
      <c r="Q224" s="7" t="e">
        <f t="shared" ca="1" si="26"/>
        <v>#N/A</v>
      </c>
    </row>
    <row r="225" spans="7:17" ht="20.25" customHeight="1" x14ac:dyDescent="0.35">
      <c r="G225" s="7">
        <v>219</v>
      </c>
      <c r="H225" s="7">
        <f t="array" aca="1" ref="H225" ca="1">IF(INT(M$4/500*360)&gt;=$G225,H$5,NA())</f>
        <v>10</v>
      </c>
      <c r="I225" s="7">
        <f t="array" aca="1" ref="I225" ca="1">IF(INT(N$4/500*360)&gt;=$G225,I$5,NA())</f>
        <v>9.3000000000000007</v>
      </c>
      <c r="J225" s="7" t="e">
        <f t="array" aca="1" ref="J225" ca="1">IF(INT(O$4/500*360)&gt;=$G225,J$5,NA())</f>
        <v>#N/A</v>
      </c>
      <c r="K225" s="7" t="e">
        <f t="array" aca="1" ref="K225" ca="1">IF(INT(P$4/500*360)&gt;=$G225,K$5,NA())</f>
        <v>#N/A</v>
      </c>
      <c r="L225" s="7" t="e">
        <f t="array" aca="1" ref="L225" ca="1">IF(INT(Q$4/500*360)&gt;=$G225,L$5,NA())</f>
        <v>#N/A</v>
      </c>
      <c r="M225" s="7" t="e">
        <f t="shared" ca="1" si="26"/>
        <v>#N/A</v>
      </c>
      <c r="N225" s="7" t="e">
        <f t="shared" ca="1" si="26"/>
        <v>#N/A</v>
      </c>
      <c r="O225" s="7" t="e">
        <f t="shared" ca="1" si="26"/>
        <v>#N/A</v>
      </c>
      <c r="P225" s="7" t="e">
        <f t="shared" ca="1" si="26"/>
        <v>#N/A</v>
      </c>
      <c r="Q225" s="7" t="e">
        <f t="shared" ca="1" si="26"/>
        <v>#N/A</v>
      </c>
    </row>
    <row r="226" spans="7:17" ht="20.25" customHeight="1" x14ac:dyDescent="0.35">
      <c r="G226" s="7">
        <v>220</v>
      </c>
      <c r="H226" s="7">
        <f t="array" aca="1" ref="H226" ca="1">IF(INT(M$4/500*360)&gt;=$G226,H$5,NA())</f>
        <v>10</v>
      </c>
      <c r="I226" s="7">
        <f t="array" aca="1" ref="I226" ca="1">IF(INT(N$4/500*360)&gt;=$G226,I$5,NA())</f>
        <v>9.3000000000000007</v>
      </c>
      <c r="J226" s="7" t="e">
        <f t="array" aca="1" ref="J226" ca="1">IF(INT(O$4/500*360)&gt;=$G226,J$5,NA())</f>
        <v>#N/A</v>
      </c>
      <c r="K226" s="7" t="e">
        <f t="array" aca="1" ref="K226" ca="1">IF(INT(P$4/500*360)&gt;=$G226,K$5,NA())</f>
        <v>#N/A</v>
      </c>
      <c r="L226" s="7" t="e">
        <f t="array" aca="1" ref="L226" ca="1">IF(INT(Q$4/500*360)&gt;=$G226,L$5,NA())</f>
        <v>#N/A</v>
      </c>
      <c r="M226" s="7" t="e">
        <f t="shared" ca="1" si="26"/>
        <v>#N/A</v>
      </c>
      <c r="N226" s="7" t="e">
        <f t="shared" ca="1" si="26"/>
        <v>#N/A</v>
      </c>
      <c r="O226" s="7" t="e">
        <f t="shared" ca="1" si="26"/>
        <v>#N/A</v>
      </c>
      <c r="P226" s="7" t="e">
        <f t="shared" ca="1" si="26"/>
        <v>#N/A</v>
      </c>
      <c r="Q226" s="7" t="e">
        <f t="shared" ca="1" si="26"/>
        <v>#N/A</v>
      </c>
    </row>
    <row r="227" spans="7:17" ht="20.25" customHeight="1" x14ac:dyDescent="0.35">
      <c r="G227" s="7">
        <v>221</v>
      </c>
      <c r="H227" s="7">
        <f t="array" aca="1" ref="H227" ca="1">IF(INT(M$4/500*360)&gt;=$G227,H$5,NA())</f>
        <v>10</v>
      </c>
      <c r="I227" s="7">
        <f t="array" aca="1" ref="I227" ca="1">IF(INT(N$4/500*360)&gt;=$G227,I$5,NA())</f>
        <v>9.3000000000000007</v>
      </c>
      <c r="J227" s="7" t="e">
        <f t="array" aca="1" ref="J227" ca="1">IF(INT(O$4/500*360)&gt;=$G227,J$5,NA())</f>
        <v>#N/A</v>
      </c>
      <c r="K227" s="7" t="e">
        <f t="array" aca="1" ref="K227" ca="1">IF(INT(P$4/500*360)&gt;=$G227,K$5,NA())</f>
        <v>#N/A</v>
      </c>
      <c r="L227" s="7" t="e">
        <f t="array" aca="1" ref="L227" ca="1">IF(INT(Q$4/500*360)&gt;=$G227,L$5,NA())</f>
        <v>#N/A</v>
      </c>
      <c r="M227" s="7" t="e">
        <f t="shared" ref="M227:Q236" ca="1" si="27">IF(INT(M$4/500*360)=$G227,M$5,NA())</f>
        <v>#N/A</v>
      </c>
      <c r="N227" s="7" t="e">
        <f t="shared" ca="1" si="27"/>
        <v>#N/A</v>
      </c>
      <c r="O227" s="7" t="e">
        <f t="shared" ca="1" si="27"/>
        <v>#N/A</v>
      </c>
      <c r="P227" s="7" t="e">
        <f t="shared" ca="1" si="27"/>
        <v>#N/A</v>
      </c>
      <c r="Q227" s="7" t="e">
        <f t="shared" ca="1" si="27"/>
        <v>#N/A</v>
      </c>
    </row>
    <row r="228" spans="7:17" ht="20.25" customHeight="1" x14ac:dyDescent="0.35">
      <c r="G228" s="7">
        <v>222</v>
      </c>
      <c r="H228" s="7">
        <f t="array" aca="1" ref="H228" ca="1">IF(INT(M$4/500*360)&gt;=$G228,H$5,NA())</f>
        <v>10</v>
      </c>
      <c r="I228" s="7">
        <f t="array" aca="1" ref="I228" ca="1">IF(INT(N$4/500*360)&gt;=$G228,I$5,NA())</f>
        <v>9.3000000000000007</v>
      </c>
      <c r="J228" s="7" t="e">
        <f t="array" aca="1" ref="J228" ca="1">IF(INT(O$4/500*360)&gt;=$G228,J$5,NA())</f>
        <v>#N/A</v>
      </c>
      <c r="K228" s="7" t="e">
        <f t="array" aca="1" ref="K228" ca="1">IF(INT(P$4/500*360)&gt;=$G228,K$5,NA())</f>
        <v>#N/A</v>
      </c>
      <c r="L228" s="7" t="e">
        <f t="array" aca="1" ref="L228" ca="1">IF(INT(Q$4/500*360)&gt;=$G228,L$5,NA())</f>
        <v>#N/A</v>
      </c>
      <c r="M228" s="7" t="e">
        <f t="shared" ca="1" si="27"/>
        <v>#N/A</v>
      </c>
      <c r="N228" s="7" t="e">
        <f t="shared" ca="1" si="27"/>
        <v>#N/A</v>
      </c>
      <c r="O228" s="7" t="e">
        <f t="shared" ca="1" si="27"/>
        <v>#N/A</v>
      </c>
      <c r="P228" s="7" t="e">
        <f t="shared" ca="1" si="27"/>
        <v>#N/A</v>
      </c>
      <c r="Q228" s="7" t="e">
        <f t="shared" ca="1" si="27"/>
        <v>#N/A</v>
      </c>
    </row>
    <row r="229" spans="7:17" ht="20.25" customHeight="1" x14ac:dyDescent="0.35">
      <c r="G229" s="7">
        <v>223</v>
      </c>
      <c r="H229" s="7">
        <f t="array" aca="1" ref="H229" ca="1">IF(INT(M$4/500*360)&gt;=$G229,H$5,NA())</f>
        <v>10</v>
      </c>
      <c r="I229" s="7">
        <f t="array" aca="1" ref="I229" ca="1">IF(INT(N$4/500*360)&gt;=$G229,I$5,NA())</f>
        <v>9.3000000000000007</v>
      </c>
      <c r="J229" s="7" t="e">
        <f t="array" aca="1" ref="J229" ca="1">IF(INT(O$4/500*360)&gt;=$G229,J$5,NA())</f>
        <v>#N/A</v>
      </c>
      <c r="K229" s="7" t="e">
        <f t="array" aca="1" ref="K229" ca="1">IF(INT(P$4/500*360)&gt;=$G229,K$5,NA())</f>
        <v>#N/A</v>
      </c>
      <c r="L229" s="7" t="e">
        <f t="array" aca="1" ref="L229" ca="1">IF(INT(Q$4/500*360)&gt;=$G229,L$5,NA())</f>
        <v>#N/A</v>
      </c>
      <c r="M229" s="7" t="e">
        <f t="shared" ca="1" si="27"/>
        <v>#N/A</v>
      </c>
      <c r="N229" s="7" t="e">
        <f t="shared" ca="1" si="27"/>
        <v>#N/A</v>
      </c>
      <c r="O229" s="7" t="e">
        <f t="shared" ca="1" si="27"/>
        <v>#N/A</v>
      </c>
      <c r="P229" s="7" t="e">
        <f t="shared" ca="1" si="27"/>
        <v>#N/A</v>
      </c>
      <c r="Q229" s="7" t="e">
        <f t="shared" ca="1" si="27"/>
        <v>#N/A</v>
      </c>
    </row>
    <row r="230" spans="7:17" ht="20.25" customHeight="1" x14ac:dyDescent="0.35">
      <c r="G230" s="7">
        <v>224</v>
      </c>
      <c r="H230" s="7">
        <f t="array" aca="1" ref="H230" ca="1">IF(INT(M$4/500*360)&gt;=$G230,H$5,NA())</f>
        <v>10</v>
      </c>
      <c r="I230" s="7">
        <f t="array" aca="1" ref="I230" ca="1">IF(INT(N$4/500*360)&gt;=$G230,I$5,NA())</f>
        <v>9.3000000000000007</v>
      </c>
      <c r="J230" s="7" t="e">
        <f t="array" aca="1" ref="J230" ca="1">IF(INT(O$4/500*360)&gt;=$G230,J$5,NA())</f>
        <v>#N/A</v>
      </c>
      <c r="K230" s="7" t="e">
        <f t="array" aca="1" ref="K230" ca="1">IF(INT(P$4/500*360)&gt;=$G230,K$5,NA())</f>
        <v>#N/A</v>
      </c>
      <c r="L230" s="7" t="e">
        <f t="array" aca="1" ref="L230" ca="1">IF(INT(Q$4/500*360)&gt;=$G230,L$5,NA())</f>
        <v>#N/A</v>
      </c>
      <c r="M230" s="7" t="e">
        <f t="shared" ca="1" si="27"/>
        <v>#N/A</v>
      </c>
      <c r="N230" s="7" t="e">
        <f t="shared" ca="1" si="27"/>
        <v>#N/A</v>
      </c>
      <c r="O230" s="7" t="e">
        <f t="shared" ca="1" si="27"/>
        <v>#N/A</v>
      </c>
      <c r="P230" s="7" t="e">
        <f t="shared" ca="1" si="27"/>
        <v>#N/A</v>
      </c>
      <c r="Q230" s="7" t="e">
        <f t="shared" ca="1" si="27"/>
        <v>#N/A</v>
      </c>
    </row>
    <row r="231" spans="7:17" ht="20.25" customHeight="1" x14ac:dyDescent="0.35">
      <c r="G231" s="7">
        <v>225</v>
      </c>
      <c r="H231" s="7">
        <f t="array" aca="1" ref="H231" ca="1">IF(INT(M$4/500*360)&gt;=$G231,H$5,NA())</f>
        <v>10</v>
      </c>
      <c r="I231" s="7">
        <f t="array" aca="1" ref="I231" ca="1">IF(INT(N$4/500*360)&gt;=$G231,I$5,NA())</f>
        <v>9.3000000000000007</v>
      </c>
      <c r="J231" s="7" t="e">
        <f t="array" aca="1" ref="J231" ca="1">IF(INT(O$4/500*360)&gt;=$G231,J$5,NA())</f>
        <v>#N/A</v>
      </c>
      <c r="K231" s="7" t="e">
        <f t="array" aca="1" ref="K231" ca="1">IF(INT(P$4/500*360)&gt;=$G231,K$5,NA())</f>
        <v>#N/A</v>
      </c>
      <c r="L231" s="7" t="e">
        <f t="array" aca="1" ref="L231" ca="1">IF(INT(Q$4/500*360)&gt;=$G231,L$5,NA())</f>
        <v>#N/A</v>
      </c>
      <c r="M231" s="7" t="e">
        <f t="shared" ca="1" si="27"/>
        <v>#N/A</v>
      </c>
      <c r="N231" s="7" t="e">
        <f t="shared" ca="1" si="27"/>
        <v>#N/A</v>
      </c>
      <c r="O231" s="7" t="e">
        <f t="shared" ca="1" si="27"/>
        <v>#N/A</v>
      </c>
      <c r="P231" s="7" t="e">
        <f t="shared" ca="1" si="27"/>
        <v>#N/A</v>
      </c>
      <c r="Q231" s="7" t="e">
        <f t="shared" ca="1" si="27"/>
        <v>#N/A</v>
      </c>
    </row>
    <row r="232" spans="7:17" ht="20.25" customHeight="1" x14ac:dyDescent="0.35">
      <c r="G232" s="7">
        <v>226</v>
      </c>
      <c r="H232" s="7">
        <f t="array" aca="1" ref="H232" ca="1">IF(INT(M$4/500*360)&gt;=$G232,H$5,NA())</f>
        <v>10</v>
      </c>
      <c r="I232" s="7">
        <f t="array" aca="1" ref="I232" ca="1">IF(INT(N$4/500*360)&gt;=$G232,I$5,NA())</f>
        <v>9.3000000000000007</v>
      </c>
      <c r="J232" s="7" t="e">
        <f t="array" aca="1" ref="J232" ca="1">IF(INT(O$4/500*360)&gt;=$G232,J$5,NA())</f>
        <v>#N/A</v>
      </c>
      <c r="K232" s="7" t="e">
        <f t="array" aca="1" ref="K232" ca="1">IF(INT(P$4/500*360)&gt;=$G232,K$5,NA())</f>
        <v>#N/A</v>
      </c>
      <c r="L232" s="7" t="e">
        <f t="array" aca="1" ref="L232" ca="1">IF(INT(Q$4/500*360)&gt;=$G232,L$5,NA())</f>
        <v>#N/A</v>
      </c>
      <c r="M232" s="7" t="e">
        <f t="shared" ca="1" si="27"/>
        <v>#N/A</v>
      </c>
      <c r="N232" s="7" t="e">
        <f t="shared" ca="1" si="27"/>
        <v>#N/A</v>
      </c>
      <c r="O232" s="7" t="e">
        <f t="shared" ca="1" si="27"/>
        <v>#N/A</v>
      </c>
      <c r="P232" s="7" t="e">
        <f t="shared" ca="1" si="27"/>
        <v>#N/A</v>
      </c>
      <c r="Q232" s="7" t="e">
        <f t="shared" ca="1" si="27"/>
        <v>#N/A</v>
      </c>
    </row>
    <row r="233" spans="7:17" ht="20.25" customHeight="1" x14ac:dyDescent="0.35">
      <c r="G233" s="7">
        <v>227</v>
      </c>
      <c r="H233" s="7">
        <f t="array" aca="1" ref="H233" ca="1">IF(INT(M$4/500*360)&gt;=$G233,H$5,NA())</f>
        <v>10</v>
      </c>
      <c r="I233" s="7">
        <f t="array" aca="1" ref="I233" ca="1">IF(INT(N$4/500*360)&gt;=$G233,I$5,NA())</f>
        <v>9.3000000000000007</v>
      </c>
      <c r="J233" s="7" t="e">
        <f t="array" aca="1" ref="J233" ca="1">IF(INT(O$4/500*360)&gt;=$G233,J$5,NA())</f>
        <v>#N/A</v>
      </c>
      <c r="K233" s="7" t="e">
        <f t="array" aca="1" ref="K233" ca="1">IF(INT(P$4/500*360)&gt;=$G233,K$5,NA())</f>
        <v>#N/A</v>
      </c>
      <c r="L233" s="7" t="e">
        <f t="array" aca="1" ref="L233" ca="1">IF(INT(Q$4/500*360)&gt;=$G233,L$5,NA())</f>
        <v>#N/A</v>
      </c>
      <c r="M233" s="7" t="e">
        <f t="shared" ca="1" si="27"/>
        <v>#N/A</v>
      </c>
      <c r="N233" s="7" t="e">
        <f t="shared" ca="1" si="27"/>
        <v>#N/A</v>
      </c>
      <c r="O233" s="7" t="e">
        <f t="shared" ca="1" si="27"/>
        <v>#N/A</v>
      </c>
      <c r="P233" s="7" t="e">
        <f t="shared" ca="1" si="27"/>
        <v>#N/A</v>
      </c>
      <c r="Q233" s="7" t="e">
        <f t="shared" ca="1" si="27"/>
        <v>#N/A</v>
      </c>
    </row>
    <row r="234" spans="7:17" ht="20.25" customHeight="1" x14ac:dyDescent="0.35">
      <c r="G234" s="7">
        <v>228</v>
      </c>
      <c r="H234" s="7">
        <f t="array" aca="1" ref="H234" ca="1">IF(INT(M$4/500*360)&gt;=$G234,H$5,NA())</f>
        <v>10</v>
      </c>
      <c r="I234" s="7">
        <f t="array" aca="1" ref="I234" ca="1">IF(INT(N$4/500*360)&gt;=$G234,I$5,NA())</f>
        <v>9.3000000000000007</v>
      </c>
      <c r="J234" s="7" t="e">
        <f t="array" aca="1" ref="J234" ca="1">IF(INT(O$4/500*360)&gt;=$G234,J$5,NA())</f>
        <v>#N/A</v>
      </c>
      <c r="K234" s="7" t="e">
        <f t="array" aca="1" ref="K234" ca="1">IF(INT(P$4/500*360)&gt;=$G234,K$5,NA())</f>
        <v>#N/A</v>
      </c>
      <c r="L234" s="7" t="e">
        <f t="array" aca="1" ref="L234" ca="1">IF(INT(Q$4/500*360)&gt;=$G234,L$5,NA())</f>
        <v>#N/A</v>
      </c>
      <c r="M234" s="7" t="e">
        <f t="shared" ca="1" si="27"/>
        <v>#N/A</v>
      </c>
      <c r="N234" s="7" t="e">
        <f t="shared" ca="1" si="27"/>
        <v>#N/A</v>
      </c>
      <c r="O234" s="7" t="e">
        <f t="shared" ca="1" si="27"/>
        <v>#N/A</v>
      </c>
      <c r="P234" s="7" t="e">
        <f t="shared" ca="1" si="27"/>
        <v>#N/A</v>
      </c>
      <c r="Q234" s="7" t="e">
        <f t="shared" ca="1" si="27"/>
        <v>#N/A</v>
      </c>
    </row>
    <row r="235" spans="7:17" ht="20.25" customHeight="1" x14ac:dyDescent="0.35">
      <c r="G235" s="7">
        <v>229</v>
      </c>
      <c r="H235" s="7">
        <f t="array" aca="1" ref="H235" ca="1">IF(INT(M$4/500*360)&gt;=$G235,H$5,NA())</f>
        <v>10</v>
      </c>
      <c r="I235" s="7">
        <f t="array" aca="1" ref="I235" ca="1">IF(INT(N$4/500*360)&gt;=$G235,I$5,NA())</f>
        <v>9.3000000000000007</v>
      </c>
      <c r="J235" s="7" t="e">
        <f t="array" aca="1" ref="J235" ca="1">IF(INT(O$4/500*360)&gt;=$G235,J$5,NA())</f>
        <v>#N/A</v>
      </c>
      <c r="K235" s="7" t="e">
        <f t="array" aca="1" ref="K235" ca="1">IF(INT(P$4/500*360)&gt;=$G235,K$5,NA())</f>
        <v>#N/A</v>
      </c>
      <c r="L235" s="7" t="e">
        <f t="array" aca="1" ref="L235" ca="1">IF(INT(Q$4/500*360)&gt;=$G235,L$5,NA())</f>
        <v>#N/A</v>
      </c>
      <c r="M235" s="7" t="e">
        <f t="shared" ca="1" si="27"/>
        <v>#N/A</v>
      </c>
      <c r="N235" s="7" t="e">
        <f t="shared" ca="1" si="27"/>
        <v>#N/A</v>
      </c>
      <c r="O235" s="7" t="e">
        <f t="shared" ca="1" si="27"/>
        <v>#N/A</v>
      </c>
      <c r="P235" s="7" t="e">
        <f t="shared" ca="1" si="27"/>
        <v>#N/A</v>
      </c>
      <c r="Q235" s="7" t="e">
        <f t="shared" ca="1" si="27"/>
        <v>#N/A</v>
      </c>
    </row>
    <row r="236" spans="7:17" ht="20.25" customHeight="1" x14ac:dyDescent="0.35">
      <c r="G236" s="7">
        <v>230</v>
      </c>
      <c r="H236" s="7">
        <f t="array" aca="1" ref="H236" ca="1">IF(INT(M$4/500*360)&gt;=$G236,H$5,NA())</f>
        <v>10</v>
      </c>
      <c r="I236" s="7">
        <f t="array" aca="1" ref="I236" ca="1">IF(INT(N$4/500*360)&gt;=$G236,I$5,NA())</f>
        <v>9.3000000000000007</v>
      </c>
      <c r="J236" s="7" t="e">
        <f t="array" aca="1" ref="J236" ca="1">IF(INT(O$4/500*360)&gt;=$G236,J$5,NA())</f>
        <v>#N/A</v>
      </c>
      <c r="K236" s="7" t="e">
        <f t="array" aca="1" ref="K236" ca="1">IF(INT(P$4/500*360)&gt;=$G236,K$5,NA())</f>
        <v>#N/A</v>
      </c>
      <c r="L236" s="7" t="e">
        <f t="array" aca="1" ref="L236" ca="1">IF(INT(Q$4/500*360)&gt;=$G236,L$5,NA())</f>
        <v>#N/A</v>
      </c>
      <c r="M236" s="7" t="e">
        <f t="shared" ca="1" si="27"/>
        <v>#N/A</v>
      </c>
      <c r="N236" s="7" t="e">
        <f t="shared" ca="1" si="27"/>
        <v>#N/A</v>
      </c>
      <c r="O236" s="7" t="e">
        <f t="shared" ca="1" si="27"/>
        <v>#N/A</v>
      </c>
      <c r="P236" s="7" t="e">
        <f t="shared" ca="1" si="27"/>
        <v>#N/A</v>
      </c>
      <c r="Q236" s="7" t="e">
        <f t="shared" ca="1" si="27"/>
        <v>#N/A</v>
      </c>
    </row>
    <row r="237" spans="7:17" ht="20.25" customHeight="1" x14ac:dyDescent="0.35">
      <c r="G237" s="7">
        <v>231</v>
      </c>
      <c r="H237" s="7">
        <f t="array" aca="1" ref="H237" ca="1">IF(INT(M$4/500*360)&gt;=$G237,H$5,NA())</f>
        <v>10</v>
      </c>
      <c r="I237" s="7">
        <f t="array" aca="1" ref="I237" ca="1">IF(INT(N$4/500*360)&gt;=$G237,I$5,NA())</f>
        <v>9.3000000000000007</v>
      </c>
      <c r="J237" s="7" t="e">
        <f t="array" aca="1" ref="J237" ca="1">IF(INT(O$4/500*360)&gt;=$G237,J$5,NA())</f>
        <v>#N/A</v>
      </c>
      <c r="K237" s="7" t="e">
        <f t="array" aca="1" ref="K237" ca="1">IF(INT(P$4/500*360)&gt;=$G237,K$5,NA())</f>
        <v>#N/A</v>
      </c>
      <c r="L237" s="7" t="e">
        <f t="array" aca="1" ref="L237" ca="1">IF(INT(Q$4/500*360)&gt;=$G237,L$5,NA())</f>
        <v>#N/A</v>
      </c>
      <c r="M237" s="7" t="e">
        <f t="shared" ref="M237:Q246" ca="1" si="28">IF(INT(M$4/500*360)=$G237,M$5,NA())</f>
        <v>#N/A</v>
      </c>
      <c r="N237" s="7" t="e">
        <f t="shared" ca="1" si="28"/>
        <v>#N/A</v>
      </c>
      <c r="O237" s="7" t="e">
        <f t="shared" ca="1" si="28"/>
        <v>#N/A</v>
      </c>
      <c r="P237" s="7" t="e">
        <f t="shared" ca="1" si="28"/>
        <v>#N/A</v>
      </c>
      <c r="Q237" s="7" t="e">
        <f t="shared" ca="1" si="28"/>
        <v>#N/A</v>
      </c>
    </row>
    <row r="238" spans="7:17" ht="20.25" customHeight="1" x14ac:dyDescent="0.35">
      <c r="G238" s="7">
        <v>232</v>
      </c>
      <c r="H238" s="7">
        <f t="array" aca="1" ref="H238" ca="1">IF(INT(M$4/500*360)&gt;=$G238,H$5,NA())</f>
        <v>10</v>
      </c>
      <c r="I238" s="7">
        <f t="array" aca="1" ref="I238" ca="1">IF(INT(N$4/500*360)&gt;=$G238,I$5,NA())</f>
        <v>9.3000000000000007</v>
      </c>
      <c r="J238" s="7" t="e">
        <f t="array" aca="1" ref="J238" ca="1">IF(INT(O$4/500*360)&gt;=$G238,J$5,NA())</f>
        <v>#N/A</v>
      </c>
      <c r="K238" s="7" t="e">
        <f t="array" aca="1" ref="K238" ca="1">IF(INT(P$4/500*360)&gt;=$G238,K$5,NA())</f>
        <v>#N/A</v>
      </c>
      <c r="L238" s="7" t="e">
        <f t="array" aca="1" ref="L238" ca="1">IF(INT(Q$4/500*360)&gt;=$G238,L$5,NA())</f>
        <v>#N/A</v>
      </c>
      <c r="M238" s="7" t="e">
        <f t="shared" ca="1" si="28"/>
        <v>#N/A</v>
      </c>
      <c r="N238" s="7" t="e">
        <f t="shared" ca="1" si="28"/>
        <v>#N/A</v>
      </c>
      <c r="O238" s="7" t="e">
        <f t="shared" ca="1" si="28"/>
        <v>#N/A</v>
      </c>
      <c r="P238" s="7" t="e">
        <f t="shared" ca="1" si="28"/>
        <v>#N/A</v>
      </c>
      <c r="Q238" s="7" t="e">
        <f t="shared" ca="1" si="28"/>
        <v>#N/A</v>
      </c>
    </row>
    <row r="239" spans="7:17" ht="20.25" customHeight="1" x14ac:dyDescent="0.35">
      <c r="G239" s="7">
        <v>233</v>
      </c>
      <c r="H239" s="7">
        <f t="array" aca="1" ref="H239" ca="1">IF(INT(M$4/500*360)&gt;=$G239,H$5,NA())</f>
        <v>10</v>
      </c>
      <c r="I239" s="7">
        <f t="array" aca="1" ref="I239" ca="1">IF(INT(N$4/500*360)&gt;=$G239,I$5,NA())</f>
        <v>9.3000000000000007</v>
      </c>
      <c r="J239" s="7" t="e">
        <f t="array" aca="1" ref="J239" ca="1">IF(INT(O$4/500*360)&gt;=$G239,J$5,NA())</f>
        <v>#N/A</v>
      </c>
      <c r="K239" s="7" t="e">
        <f t="array" aca="1" ref="K239" ca="1">IF(INT(P$4/500*360)&gt;=$G239,K$5,NA())</f>
        <v>#N/A</v>
      </c>
      <c r="L239" s="7" t="e">
        <f t="array" aca="1" ref="L239" ca="1">IF(INT(Q$4/500*360)&gt;=$G239,L$5,NA())</f>
        <v>#N/A</v>
      </c>
      <c r="M239" s="7" t="e">
        <f t="shared" ca="1" si="28"/>
        <v>#N/A</v>
      </c>
      <c r="N239" s="7" t="e">
        <f t="shared" ca="1" si="28"/>
        <v>#N/A</v>
      </c>
      <c r="O239" s="7" t="e">
        <f t="shared" ca="1" si="28"/>
        <v>#N/A</v>
      </c>
      <c r="P239" s="7" t="e">
        <f t="shared" ca="1" si="28"/>
        <v>#N/A</v>
      </c>
      <c r="Q239" s="7" t="e">
        <f t="shared" ca="1" si="28"/>
        <v>#N/A</v>
      </c>
    </row>
    <row r="240" spans="7:17" ht="20.25" customHeight="1" x14ac:dyDescent="0.35">
      <c r="G240" s="7">
        <v>234</v>
      </c>
      <c r="H240" s="7">
        <f t="array" aca="1" ref="H240" ca="1">IF(INT(M$4/500*360)&gt;=$G240,H$5,NA())</f>
        <v>10</v>
      </c>
      <c r="I240" s="7">
        <f t="array" aca="1" ref="I240" ca="1">IF(INT(N$4/500*360)&gt;=$G240,I$5,NA())</f>
        <v>9.3000000000000007</v>
      </c>
      <c r="J240" s="7" t="e">
        <f t="array" aca="1" ref="J240" ca="1">IF(INT(O$4/500*360)&gt;=$G240,J$5,NA())</f>
        <v>#N/A</v>
      </c>
      <c r="K240" s="7" t="e">
        <f t="array" aca="1" ref="K240" ca="1">IF(INT(P$4/500*360)&gt;=$G240,K$5,NA())</f>
        <v>#N/A</v>
      </c>
      <c r="L240" s="7" t="e">
        <f t="array" aca="1" ref="L240" ca="1">IF(INT(Q$4/500*360)&gt;=$G240,L$5,NA())</f>
        <v>#N/A</v>
      </c>
      <c r="M240" s="7" t="e">
        <f t="shared" ca="1" si="28"/>
        <v>#N/A</v>
      </c>
      <c r="N240" s="7" t="e">
        <f t="shared" ca="1" si="28"/>
        <v>#N/A</v>
      </c>
      <c r="O240" s="7" t="e">
        <f t="shared" ca="1" si="28"/>
        <v>#N/A</v>
      </c>
      <c r="P240" s="7" t="e">
        <f t="shared" ca="1" si="28"/>
        <v>#N/A</v>
      </c>
      <c r="Q240" s="7" t="e">
        <f t="shared" ca="1" si="28"/>
        <v>#N/A</v>
      </c>
    </row>
    <row r="241" spans="7:17" ht="20.25" customHeight="1" x14ac:dyDescent="0.35">
      <c r="G241" s="7">
        <v>235</v>
      </c>
      <c r="H241" s="7">
        <f t="array" aca="1" ref="H241" ca="1">IF(INT(M$4/500*360)&gt;=$G241,H$5,NA())</f>
        <v>10</v>
      </c>
      <c r="I241" s="7">
        <f t="array" aca="1" ref="I241" ca="1">IF(INT(N$4/500*360)&gt;=$G241,I$5,NA())</f>
        <v>9.3000000000000007</v>
      </c>
      <c r="J241" s="7" t="e">
        <f t="array" aca="1" ref="J241" ca="1">IF(INT(O$4/500*360)&gt;=$G241,J$5,NA())</f>
        <v>#N/A</v>
      </c>
      <c r="K241" s="7" t="e">
        <f t="array" aca="1" ref="K241" ca="1">IF(INT(P$4/500*360)&gt;=$G241,K$5,NA())</f>
        <v>#N/A</v>
      </c>
      <c r="L241" s="7" t="e">
        <f t="array" aca="1" ref="L241" ca="1">IF(INT(Q$4/500*360)&gt;=$G241,L$5,NA())</f>
        <v>#N/A</v>
      </c>
      <c r="M241" s="7" t="e">
        <f t="shared" ca="1" si="28"/>
        <v>#N/A</v>
      </c>
      <c r="N241" s="7" t="e">
        <f t="shared" ca="1" si="28"/>
        <v>#N/A</v>
      </c>
      <c r="O241" s="7" t="e">
        <f t="shared" ca="1" si="28"/>
        <v>#N/A</v>
      </c>
      <c r="P241" s="7" t="e">
        <f t="shared" ca="1" si="28"/>
        <v>#N/A</v>
      </c>
      <c r="Q241" s="7" t="e">
        <f t="shared" ca="1" si="28"/>
        <v>#N/A</v>
      </c>
    </row>
    <row r="242" spans="7:17" ht="20.25" customHeight="1" x14ac:dyDescent="0.35">
      <c r="G242" s="7">
        <v>236</v>
      </c>
      <c r="H242" s="7">
        <f t="array" aca="1" ref="H242" ca="1">IF(INT(M$4/500*360)&gt;=$G242,H$5,NA())</f>
        <v>10</v>
      </c>
      <c r="I242" s="7">
        <f t="array" aca="1" ref="I242" ca="1">IF(INT(N$4/500*360)&gt;=$G242,I$5,NA())</f>
        <v>9.3000000000000007</v>
      </c>
      <c r="J242" s="7" t="e">
        <f t="array" aca="1" ref="J242" ca="1">IF(INT(O$4/500*360)&gt;=$G242,J$5,NA())</f>
        <v>#N/A</v>
      </c>
      <c r="K242" s="7" t="e">
        <f t="array" aca="1" ref="K242" ca="1">IF(INT(P$4/500*360)&gt;=$G242,K$5,NA())</f>
        <v>#N/A</v>
      </c>
      <c r="L242" s="7" t="e">
        <f t="array" aca="1" ref="L242" ca="1">IF(INT(Q$4/500*360)&gt;=$G242,L$5,NA())</f>
        <v>#N/A</v>
      </c>
      <c r="M242" s="7" t="e">
        <f t="shared" ca="1" si="28"/>
        <v>#N/A</v>
      </c>
      <c r="N242" s="7" t="e">
        <f t="shared" ca="1" si="28"/>
        <v>#N/A</v>
      </c>
      <c r="O242" s="7" t="e">
        <f t="shared" ca="1" si="28"/>
        <v>#N/A</v>
      </c>
      <c r="P242" s="7" t="e">
        <f t="shared" ca="1" si="28"/>
        <v>#N/A</v>
      </c>
      <c r="Q242" s="7" t="e">
        <f t="shared" ca="1" si="28"/>
        <v>#N/A</v>
      </c>
    </row>
    <row r="243" spans="7:17" ht="20.25" customHeight="1" x14ac:dyDescent="0.35">
      <c r="G243" s="7">
        <v>237</v>
      </c>
      <c r="H243" s="7">
        <f t="array" aca="1" ref="H243" ca="1">IF(INT(M$4/500*360)&gt;=$G243,H$5,NA())</f>
        <v>10</v>
      </c>
      <c r="I243" s="7">
        <f t="array" aca="1" ref="I243" ca="1">IF(INT(N$4/500*360)&gt;=$G243,I$5,NA())</f>
        <v>9.3000000000000007</v>
      </c>
      <c r="J243" s="7" t="e">
        <f t="array" aca="1" ref="J243" ca="1">IF(INT(O$4/500*360)&gt;=$G243,J$5,NA())</f>
        <v>#N/A</v>
      </c>
      <c r="K243" s="7" t="e">
        <f t="array" aca="1" ref="K243" ca="1">IF(INT(P$4/500*360)&gt;=$G243,K$5,NA())</f>
        <v>#N/A</v>
      </c>
      <c r="L243" s="7" t="e">
        <f t="array" aca="1" ref="L243" ca="1">IF(INT(Q$4/500*360)&gt;=$G243,L$5,NA())</f>
        <v>#N/A</v>
      </c>
      <c r="M243" s="7" t="e">
        <f t="shared" ca="1" si="28"/>
        <v>#N/A</v>
      </c>
      <c r="N243" s="7" t="e">
        <f t="shared" ca="1" si="28"/>
        <v>#N/A</v>
      </c>
      <c r="O243" s="7" t="e">
        <f t="shared" ca="1" si="28"/>
        <v>#N/A</v>
      </c>
      <c r="P243" s="7" t="e">
        <f t="shared" ca="1" si="28"/>
        <v>#N/A</v>
      </c>
      <c r="Q243" s="7" t="e">
        <f t="shared" ca="1" si="28"/>
        <v>#N/A</v>
      </c>
    </row>
    <row r="244" spans="7:17" ht="20.25" customHeight="1" x14ac:dyDescent="0.35">
      <c r="G244" s="7">
        <v>238</v>
      </c>
      <c r="H244" s="7">
        <f t="array" aca="1" ref="H244" ca="1">IF(INT(M$4/500*360)&gt;=$G244,H$5,NA())</f>
        <v>10</v>
      </c>
      <c r="I244" s="7">
        <f t="array" aca="1" ref="I244" ca="1">IF(INT(N$4/500*360)&gt;=$G244,I$5,NA())</f>
        <v>9.3000000000000007</v>
      </c>
      <c r="J244" s="7" t="e">
        <f t="array" aca="1" ref="J244" ca="1">IF(INT(O$4/500*360)&gt;=$G244,J$5,NA())</f>
        <v>#N/A</v>
      </c>
      <c r="K244" s="7" t="e">
        <f t="array" aca="1" ref="K244" ca="1">IF(INT(P$4/500*360)&gt;=$G244,K$5,NA())</f>
        <v>#N/A</v>
      </c>
      <c r="L244" s="7" t="e">
        <f t="array" aca="1" ref="L244" ca="1">IF(INT(Q$4/500*360)&gt;=$G244,L$5,NA())</f>
        <v>#N/A</v>
      </c>
      <c r="M244" s="7" t="e">
        <f t="shared" ca="1" si="28"/>
        <v>#N/A</v>
      </c>
      <c r="N244" s="7" t="e">
        <f t="shared" ca="1" si="28"/>
        <v>#N/A</v>
      </c>
      <c r="O244" s="7" t="e">
        <f t="shared" ca="1" si="28"/>
        <v>#N/A</v>
      </c>
      <c r="P244" s="7" t="e">
        <f t="shared" ca="1" si="28"/>
        <v>#N/A</v>
      </c>
      <c r="Q244" s="7" t="e">
        <f t="shared" ca="1" si="28"/>
        <v>#N/A</v>
      </c>
    </row>
    <row r="245" spans="7:17" ht="20.25" customHeight="1" x14ac:dyDescent="0.35">
      <c r="G245" s="7">
        <v>239</v>
      </c>
      <c r="H245" s="7">
        <f t="array" aca="1" ref="H245" ca="1">IF(INT(M$4/500*360)&gt;=$G245,H$5,NA())</f>
        <v>10</v>
      </c>
      <c r="I245" s="7">
        <f t="array" aca="1" ref="I245" ca="1">IF(INT(N$4/500*360)&gt;=$G245,I$5,NA())</f>
        <v>9.3000000000000007</v>
      </c>
      <c r="J245" s="7" t="e">
        <f t="array" aca="1" ref="J245" ca="1">IF(INT(O$4/500*360)&gt;=$G245,J$5,NA())</f>
        <v>#N/A</v>
      </c>
      <c r="K245" s="7" t="e">
        <f t="array" aca="1" ref="K245" ca="1">IF(INT(P$4/500*360)&gt;=$G245,K$5,NA())</f>
        <v>#N/A</v>
      </c>
      <c r="L245" s="7" t="e">
        <f t="array" aca="1" ref="L245" ca="1">IF(INT(Q$4/500*360)&gt;=$G245,L$5,NA())</f>
        <v>#N/A</v>
      </c>
      <c r="M245" s="7" t="e">
        <f t="shared" ca="1" si="28"/>
        <v>#N/A</v>
      </c>
      <c r="N245" s="7" t="e">
        <f t="shared" ca="1" si="28"/>
        <v>#N/A</v>
      </c>
      <c r="O245" s="7" t="e">
        <f t="shared" ca="1" si="28"/>
        <v>#N/A</v>
      </c>
      <c r="P245" s="7" t="e">
        <f t="shared" ca="1" si="28"/>
        <v>#N/A</v>
      </c>
      <c r="Q245" s="7" t="e">
        <f t="shared" ca="1" si="28"/>
        <v>#N/A</v>
      </c>
    </row>
    <row r="246" spans="7:17" ht="20.25" customHeight="1" x14ac:dyDescent="0.35">
      <c r="G246" s="7">
        <v>240</v>
      </c>
      <c r="H246" s="7">
        <f t="array" aca="1" ref="H246" ca="1">IF(INT(M$4/500*360)&gt;=$G246,H$5,NA())</f>
        <v>10</v>
      </c>
      <c r="I246" s="7">
        <f t="array" aca="1" ref="I246" ca="1">IF(INT(N$4/500*360)&gt;=$G246,I$5,NA())</f>
        <v>9.3000000000000007</v>
      </c>
      <c r="J246" s="7" t="e">
        <f t="array" aca="1" ref="J246" ca="1">IF(INT(O$4/500*360)&gt;=$G246,J$5,NA())</f>
        <v>#N/A</v>
      </c>
      <c r="K246" s="7" t="e">
        <f t="array" aca="1" ref="K246" ca="1">IF(INT(P$4/500*360)&gt;=$G246,K$5,NA())</f>
        <v>#N/A</v>
      </c>
      <c r="L246" s="7" t="e">
        <f t="array" aca="1" ref="L246" ca="1">IF(INT(Q$4/500*360)&gt;=$G246,L$5,NA())</f>
        <v>#N/A</v>
      </c>
      <c r="M246" s="7" t="e">
        <f t="shared" ca="1" si="28"/>
        <v>#N/A</v>
      </c>
      <c r="N246" s="7" t="e">
        <f t="shared" ca="1" si="28"/>
        <v>#N/A</v>
      </c>
      <c r="O246" s="7" t="e">
        <f t="shared" ca="1" si="28"/>
        <v>#N/A</v>
      </c>
      <c r="P246" s="7" t="e">
        <f t="shared" ca="1" si="28"/>
        <v>#N/A</v>
      </c>
      <c r="Q246" s="7" t="e">
        <f t="shared" ca="1" si="28"/>
        <v>#N/A</v>
      </c>
    </row>
    <row r="247" spans="7:17" ht="20.25" customHeight="1" x14ac:dyDescent="0.35">
      <c r="G247" s="7">
        <v>241</v>
      </c>
      <c r="H247" s="7">
        <f t="array" aca="1" ref="H247" ca="1">IF(INT(M$4/500*360)&gt;=$G247,H$5,NA())</f>
        <v>10</v>
      </c>
      <c r="I247" s="7">
        <f t="array" aca="1" ref="I247" ca="1">IF(INT(N$4/500*360)&gt;=$G247,I$5,NA())</f>
        <v>9.3000000000000007</v>
      </c>
      <c r="J247" s="7" t="e">
        <f t="array" aca="1" ref="J247" ca="1">IF(INT(O$4/500*360)&gt;=$G247,J$5,NA())</f>
        <v>#N/A</v>
      </c>
      <c r="K247" s="7" t="e">
        <f t="array" aca="1" ref="K247" ca="1">IF(INT(P$4/500*360)&gt;=$G247,K$5,NA())</f>
        <v>#N/A</v>
      </c>
      <c r="L247" s="7" t="e">
        <f t="array" aca="1" ref="L247" ca="1">IF(INT(Q$4/500*360)&gt;=$G247,L$5,NA())</f>
        <v>#N/A</v>
      </c>
      <c r="M247" s="7" t="e">
        <f t="shared" ref="M247:Q256" ca="1" si="29">IF(INT(M$4/500*360)=$G247,M$5,NA())</f>
        <v>#N/A</v>
      </c>
      <c r="N247" s="7" t="e">
        <f t="shared" ca="1" si="29"/>
        <v>#N/A</v>
      </c>
      <c r="O247" s="7" t="e">
        <f t="shared" ca="1" si="29"/>
        <v>#N/A</v>
      </c>
      <c r="P247" s="7" t="e">
        <f t="shared" ca="1" si="29"/>
        <v>#N/A</v>
      </c>
      <c r="Q247" s="7" t="e">
        <f t="shared" ca="1" si="29"/>
        <v>#N/A</v>
      </c>
    </row>
    <row r="248" spans="7:17" ht="20.25" customHeight="1" x14ac:dyDescent="0.35">
      <c r="G248" s="7">
        <v>242</v>
      </c>
      <c r="H248" s="7">
        <f t="array" aca="1" ref="H248" ca="1">IF(INT(M$4/500*360)&gt;=$G248,H$5,NA())</f>
        <v>10</v>
      </c>
      <c r="I248" s="7">
        <f t="array" aca="1" ref="I248" ca="1">IF(INT(N$4/500*360)&gt;=$G248,I$5,NA())</f>
        <v>9.3000000000000007</v>
      </c>
      <c r="J248" s="7" t="e">
        <f t="array" aca="1" ref="J248" ca="1">IF(INT(O$4/500*360)&gt;=$G248,J$5,NA())</f>
        <v>#N/A</v>
      </c>
      <c r="K248" s="7" t="e">
        <f t="array" aca="1" ref="K248" ca="1">IF(INT(P$4/500*360)&gt;=$G248,K$5,NA())</f>
        <v>#N/A</v>
      </c>
      <c r="L248" s="7" t="e">
        <f t="array" aca="1" ref="L248" ca="1">IF(INT(Q$4/500*360)&gt;=$G248,L$5,NA())</f>
        <v>#N/A</v>
      </c>
      <c r="M248" s="7" t="e">
        <f t="shared" ca="1" si="29"/>
        <v>#N/A</v>
      </c>
      <c r="N248" s="7" t="e">
        <f t="shared" ca="1" si="29"/>
        <v>#N/A</v>
      </c>
      <c r="O248" s="7" t="e">
        <f t="shared" ca="1" si="29"/>
        <v>#N/A</v>
      </c>
      <c r="P248" s="7" t="e">
        <f t="shared" ca="1" si="29"/>
        <v>#N/A</v>
      </c>
      <c r="Q248" s="7" t="e">
        <f t="shared" ca="1" si="29"/>
        <v>#N/A</v>
      </c>
    </row>
    <row r="249" spans="7:17" ht="20.25" customHeight="1" x14ac:dyDescent="0.35">
      <c r="G249" s="7">
        <v>243</v>
      </c>
      <c r="H249" s="7">
        <f t="array" aca="1" ref="H249" ca="1">IF(INT(M$4/500*360)&gt;=$G249,H$5,NA())</f>
        <v>10</v>
      </c>
      <c r="I249" s="7">
        <f t="array" aca="1" ref="I249" ca="1">IF(INT(N$4/500*360)&gt;=$G249,I$5,NA())</f>
        <v>9.3000000000000007</v>
      </c>
      <c r="J249" s="7" t="e">
        <f t="array" aca="1" ref="J249" ca="1">IF(INT(O$4/500*360)&gt;=$G249,J$5,NA())</f>
        <v>#N/A</v>
      </c>
      <c r="K249" s="7" t="e">
        <f t="array" aca="1" ref="K249" ca="1">IF(INT(P$4/500*360)&gt;=$G249,K$5,NA())</f>
        <v>#N/A</v>
      </c>
      <c r="L249" s="7" t="e">
        <f t="array" aca="1" ref="L249" ca="1">IF(INT(Q$4/500*360)&gt;=$G249,L$5,NA())</f>
        <v>#N/A</v>
      </c>
      <c r="M249" s="7" t="e">
        <f t="shared" ca="1" si="29"/>
        <v>#N/A</v>
      </c>
      <c r="N249" s="7" t="e">
        <f t="shared" ca="1" si="29"/>
        <v>#N/A</v>
      </c>
      <c r="O249" s="7" t="e">
        <f t="shared" ca="1" si="29"/>
        <v>#N/A</v>
      </c>
      <c r="P249" s="7" t="e">
        <f t="shared" ca="1" si="29"/>
        <v>#N/A</v>
      </c>
      <c r="Q249" s="7" t="e">
        <f t="shared" ca="1" si="29"/>
        <v>#N/A</v>
      </c>
    </row>
    <row r="250" spans="7:17" ht="20.25" customHeight="1" x14ac:dyDescent="0.35">
      <c r="G250" s="7">
        <v>244</v>
      </c>
      <c r="H250" s="7">
        <f t="array" aca="1" ref="H250" ca="1">IF(INT(M$4/500*360)&gt;=$G250,H$5,NA())</f>
        <v>10</v>
      </c>
      <c r="I250" s="7">
        <f t="array" aca="1" ref="I250" ca="1">IF(INT(N$4/500*360)&gt;=$G250,I$5,NA())</f>
        <v>9.3000000000000007</v>
      </c>
      <c r="J250" s="7" t="e">
        <f t="array" aca="1" ref="J250" ca="1">IF(INT(O$4/500*360)&gt;=$G250,J$5,NA())</f>
        <v>#N/A</v>
      </c>
      <c r="K250" s="7" t="e">
        <f t="array" aca="1" ref="K250" ca="1">IF(INT(P$4/500*360)&gt;=$G250,K$5,NA())</f>
        <v>#N/A</v>
      </c>
      <c r="L250" s="7" t="e">
        <f t="array" aca="1" ref="L250" ca="1">IF(INT(Q$4/500*360)&gt;=$G250,L$5,NA())</f>
        <v>#N/A</v>
      </c>
      <c r="M250" s="7" t="e">
        <f t="shared" ca="1" si="29"/>
        <v>#N/A</v>
      </c>
      <c r="N250" s="7" t="e">
        <f t="shared" ca="1" si="29"/>
        <v>#N/A</v>
      </c>
      <c r="O250" s="7" t="e">
        <f t="shared" ca="1" si="29"/>
        <v>#N/A</v>
      </c>
      <c r="P250" s="7" t="e">
        <f t="shared" ca="1" si="29"/>
        <v>#N/A</v>
      </c>
      <c r="Q250" s="7" t="e">
        <f t="shared" ca="1" si="29"/>
        <v>#N/A</v>
      </c>
    </row>
    <row r="251" spans="7:17" ht="20.25" customHeight="1" x14ac:dyDescent="0.35">
      <c r="G251" s="7">
        <v>245</v>
      </c>
      <c r="H251" s="7">
        <f t="array" aca="1" ref="H251" ca="1">IF(INT(M$4/500*360)&gt;=$G251,H$5,NA())</f>
        <v>10</v>
      </c>
      <c r="I251" s="7">
        <f t="array" aca="1" ref="I251" ca="1">IF(INT(N$4/500*360)&gt;=$G251,I$5,NA())</f>
        <v>9.3000000000000007</v>
      </c>
      <c r="J251" s="7" t="e">
        <f t="array" aca="1" ref="J251" ca="1">IF(INT(O$4/500*360)&gt;=$G251,J$5,NA())</f>
        <v>#N/A</v>
      </c>
      <c r="K251" s="7" t="e">
        <f t="array" aca="1" ref="K251" ca="1">IF(INT(P$4/500*360)&gt;=$G251,K$5,NA())</f>
        <v>#N/A</v>
      </c>
      <c r="L251" s="7" t="e">
        <f t="array" aca="1" ref="L251" ca="1">IF(INT(Q$4/500*360)&gt;=$G251,L$5,NA())</f>
        <v>#N/A</v>
      </c>
      <c r="M251" s="7" t="e">
        <f t="shared" ca="1" si="29"/>
        <v>#N/A</v>
      </c>
      <c r="N251" s="7" t="e">
        <f t="shared" ca="1" si="29"/>
        <v>#N/A</v>
      </c>
      <c r="O251" s="7" t="e">
        <f t="shared" ca="1" si="29"/>
        <v>#N/A</v>
      </c>
      <c r="P251" s="7" t="e">
        <f t="shared" ca="1" si="29"/>
        <v>#N/A</v>
      </c>
      <c r="Q251" s="7" t="e">
        <f t="shared" ca="1" si="29"/>
        <v>#N/A</v>
      </c>
    </row>
    <row r="252" spans="7:17" ht="20.25" customHeight="1" x14ac:dyDescent="0.35">
      <c r="G252" s="7">
        <v>246</v>
      </c>
      <c r="H252" s="7">
        <f t="array" aca="1" ref="H252" ca="1">IF(INT(M$4/500*360)&gt;=$G252,H$5,NA())</f>
        <v>10</v>
      </c>
      <c r="I252" s="7">
        <f t="array" aca="1" ref="I252" ca="1">IF(INT(N$4/500*360)&gt;=$G252,I$5,NA())</f>
        <v>9.3000000000000007</v>
      </c>
      <c r="J252" s="7" t="e">
        <f t="array" aca="1" ref="J252" ca="1">IF(INT(O$4/500*360)&gt;=$G252,J$5,NA())</f>
        <v>#N/A</v>
      </c>
      <c r="K252" s="7" t="e">
        <f t="array" aca="1" ref="K252" ca="1">IF(INT(P$4/500*360)&gt;=$G252,K$5,NA())</f>
        <v>#N/A</v>
      </c>
      <c r="L252" s="7" t="e">
        <f t="array" aca="1" ref="L252" ca="1">IF(INT(Q$4/500*360)&gt;=$G252,L$5,NA())</f>
        <v>#N/A</v>
      </c>
      <c r="M252" s="7" t="e">
        <f t="shared" ca="1" si="29"/>
        <v>#N/A</v>
      </c>
      <c r="N252" s="7" t="e">
        <f t="shared" ca="1" si="29"/>
        <v>#N/A</v>
      </c>
      <c r="O252" s="7" t="e">
        <f t="shared" ca="1" si="29"/>
        <v>#N/A</v>
      </c>
      <c r="P252" s="7" t="e">
        <f t="shared" ca="1" si="29"/>
        <v>#N/A</v>
      </c>
      <c r="Q252" s="7" t="e">
        <f t="shared" ca="1" si="29"/>
        <v>#N/A</v>
      </c>
    </row>
    <row r="253" spans="7:17" ht="20.25" customHeight="1" x14ac:dyDescent="0.35">
      <c r="G253" s="7">
        <v>247</v>
      </c>
      <c r="H253" s="7">
        <f t="array" aca="1" ref="H253" ca="1">IF(INT(M$4/500*360)&gt;=$G253,H$5,NA())</f>
        <v>10</v>
      </c>
      <c r="I253" s="7">
        <f t="array" aca="1" ref="I253" ca="1">IF(INT(N$4/500*360)&gt;=$G253,I$5,NA())</f>
        <v>9.3000000000000007</v>
      </c>
      <c r="J253" s="7" t="e">
        <f t="array" aca="1" ref="J253" ca="1">IF(INT(O$4/500*360)&gt;=$G253,J$5,NA())</f>
        <v>#N/A</v>
      </c>
      <c r="K253" s="7" t="e">
        <f t="array" aca="1" ref="K253" ca="1">IF(INT(P$4/500*360)&gt;=$G253,K$5,NA())</f>
        <v>#N/A</v>
      </c>
      <c r="L253" s="7" t="e">
        <f t="array" aca="1" ref="L253" ca="1">IF(INT(Q$4/500*360)&gt;=$G253,L$5,NA())</f>
        <v>#N/A</v>
      </c>
      <c r="M253" s="7" t="e">
        <f t="shared" ca="1" si="29"/>
        <v>#N/A</v>
      </c>
      <c r="N253" s="7" t="e">
        <f t="shared" ca="1" si="29"/>
        <v>#N/A</v>
      </c>
      <c r="O253" s="7" t="e">
        <f t="shared" ca="1" si="29"/>
        <v>#N/A</v>
      </c>
      <c r="P253" s="7" t="e">
        <f t="shared" ca="1" si="29"/>
        <v>#N/A</v>
      </c>
      <c r="Q253" s="7" t="e">
        <f t="shared" ca="1" si="29"/>
        <v>#N/A</v>
      </c>
    </row>
    <row r="254" spans="7:17" ht="20.25" customHeight="1" x14ac:dyDescent="0.35">
      <c r="G254" s="7">
        <v>248</v>
      </c>
      <c r="H254" s="7">
        <f t="array" aca="1" ref="H254" ca="1">IF(INT(M$4/500*360)&gt;=$G254,H$5,NA())</f>
        <v>10</v>
      </c>
      <c r="I254" s="7">
        <f t="array" aca="1" ref="I254" ca="1">IF(INT(N$4/500*360)&gt;=$G254,I$5,NA())</f>
        <v>9.3000000000000007</v>
      </c>
      <c r="J254" s="7" t="e">
        <f t="array" aca="1" ref="J254" ca="1">IF(INT(O$4/500*360)&gt;=$G254,J$5,NA())</f>
        <v>#N/A</v>
      </c>
      <c r="K254" s="7" t="e">
        <f t="array" aca="1" ref="K254" ca="1">IF(INT(P$4/500*360)&gt;=$G254,K$5,NA())</f>
        <v>#N/A</v>
      </c>
      <c r="L254" s="7" t="e">
        <f t="array" aca="1" ref="L254" ca="1">IF(INT(Q$4/500*360)&gt;=$G254,L$5,NA())</f>
        <v>#N/A</v>
      </c>
      <c r="M254" s="7" t="e">
        <f t="shared" ca="1" si="29"/>
        <v>#N/A</v>
      </c>
      <c r="N254" s="7" t="e">
        <f t="shared" ca="1" si="29"/>
        <v>#N/A</v>
      </c>
      <c r="O254" s="7" t="e">
        <f t="shared" ca="1" si="29"/>
        <v>#N/A</v>
      </c>
      <c r="P254" s="7" t="e">
        <f t="shared" ca="1" si="29"/>
        <v>#N/A</v>
      </c>
      <c r="Q254" s="7" t="e">
        <f t="shared" ca="1" si="29"/>
        <v>#N/A</v>
      </c>
    </row>
    <row r="255" spans="7:17" ht="20.25" customHeight="1" x14ac:dyDescent="0.35">
      <c r="G255" s="7">
        <v>249</v>
      </c>
      <c r="H255" s="7">
        <f t="array" aca="1" ref="H255" ca="1">IF(INT(M$4/500*360)&gt;=$G255,H$5,NA())</f>
        <v>10</v>
      </c>
      <c r="I255" s="7">
        <f t="array" aca="1" ref="I255" ca="1">IF(INT(N$4/500*360)&gt;=$G255,I$5,NA())</f>
        <v>9.3000000000000007</v>
      </c>
      <c r="J255" s="7" t="e">
        <f t="array" aca="1" ref="J255" ca="1">IF(INT(O$4/500*360)&gt;=$G255,J$5,NA())</f>
        <v>#N/A</v>
      </c>
      <c r="K255" s="7" t="e">
        <f t="array" aca="1" ref="K255" ca="1">IF(INT(P$4/500*360)&gt;=$G255,K$5,NA())</f>
        <v>#N/A</v>
      </c>
      <c r="L255" s="7" t="e">
        <f t="array" aca="1" ref="L255" ca="1">IF(INT(Q$4/500*360)&gt;=$G255,L$5,NA())</f>
        <v>#N/A</v>
      </c>
      <c r="M255" s="7" t="e">
        <f t="shared" ca="1" si="29"/>
        <v>#N/A</v>
      </c>
      <c r="N255" s="7" t="e">
        <f t="shared" ca="1" si="29"/>
        <v>#N/A</v>
      </c>
      <c r="O255" s="7" t="e">
        <f t="shared" ca="1" si="29"/>
        <v>#N/A</v>
      </c>
      <c r="P255" s="7" t="e">
        <f t="shared" ca="1" si="29"/>
        <v>#N/A</v>
      </c>
      <c r="Q255" s="7" t="e">
        <f t="shared" ca="1" si="29"/>
        <v>#N/A</v>
      </c>
    </row>
    <row r="256" spans="7:17" ht="20.25" customHeight="1" x14ac:dyDescent="0.35">
      <c r="G256" s="7">
        <v>250</v>
      </c>
      <c r="H256" s="7">
        <f t="array" aca="1" ref="H256" ca="1">IF(INT(M$4/500*360)&gt;=$G256,H$5,NA())</f>
        <v>10</v>
      </c>
      <c r="I256" s="7">
        <f t="array" aca="1" ref="I256" ca="1">IF(INT(N$4/500*360)&gt;=$G256,I$5,NA())</f>
        <v>9.3000000000000007</v>
      </c>
      <c r="J256" s="7" t="e">
        <f t="array" aca="1" ref="J256" ca="1">IF(INT(O$4/500*360)&gt;=$G256,J$5,NA())</f>
        <v>#N/A</v>
      </c>
      <c r="K256" s="7" t="e">
        <f t="array" aca="1" ref="K256" ca="1">IF(INT(P$4/500*360)&gt;=$G256,K$5,NA())</f>
        <v>#N/A</v>
      </c>
      <c r="L256" s="7" t="e">
        <f t="array" aca="1" ref="L256" ca="1">IF(INT(Q$4/500*360)&gt;=$G256,L$5,NA())</f>
        <v>#N/A</v>
      </c>
      <c r="M256" s="7" t="e">
        <f t="shared" ca="1" si="29"/>
        <v>#N/A</v>
      </c>
      <c r="N256" s="7" t="e">
        <f t="shared" ca="1" si="29"/>
        <v>#N/A</v>
      </c>
      <c r="O256" s="7" t="e">
        <f t="shared" ca="1" si="29"/>
        <v>#N/A</v>
      </c>
      <c r="P256" s="7" t="e">
        <f t="shared" ca="1" si="29"/>
        <v>#N/A</v>
      </c>
      <c r="Q256" s="7" t="e">
        <f t="shared" ca="1" si="29"/>
        <v>#N/A</v>
      </c>
    </row>
    <row r="257" spans="7:17" ht="20.25" customHeight="1" x14ac:dyDescent="0.35">
      <c r="G257" s="7">
        <v>251</v>
      </c>
      <c r="H257" s="7">
        <f t="array" aca="1" ref="H257" ca="1">IF(INT(M$4/500*360)&gt;=$G257,H$5,NA())</f>
        <v>10</v>
      </c>
      <c r="I257" s="7">
        <f t="array" aca="1" ref="I257" ca="1">IF(INT(N$4/500*360)&gt;=$G257,I$5,NA())</f>
        <v>9.3000000000000007</v>
      </c>
      <c r="J257" s="7" t="e">
        <f t="array" aca="1" ref="J257" ca="1">IF(INT(O$4/500*360)&gt;=$G257,J$5,NA())</f>
        <v>#N/A</v>
      </c>
      <c r="K257" s="7" t="e">
        <f t="array" aca="1" ref="K257" ca="1">IF(INT(P$4/500*360)&gt;=$G257,K$5,NA())</f>
        <v>#N/A</v>
      </c>
      <c r="L257" s="7" t="e">
        <f t="array" aca="1" ref="L257" ca="1">IF(INT(Q$4/500*360)&gt;=$G257,L$5,NA())</f>
        <v>#N/A</v>
      </c>
      <c r="M257" s="7" t="e">
        <f t="shared" ref="M257:Q266" ca="1" si="30">IF(INT(M$4/500*360)=$G257,M$5,NA())</f>
        <v>#N/A</v>
      </c>
      <c r="N257" s="7" t="e">
        <f t="shared" ca="1" si="30"/>
        <v>#N/A</v>
      </c>
      <c r="O257" s="7" t="e">
        <f t="shared" ca="1" si="30"/>
        <v>#N/A</v>
      </c>
      <c r="P257" s="7" t="e">
        <f t="shared" ca="1" si="30"/>
        <v>#N/A</v>
      </c>
      <c r="Q257" s="7" t="e">
        <f t="shared" ca="1" si="30"/>
        <v>#N/A</v>
      </c>
    </row>
    <row r="258" spans="7:17" ht="20.25" customHeight="1" x14ac:dyDescent="0.35">
      <c r="G258" s="7">
        <v>252</v>
      </c>
      <c r="H258" s="7">
        <f t="array" aca="1" ref="H258" ca="1">IF(INT(M$4/500*360)&gt;=$G258,H$5,NA())</f>
        <v>10</v>
      </c>
      <c r="I258" s="7">
        <f t="array" aca="1" ref="I258" ca="1">IF(INT(N$4/500*360)&gt;=$G258,I$5,NA())</f>
        <v>9.3000000000000007</v>
      </c>
      <c r="J258" s="7" t="e">
        <f t="array" aca="1" ref="J258" ca="1">IF(INT(O$4/500*360)&gt;=$G258,J$5,NA())</f>
        <v>#N/A</v>
      </c>
      <c r="K258" s="7" t="e">
        <f t="array" aca="1" ref="K258" ca="1">IF(INT(P$4/500*360)&gt;=$G258,K$5,NA())</f>
        <v>#N/A</v>
      </c>
      <c r="L258" s="7" t="e">
        <f t="array" aca="1" ref="L258" ca="1">IF(INT(Q$4/500*360)&gt;=$G258,L$5,NA())</f>
        <v>#N/A</v>
      </c>
      <c r="M258" s="7" t="e">
        <f t="shared" ca="1" si="30"/>
        <v>#N/A</v>
      </c>
      <c r="N258" s="7" t="e">
        <f t="shared" ca="1" si="30"/>
        <v>#N/A</v>
      </c>
      <c r="O258" s="7" t="e">
        <f t="shared" ca="1" si="30"/>
        <v>#N/A</v>
      </c>
      <c r="P258" s="7" t="e">
        <f t="shared" ca="1" si="30"/>
        <v>#N/A</v>
      </c>
      <c r="Q258" s="7" t="e">
        <f t="shared" ca="1" si="30"/>
        <v>#N/A</v>
      </c>
    </row>
    <row r="259" spans="7:17" ht="20.25" customHeight="1" x14ac:dyDescent="0.35">
      <c r="G259" s="7">
        <v>253</v>
      </c>
      <c r="H259" s="7">
        <f t="array" aca="1" ref="H259" ca="1">IF(INT(M$4/500*360)&gt;=$G259,H$5,NA())</f>
        <v>10</v>
      </c>
      <c r="I259" s="7">
        <f t="array" aca="1" ref="I259" ca="1">IF(INT(N$4/500*360)&gt;=$G259,I$5,NA())</f>
        <v>9.3000000000000007</v>
      </c>
      <c r="J259" s="7" t="e">
        <f t="array" aca="1" ref="J259" ca="1">IF(INT(O$4/500*360)&gt;=$G259,J$5,NA())</f>
        <v>#N/A</v>
      </c>
      <c r="K259" s="7" t="e">
        <f t="array" aca="1" ref="K259" ca="1">IF(INT(P$4/500*360)&gt;=$G259,K$5,NA())</f>
        <v>#N/A</v>
      </c>
      <c r="L259" s="7" t="e">
        <f t="array" aca="1" ref="L259" ca="1">IF(INT(Q$4/500*360)&gt;=$G259,L$5,NA())</f>
        <v>#N/A</v>
      </c>
      <c r="M259" s="7" t="e">
        <f t="shared" ca="1" si="30"/>
        <v>#N/A</v>
      </c>
      <c r="N259" s="7" t="e">
        <f t="shared" ca="1" si="30"/>
        <v>#N/A</v>
      </c>
      <c r="O259" s="7" t="e">
        <f t="shared" ca="1" si="30"/>
        <v>#N/A</v>
      </c>
      <c r="P259" s="7" t="e">
        <f t="shared" ca="1" si="30"/>
        <v>#N/A</v>
      </c>
      <c r="Q259" s="7" t="e">
        <f t="shared" ca="1" si="30"/>
        <v>#N/A</v>
      </c>
    </row>
    <row r="260" spans="7:17" ht="20.25" customHeight="1" x14ac:dyDescent="0.35">
      <c r="G260" s="7">
        <v>254</v>
      </c>
      <c r="H260" s="7">
        <f t="array" aca="1" ref="H260" ca="1">IF(INT(M$4/500*360)&gt;=$G260,H$5,NA())</f>
        <v>10</v>
      </c>
      <c r="I260" s="7">
        <f t="array" aca="1" ref="I260" ca="1">IF(INT(N$4/500*360)&gt;=$G260,I$5,NA())</f>
        <v>9.3000000000000007</v>
      </c>
      <c r="J260" s="7" t="e">
        <f t="array" aca="1" ref="J260" ca="1">IF(INT(O$4/500*360)&gt;=$G260,J$5,NA())</f>
        <v>#N/A</v>
      </c>
      <c r="K260" s="7" t="e">
        <f t="array" aca="1" ref="K260" ca="1">IF(INT(P$4/500*360)&gt;=$G260,K$5,NA())</f>
        <v>#N/A</v>
      </c>
      <c r="L260" s="7" t="e">
        <f t="array" aca="1" ref="L260" ca="1">IF(INT(Q$4/500*360)&gt;=$G260,L$5,NA())</f>
        <v>#N/A</v>
      </c>
      <c r="M260" s="7" t="e">
        <f t="shared" ca="1" si="30"/>
        <v>#N/A</v>
      </c>
      <c r="N260" s="7" t="e">
        <f t="shared" ca="1" si="30"/>
        <v>#N/A</v>
      </c>
      <c r="O260" s="7" t="e">
        <f t="shared" ca="1" si="30"/>
        <v>#N/A</v>
      </c>
      <c r="P260" s="7" t="e">
        <f t="shared" ca="1" si="30"/>
        <v>#N/A</v>
      </c>
      <c r="Q260" s="7" t="e">
        <f t="shared" ca="1" si="30"/>
        <v>#N/A</v>
      </c>
    </row>
    <row r="261" spans="7:17" ht="20.25" customHeight="1" x14ac:dyDescent="0.35">
      <c r="G261" s="7">
        <v>255</v>
      </c>
      <c r="H261" s="7">
        <f t="array" aca="1" ref="H261" ca="1">IF(INT(M$4/500*360)&gt;=$G261,H$5,NA())</f>
        <v>10</v>
      </c>
      <c r="I261" s="7">
        <f t="array" aca="1" ref="I261" ca="1">IF(INT(N$4/500*360)&gt;=$G261,I$5,NA())</f>
        <v>9.3000000000000007</v>
      </c>
      <c r="J261" s="7" t="e">
        <f t="array" aca="1" ref="J261" ca="1">IF(INT(O$4/500*360)&gt;=$G261,J$5,NA())</f>
        <v>#N/A</v>
      </c>
      <c r="K261" s="7" t="e">
        <f t="array" aca="1" ref="K261" ca="1">IF(INT(P$4/500*360)&gt;=$G261,K$5,NA())</f>
        <v>#N/A</v>
      </c>
      <c r="L261" s="7" t="e">
        <f t="array" aca="1" ref="L261" ca="1">IF(INT(Q$4/500*360)&gt;=$G261,L$5,NA())</f>
        <v>#N/A</v>
      </c>
      <c r="M261" s="7" t="e">
        <f t="shared" ca="1" si="30"/>
        <v>#N/A</v>
      </c>
      <c r="N261" s="7" t="e">
        <f t="shared" ca="1" si="30"/>
        <v>#N/A</v>
      </c>
      <c r="O261" s="7" t="e">
        <f t="shared" ca="1" si="30"/>
        <v>#N/A</v>
      </c>
      <c r="P261" s="7" t="e">
        <f t="shared" ca="1" si="30"/>
        <v>#N/A</v>
      </c>
      <c r="Q261" s="7" t="e">
        <f t="shared" ca="1" si="30"/>
        <v>#N/A</v>
      </c>
    </row>
    <row r="262" spans="7:17" ht="20.25" customHeight="1" x14ac:dyDescent="0.35">
      <c r="G262" s="7">
        <v>256</v>
      </c>
      <c r="H262" s="7">
        <f t="array" aca="1" ref="H262" ca="1">IF(INT(M$4/500*360)&gt;=$G262,H$5,NA())</f>
        <v>10</v>
      </c>
      <c r="I262" s="7">
        <f t="array" aca="1" ref="I262" ca="1">IF(INT(N$4/500*360)&gt;=$G262,I$5,NA())</f>
        <v>9.3000000000000007</v>
      </c>
      <c r="J262" s="7" t="e">
        <f t="array" aca="1" ref="J262" ca="1">IF(INT(O$4/500*360)&gt;=$G262,J$5,NA())</f>
        <v>#N/A</v>
      </c>
      <c r="K262" s="7" t="e">
        <f t="array" aca="1" ref="K262" ca="1">IF(INT(P$4/500*360)&gt;=$G262,K$5,NA())</f>
        <v>#N/A</v>
      </c>
      <c r="L262" s="7" t="e">
        <f t="array" aca="1" ref="L262" ca="1">IF(INT(Q$4/500*360)&gt;=$G262,L$5,NA())</f>
        <v>#N/A</v>
      </c>
      <c r="M262" s="7" t="e">
        <f t="shared" ca="1" si="30"/>
        <v>#N/A</v>
      </c>
      <c r="N262" s="7" t="e">
        <f t="shared" ca="1" si="30"/>
        <v>#N/A</v>
      </c>
      <c r="O262" s="7" t="e">
        <f t="shared" ca="1" si="30"/>
        <v>#N/A</v>
      </c>
      <c r="P262" s="7" t="e">
        <f t="shared" ca="1" si="30"/>
        <v>#N/A</v>
      </c>
      <c r="Q262" s="7" t="e">
        <f t="shared" ca="1" si="30"/>
        <v>#N/A</v>
      </c>
    </row>
    <row r="263" spans="7:17" ht="20.25" customHeight="1" x14ac:dyDescent="0.35">
      <c r="G263" s="7">
        <v>257</v>
      </c>
      <c r="H263" s="7">
        <f t="array" aca="1" ref="H263" ca="1">IF(INT(M$4/500*360)&gt;=$G263,H$5,NA())</f>
        <v>10</v>
      </c>
      <c r="I263" s="7">
        <f t="array" aca="1" ref="I263" ca="1">IF(INT(N$4/500*360)&gt;=$G263,I$5,NA())</f>
        <v>9.3000000000000007</v>
      </c>
      <c r="J263" s="7" t="e">
        <f t="array" aca="1" ref="J263" ca="1">IF(INT(O$4/500*360)&gt;=$G263,J$5,NA())</f>
        <v>#N/A</v>
      </c>
      <c r="K263" s="7" t="e">
        <f t="array" aca="1" ref="K263" ca="1">IF(INT(P$4/500*360)&gt;=$G263,K$5,NA())</f>
        <v>#N/A</v>
      </c>
      <c r="L263" s="7" t="e">
        <f t="array" aca="1" ref="L263" ca="1">IF(INT(Q$4/500*360)&gt;=$G263,L$5,NA())</f>
        <v>#N/A</v>
      </c>
      <c r="M263" s="7" t="e">
        <f t="shared" ca="1" si="30"/>
        <v>#N/A</v>
      </c>
      <c r="N263" s="7" t="e">
        <f t="shared" ca="1" si="30"/>
        <v>#N/A</v>
      </c>
      <c r="O263" s="7" t="e">
        <f t="shared" ca="1" si="30"/>
        <v>#N/A</v>
      </c>
      <c r="P263" s="7" t="e">
        <f t="shared" ca="1" si="30"/>
        <v>#N/A</v>
      </c>
      <c r="Q263" s="7" t="e">
        <f t="shared" ca="1" si="30"/>
        <v>#N/A</v>
      </c>
    </row>
    <row r="264" spans="7:17" ht="20.25" customHeight="1" x14ac:dyDescent="0.35">
      <c r="G264" s="7">
        <v>258</v>
      </c>
      <c r="H264" s="7">
        <f t="array" aca="1" ref="H264" ca="1">IF(INT(M$4/500*360)&gt;=$G264,H$5,NA())</f>
        <v>10</v>
      </c>
      <c r="I264" s="7">
        <f t="array" aca="1" ref="I264" ca="1">IF(INT(N$4/500*360)&gt;=$G264,I$5,NA())</f>
        <v>9.3000000000000007</v>
      </c>
      <c r="J264" s="7" t="e">
        <f t="array" aca="1" ref="J264" ca="1">IF(INT(O$4/500*360)&gt;=$G264,J$5,NA())</f>
        <v>#N/A</v>
      </c>
      <c r="K264" s="7" t="e">
        <f t="array" aca="1" ref="K264" ca="1">IF(INT(P$4/500*360)&gt;=$G264,K$5,NA())</f>
        <v>#N/A</v>
      </c>
      <c r="L264" s="7" t="e">
        <f t="array" aca="1" ref="L264" ca="1">IF(INT(Q$4/500*360)&gt;=$G264,L$5,NA())</f>
        <v>#N/A</v>
      </c>
      <c r="M264" s="7" t="e">
        <f t="shared" ca="1" si="30"/>
        <v>#N/A</v>
      </c>
      <c r="N264" s="7" t="e">
        <f t="shared" ca="1" si="30"/>
        <v>#N/A</v>
      </c>
      <c r="O264" s="7" t="e">
        <f t="shared" ca="1" si="30"/>
        <v>#N/A</v>
      </c>
      <c r="P264" s="7" t="e">
        <f t="shared" ca="1" si="30"/>
        <v>#N/A</v>
      </c>
      <c r="Q264" s="7" t="e">
        <f t="shared" ca="1" si="30"/>
        <v>#N/A</v>
      </c>
    </row>
    <row r="265" spans="7:17" ht="20.25" customHeight="1" x14ac:dyDescent="0.35">
      <c r="G265" s="7">
        <v>259</v>
      </c>
      <c r="H265" s="7">
        <f t="array" aca="1" ref="H265" ca="1">IF(INT(M$4/500*360)&gt;=$G265,H$5,NA())</f>
        <v>10</v>
      </c>
      <c r="I265" s="7">
        <f t="array" aca="1" ref="I265" ca="1">IF(INT(N$4/500*360)&gt;=$G265,I$5,NA())</f>
        <v>9.3000000000000007</v>
      </c>
      <c r="J265" s="7" t="e">
        <f t="array" aca="1" ref="J265" ca="1">IF(INT(O$4/500*360)&gt;=$G265,J$5,NA())</f>
        <v>#N/A</v>
      </c>
      <c r="K265" s="7" t="e">
        <f t="array" aca="1" ref="K265" ca="1">IF(INT(P$4/500*360)&gt;=$G265,K$5,NA())</f>
        <v>#N/A</v>
      </c>
      <c r="L265" s="7" t="e">
        <f t="array" aca="1" ref="L265" ca="1">IF(INT(Q$4/500*360)&gt;=$G265,L$5,NA())</f>
        <v>#N/A</v>
      </c>
      <c r="M265" s="7" t="e">
        <f t="shared" ca="1" si="30"/>
        <v>#N/A</v>
      </c>
      <c r="N265" s="7" t="e">
        <f t="shared" ca="1" si="30"/>
        <v>#N/A</v>
      </c>
      <c r="O265" s="7" t="e">
        <f t="shared" ca="1" si="30"/>
        <v>#N/A</v>
      </c>
      <c r="P265" s="7" t="e">
        <f t="shared" ca="1" si="30"/>
        <v>#N/A</v>
      </c>
      <c r="Q265" s="7" t="e">
        <f t="shared" ca="1" si="30"/>
        <v>#N/A</v>
      </c>
    </row>
    <row r="266" spans="7:17" ht="20.25" customHeight="1" x14ac:dyDescent="0.35">
      <c r="G266" s="7">
        <v>260</v>
      </c>
      <c r="H266" s="7">
        <f t="array" aca="1" ref="H266" ca="1">IF(INT(M$4/500*360)&gt;=$G266,H$5,NA())</f>
        <v>10</v>
      </c>
      <c r="I266" s="7">
        <f t="array" aca="1" ref="I266" ca="1">IF(INT(N$4/500*360)&gt;=$G266,I$5,NA())</f>
        <v>9.3000000000000007</v>
      </c>
      <c r="J266" s="7" t="e">
        <f t="array" aca="1" ref="J266" ca="1">IF(INT(O$4/500*360)&gt;=$G266,J$5,NA())</f>
        <v>#N/A</v>
      </c>
      <c r="K266" s="7" t="e">
        <f t="array" aca="1" ref="K266" ca="1">IF(INT(P$4/500*360)&gt;=$G266,K$5,NA())</f>
        <v>#N/A</v>
      </c>
      <c r="L266" s="7" t="e">
        <f t="array" aca="1" ref="L266" ca="1">IF(INT(Q$4/500*360)&gt;=$G266,L$5,NA())</f>
        <v>#N/A</v>
      </c>
      <c r="M266" s="7" t="e">
        <f t="shared" ca="1" si="30"/>
        <v>#N/A</v>
      </c>
      <c r="N266" s="7" t="e">
        <f t="shared" ca="1" si="30"/>
        <v>#N/A</v>
      </c>
      <c r="O266" s="7" t="e">
        <f t="shared" ca="1" si="30"/>
        <v>#N/A</v>
      </c>
      <c r="P266" s="7" t="e">
        <f t="shared" ca="1" si="30"/>
        <v>#N/A</v>
      </c>
      <c r="Q266" s="7" t="e">
        <f t="shared" ca="1" si="30"/>
        <v>#N/A</v>
      </c>
    </row>
    <row r="267" spans="7:17" ht="20.25" customHeight="1" x14ac:dyDescent="0.35">
      <c r="G267" s="7">
        <v>261</v>
      </c>
      <c r="H267" s="7">
        <f t="array" aca="1" ref="H267" ca="1">IF(INT(M$4/500*360)&gt;=$G267,H$5,NA())</f>
        <v>10</v>
      </c>
      <c r="I267" s="7">
        <f t="array" aca="1" ref="I267" ca="1">IF(INT(N$4/500*360)&gt;=$G267,I$5,NA())</f>
        <v>9.3000000000000007</v>
      </c>
      <c r="J267" s="7" t="e">
        <f t="array" aca="1" ref="J267" ca="1">IF(INT(O$4/500*360)&gt;=$G267,J$5,NA())</f>
        <v>#N/A</v>
      </c>
      <c r="K267" s="7" t="e">
        <f t="array" aca="1" ref="K267" ca="1">IF(INT(P$4/500*360)&gt;=$G267,K$5,NA())</f>
        <v>#N/A</v>
      </c>
      <c r="L267" s="7" t="e">
        <f t="array" aca="1" ref="L267" ca="1">IF(INT(Q$4/500*360)&gt;=$G267,L$5,NA())</f>
        <v>#N/A</v>
      </c>
      <c r="M267" s="7" t="e">
        <f t="shared" ref="M267:Q276" ca="1" si="31">IF(INT(M$4/500*360)=$G267,M$5,NA())</f>
        <v>#N/A</v>
      </c>
      <c r="N267" s="7" t="e">
        <f t="shared" ca="1" si="31"/>
        <v>#N/A</v>
      </c>
      <c r="O267" s="7" t="e">
        <f t="shared" ca="1" si="31"/>
        <v>#N/A</v>
      </c>
      <c r="P267" s="7" t="e">
        <f t="shared" ca="1" si="31"/>
        <v>#N/A</v>
      </c>
      <c r="Q267" s="7" t="e">
        <f t="shared" ca="1" si="31"/>
        <v>#N/A</v>
      </c>
    </row>
    <row r="268" spans="7:17" ht="20.25" customHeight="1" x14ac:dyDescent="0.35">
      <c r="G268" s="7">
        <v>262</v>
      </c>
      <c r="H268" s="7">
        <f t="array" aca="1" ref="H268" ca="1">IF(INT(M$4/500*360)&gt;=$G268,H$5,NA())</f>
        <v>10</v>
      </c>
      <c r="I268" s="7">
        <f t="array" aca="1" ref="I268" ca="1">IF(INT(N$4/500*360)&gt;=$G268,I$5,NA())</f>
        <v>9.3000000000000007</v>
      </c>
      <c r="J268" s="7" t="e">
        <f t="array" aca="1" ref="J268" ca="1">IF(INT(O$4/500*360)&gt;=$G268,J$5,NA())</f>
        <v>#N/A</v>
      </c>
      <c r="K268" s="7" t="e">
        <f t="array" aca="1" ref="K268" ca="1">IF(INT(P$4/500*360)&gt;=$G268,K$5,NA())</f>
        <v>#N/A</v>
      </c>
      <c r="L268" s="7" t="e">
        <f t="array" aca="1" ref="L268" ca="1">IF(INT(Q$4/500*360)&gt;=$G268,L$5,NA())</f>
        <v>#N/A</v>
      </c>
      <c r="M268" s="7" t="e">
        <f t="shared" ca="1" si="31"/>
        <v>#N/A</v>
      </c>
      <c r="N268" s="7" t="e">
        <f t="shared" ca="1" si="31"/>
        <v>#N/A</v>
      </c>
      <c r="O268" s="7" t="e">
        <f t="shared" ca="1" si="31"/>
        <v>#N/A</v>
      </c>
      <c r="P268" s="7" t="e">
        <f t="shared" ca="1" si="31"/>
        <v>#N/A</v>
      </c>
      <c r="Q268" s="7" t="e">
        <f t="shared" ca="1" si="31"/>
        <v>#N/A</v>
      </c>
    </row>
    <row r="269" spans="7:17" ht="20.25" customHeight="1" x14ac:dyDescent="0.35">
      <c r="G269" s="7">
        <v>263</v>
      </c>
      <c r="H269" s="7">
        <f t="array" aca="1" ref="H269" ca="1">IF(INT(M$4/500*360)&gt;=$G269,H$5,NA())</f>
        <v>10</v>
      </c>
      <c r="I269" s="7">
        <f t="array" aca="1" ref="I269" ca="1">IF(INT(N$4/500*360)&gt;=$G269,I$5,NA())</f>
        <v>9.3000000000000007</v>
      </c>
      <c r="J269" s="7" t="e">
        <f t="array" aca="1" ref="J269" ca="1">IF(INT(O$4/500*360)&gt;=$G269,J$5,NA())</f>
        <v>#N/A</v>
      </c>
      <c r="K269" s="7" t="e">
        <f t="array" aca="1" ref="K269" ca="1">IF(INT(P$4/500*360)&gt;=$G269,K$5,NA())</f>
        <v>#N/A</v>
      </c>
      <c r="L269" s="7" t="e">
        <f t="array" aca="1" ref="L269" ca="1">IF(INT(Q$4/500*360)&gt;=$G269,L$5,NA())</f>
        <v>#N/A</v>
      </c>
      <c r="M269" s="7" t="e">
        <f t="shared" ca="1" si="31"/>
        <v>#N/A</v>
      </c>
      <c r="N269" s="7" t="e">
        <f t="shared" ca="1" si="31"/>
        <v>#N/A</v>
      </c>
      <c r="O269" s="7" t="e">
        <f t="shared" ca="1" si="31"/>
        <v>#N/A</v>
      </c>
      <c r="P269" s="7" t="e">
        <f t="shared" ca="1" si="31"/>
        <v>#N/A</v>
      </c>
      <c r="Q269" s="7" t="e">
        <f t="shared" ca="1" si="31"/>
        <v>#N/A</v>
      </c>
    </row>
    <row r="270" spans="7:17" ht="20.25" customHeight="1" x14ac:dyDescent="0.35">
      <c r="G270" s="7">
        <v>264</v>
      </c>
      <c r="H270" s="7">
        <f t="array" aca="1" ref="H270" ca="1">IF(INT(M$4/500*360)&gt;=$G270,H$5,NA())</f>
        <v>10</v>
      </c>
      <c r="I270" s="7">
        <f t="array" aca="1" ref="I270" ca="1">IF(INT(N$4/500*360)&gt;=$G270,I$5,NA())</f>
        <v>9.3000000000000007</v>
      </c>
      <c r="J270" s="7" t="e">
        <f t="array" aca="1" ref="J270" ca="1">IF(INT(O$4/500*360)&gt;=$G270,J$5,NA())</f>
        <v>#N/A</v>
      </c>
      <c r="K270" s="7" t="e">
        <f t="array" aca="1" ref="K270" ca="1">IF(INT(P$4/500*360)&gt;=$G270,K$5,NA())</f>
        <v>#N/A</v>
      </c>
      <c r="L270" s="7" t="e">
        <f t="array" aca="1" ref="L270" ca="1">IF(INT(Q$4/500*360)&gt;=$G270,L$5,NA())</f>
        <v>#N/A</v>
      </c>
      <c r="M270" s="7" t="e">
        <f t="shared" ca="1" si="31"/>
        <v>#N/A</v>
      </c>
      <c r="N270" s="7" t="e">
        <f t="shared" ca="1" si="31"/>
        <v>#N/A</v>
      </c>
      <c r="O270" s="7" t="e">
        <f t="shared" ca="1" si="31"/>
        <v>#N/A</v>
      </c>
      <c r="P270" s="7" t="e">
        <f t="shared" ca="1" si="31"/>
        <v>#N/A</v>
      </c>
      <c r="Q270" s="7" t="e">
        <f t="shared" ca="1" si="31"/>
        <v>#N/A</v>
      </c>
    </row>
    <row r="271" spans="7:17" ht="20.25" customHeight="1" x14ac:dyDescent="0.35">
      <c r="G271" s="7">
        <v>265</v>
      </c>
      <c r="H271" s="7">
        <f t="array" aca="1" ref="H271" ca="1">IF(INT(M$4/500*360)&gt;=$G271,H$5,NA())</f>
        <v>10</v>
      </c>
      <c r="I271" s="7">
        <f t="array" aca="1" ref="I271" ca="1">IF(INT(N$4/500*360)&gt;=$G271,I$5,NA())</f>
        <v>9.3000000000000007</v>
      </c>
      <c r="J271" s="7" t="e">
        <f t="array" aca="1" ref="J271" ca="1">IF(INT(O$4/500*360)&gt;=$G271,J$5,NA())</f>
        <v>#N/A</v>
      </c>
      <c r="K271" s="7" t="e">
        <f t="array" aca="1" ref="K271" ca="1">IF(INT(P$4/500*360)&gt;=$G271,K$5,NA())</f>
        <v>#N/A</v>
      </c>
      <c r="L271" s="7" t="e">
        <f t="array" aca="1" ref="L271" ca="1">IF(INT(Q$4/500*360)&gt;=$G271,L$5,NA())</f>
        <v>#N/A</v>
      </c>
      <c r="M271" s="7" t="e">
        <f t="shared" ca="1" si="31"/>
        <v>#N/A</v>
      </c>
      <c r="N271" s="7" t="e">
        <f t="shared" ca="1" si="31"/>
        <v>#N/A</v>
      </c>
      <c r="O271" s="7" t="e">
        <f t="shared" ca="1" si="31"/>
        <v>#N/A</v>
      </c>
      <c r="P271" s="7" t="e">
        <f t="shared" ca="1" si="31"/>
        <v>#N/A</v>
      </c>
      <c r="Q271" s="7" t="e">
        <f t="shared" ca="1" si="31"/>
        <v>#N/A</v>
      </c>
    </row>
    <row r="272" spans="7:17" ht="20.25" customHeight="1" x14ac:dyDescent="0.35">
      <c r="G272" s="7">
        <v>266</v>
      </c>
      <c r="H272" s="7">
        <f t="array" aca="1" ref="H272" ca="1">IF(INT(M$4/500*360)&gt;=$G272,H$5,NA())</f>
        <v>10</v>
      </c>
      <c r="I272" s="7">
        <f t="array" aca="1" ref="I272" ca="1">IF(INT(N$4/500*360)&gt;=$G272,I$5,NA())</f>
        <v>9.3000000000000007</v>
      </c>
      <c r="J272" s="7" t="e">
        <f t="array" aca="1" ref="J272" ca="1">IF(INT(O$4/500*360)&gt;=$G272,J$5,NA())</f>
        <v>#N/A</v>
      </c>
      <c r="K272" s="7" t="e">
        <f t="array" aca="1" ref="K272" ca="1">IF(INT(P$4/500*360)&gt;=$G272,K$5,NA())</f>
        <v>#N/A</v>
      </c>
      <c r="L272" s="7" t="e">
        <f t="array" aca="1" ref="L272" ca="1">IF(INT(Q$4/500*360)&gt;=$G272,L$5,NA())</f>
        <v>#N/A</v>
      </c>
      <c r="M272" s="7" t="e">
        <f t="shared" ca="1" si="31"/>
        <v>#N/A</v>
      </c>
      <c r="N272" s="7" t="e">
        <f t="shared" ca="1" si="31"/>
        <v>#N/A</v>
      </c>
      <c r="O272" s="7" t="e">
        <f t="shared" ca="1" si="31"/>
        <v>#N/A</v>
      </c>
      <c r="P272" s="7" t="e">
        <f t="shared" ca="1" si="31"/>
        <v>#N/A</v>
      </c>
      <c r="Q272" s="7" t="e">
        <f t="shared" ca="1" si="31"/>
        <v>#N/A</v>
      </c>
    </row>
    <row r="273" spans="7:17" ht="20.25" customHeight="1" x14ac:dyDescent="0.35">
      <c r="G273" s="7">
        <v>267</v>
      </c>
      <c r="H273" s="7">
        <f t="array" aca="1" ref="H273" ca="1">IF(INT(M$4/500*360)&gt;=$G273,H$5,NA())</f>
        <v>10</v>
      </c>
      <c r="I273" s="7">
        <f t="array" aca="1" ref="I273" ca="1">IF(INT(N$4/500*360)&gt;=$G273,I$5,NA())</f>
        <v>9.3000000000000007</v>
      </c>
      <c r="J273" s="7" t="e">
        <f t="array" aca="1" ref="J273" ca="1">IF(INT(O$4/500*360)&gt;=$G273,J$5,NA())</f>
        <v>#N/A</v>
      </c>
      <c r="K273" s="7" t="e">
        <f t="array" aca="1" ref="K273" ca="1">IF(INT(P$4/500*360)&gt;=$G273,K$5,NA())</f>
        <v>#N/A</v>
      </c>
      <c r="L273" s="7" t="e">
        <f t="array" aca="1" ref="L273" ca="1">IF(INT(Q$4/500*360)&gt;=$G273,L$5,NA())</f>
        <v>#N/A</v>
      </c>
      <c r="M273" s="7" t="e">
        <f t="shared" ca="1" si="31"/>
        <v>#N/A</v>
      </c>
      <c r="N273" s="7" t="e">
        <f t="shared" ca="1" si="31"/>
        <v>#N/A</v>
      </c>
      <c r="O273" s="7" t="e">
        <f t="shared" ca="1" si="31"/>
        <v>#N/A</v>
      </c>
      <c r="P273" s="7" t="e">
        <f t="shared" ca="1" si="31"/>
        <v>#N/A</v>
      </c>
      <c r="Q273" s="7" t="e">
        <f t="shared" ca="1" si="31"/>
        <v>#N/A</v>
      </c>
    </row>
    <row r="274" spans="7:17" ht="20.25" customHeight="1" x14ac:dyDescent="0.35">
      <c r="G274" s="7">
        <v>268</v>
      </c>
      <c r="H274" s="7">
        <f t="array" aca="1" ref="H274" ca="1">IF(INT(M$4/500*360)&gt;=$G274,H$5,NA())</f>
        <v>10</v>
      </c>
      <c r="I274" s="7">
        <f t="array" aca="1" ref="I274" ca="1">IF(INT(N$4/500*360)&gt;=$G274,I$5,NA())</f>
        <v>9.3000000000000007</v>
      </c>
      <c r="J274" s="7" t="e">
        <f t="array" aca="1" ref="J274" ca="1">IF(INT(O$4/500*360)&gt;=$G274,J$5,NA())</f>
        <v>#N/A</v>
      </c>
      <c r="K274" s="7" t="e">
        <f t="array" aca="1" ref="K274" ca="1">IF(INT(P$4/500*360)&gt;=$G274,K$5,NA())</f>
        <v>#N/A</v>
      </c>
      <c r="L274" s="7" t="e">
        <f t="array" aca="1" ref="L274" ca="1">IF(INT(Q$4/500*360)&gt;=$G274,L$5,NA())</f>
        <v>#N/A</v>
      </c>
      <c r="M274" s="7" t="e">
        <f t="shared" ca="1" si="31"/>
        <v>#N/A</v>
      </c>
      <c r="N274" s="7" t="e">
        <f t="shared" ca="1" si="31"/>
        <v>#N/A</v>
      </c>
      <c r="O274" s="7" t="e">
        <f t="shared" ca="1" si="31"/>
        <v>#N/A</v>
      </c>
      <c r="P274" s="7" t="e">
        <f t="shared" ca="1" si="31"/>
        <v>#N/A</v>
      </c>
      <c r="Q274" s="7" t="e">
        <f t="shared" ca="1" si="31"/>
        <v>#N/A</v>
      </c>
    </row>
    <row r="275" spans="7:17" ht="20.25" customHeight="1" x14ac:dyDescent="0.35">
      <c r="G275" s="7">
        <v>269</v>
      </c>
      <c r="H275" s="7">
        <f t="array" aca="1" ref="H275" ca="1">IF(INT(M$4/500*360)&gt;=$G275,H$5,NA())</f>
        <v>10</v>
      </c>
      <c r="I275" s="7">
        <f t="array" aca="1" ref="I275" ca="1">IF(INT(N$4/500*360)&gt;=$G275,I$5,NA())</f>
        <v>9.3000000000000007</v>
      </c>
      <c r="J275" s="7" t="e">
        <f t="array" aca="1" ref="J275" ca="1">IF(INT(O$4/500*360)&gt;=$G275,J$5,NA())</f>
        <v>#N/A</v>
      </c>
      <c r="K275" s="7" t="e">
        <f t="array" aca="1" ref="K275" ca="1">IF(INT(P$4/500*360)&gt;=$G275,K$5,NA())</f>
        <v>#N/A</v>
      </c>
      <c r="L275" s="7" t="e">
        <f t="array" aca="1" ref="L275" ca="1">IF(INT(Q$4/500*360)&gt;=$G275,L$5,NA())</f>
        <v>#N/A</v>
      </c>
      <c r="M275" s="7" t="e">
        <f t="shared" ca="1" si="31"/>
        <v>#N/A</v>
      </c>
      <c r="N275" s="7" t="e">
        <f t="shared" ca="1" si="31"/>
        <v>#N/A</v>
      </c>
      <c r="O275" s="7" t="e">
        <f t="shared" ca="1" si="31"/>
        <v>#N/A</v>
      </c>
      <c r="P275" s="7" t="e">
        <f t="shared" ca="1" si="31"/>
        <v>#N/A</v>
      </c>
      <c r="Q275" s="7" t="e">
        <f t="shared" ca="1" si="31"/>
        <v>#N/A</v>
      </c>
    </row>
    <row r="276" spans="7:17" ht="20.25" customHeight="1" x14ac:dyDescent="0.35">
      <c r="G276" s="7">
        <v>270</v>
      </c>
      <c r="H276" s="7">
        <f t="array" aca="1" ref="H276" ca="1">IF(INT(M$4/500*360)&gt;=$G276,H$5,NA())</f>
        <v>10</v>
      </c>
      <c r="I276" s="7">
        <f t="array" aca="1" ref="I276" ca="1">IF(INT(N$4/500*360)&gt;=$G276,I$5,NA())</f>
        <v>9.3000000000000007</v>
      </c>
      <c r="J276" s="7" t="e">
        <f t="array" aca="1" ref="J276" ca="1">IF(INT(O$4/500*360)&gt;=$G276,J$5,NA())</f>
        <v>#N/A</v>
      </c>
      <c r="K276" s="7" t="e">
        <f t="array" aca="1" ref="K276" ca="1">IF(INT(P$4/500*360)&gt;=$G276,K$5,NA())</f>
        <v>#N/A</v>
      </c>
      <c r="L276" s="7" t="e">
        <f t="array" aca="1" ref="L276" ca="1">IF(INT(Q$4/500*360)&gt;=$G276,L$5,NA())</f>
        <v>#N/A</v>
      </c>
      <c r="M276" s="7" t="e">
        <f t="shared" ca="1" si="31"/>
        <v>#N/A</v>
      </c>
      <c r="N276" s="7" t="e">
        <f t="shared" ca="1" si="31"/>
        <v>#N/A</v>
      </c>
      <c r="O276" s="7" t="e">
        <f t="shared" ca="1" si="31"/>
        <v>#N/A</v>
      </c>
      <c r="P276" s="7" t="e">
        <f t="shared" ca="1" si="31"/>
        <v>#N/A</v>
      </c>
      <c r="Q276" s="7" t="e">
        <f t="shared" ca="1" si="31"/>
        <v>#N/A</v>
      </c>
    </row>
    <row r="277" spans="7:17" ht="20.25" customHeight="1" x14ac:dyDescent="0.35">
      <c r="G277" s="7">
        <v>271</v>
      </c>
      <c r="H277" s="7">
        <f t="array" aca="1" ref="H277" ca="1">IF(INT(M$4/500*360)&gt;=$G277,H$5,NA())</f>
        <v>10</v>
      </c>
      <c r="I277" s="7">
        <f t="array" aca="1" ref="I277" ca="1">IF(INT(N$4/500*360)&gt;=$G277,I$5,NA())</f>
        <v>9.3000000000000007</v>
      </c>
      <c r="J277" s="7" t="e">
        <f t="array" aca="1" ref="J277" ca="1">IF(INT(O$4/500*360)&gt;=$G277,J$5,NA())</f>
        <v>#N/A</v>
      </c>
      <c r="K277" s="7" t="e">
        <f t="array" aca="1" ref="K277" ca="1">IF(INT(P$4/500*360)&gt;=$G277,K$5,NA())</f>
        <v>#N/A</v>
      </c>
      <c r="L277" s="7" t="e">
        <f t="array" aca="1" ref="L277" ca="1">IF(INT(Q$4/500*360)&gt;=$G277,L$5,NA())</f>
        <v>#N/A</v>
      </c>
      <c r="M277" s="7" t="e">
        <f t="shared" ref="M277:Q286" ca="1" si="32">IF(INT(M$4/500*360)=$G277,M$5,NA())</f>
        <v>#N/A</v>
      </c>
      <c r="N277" s="7" t="e">
        <f t="shared" ca="1" si="32"/>
        <v>#N/A</v>
      </c>
      <c r="O277" s="7" t="e">
        <f t="shared" ca="1" si="32"/>
        <v>#N/A</v>
      </c>
      <c r="P277" s="7" t="e">
        <f t="shared" ca="1" si="32"/>
        <v>#N/A</v>
      </c>
      <c r="Q277" s="7" t="e">
        <f t="shared" ca="1" si="32"/>
        <v>#N/A</v>
      </c>
    </row>
    <row r="278" spans="7:17" ht="20.25" customHeight="1" x14ac:dyDescent="0.35">
      <c r="G278" s="7">
        <v>272</v>
      </c>
      <c r="H278" s="7">
        <f t="array" aca="1" ref="H278" ca="1">IF(INT(M$4/500*360)&gt;=$G278,H$5,NA())</f>
        <v>10</v>
      </c>
      <c r="I278" s="7">
        <f t="array" aca="1" ref="I278" ca="1">IF(INT(N$4/500*360)&gt;=$G278,I$5,NA())</f>
        <v>9.3000000000000007</v>
      </c>
      <c r="J278" s="7" t="e">
        <f t="array" aca="1" ref="J278" ca="1">IF(INT(O$4/500*360)&gt;=$G278,J$5,NA())</f>
        <v>#N/A</v>
      </c>
      <c r="K278" s="7" t="e">
        <f t="array" aca="1" ref="K278" ca="1">IF(INT(P$4/500*360)&gt;=$G278,K$5,NA())</f>
        <v>#N/A</v>
      </c>
      <c r="L278" s="7" t="e">
        <f t="array" aca="1" ref="L278" ca="1">IF(INT(Q$4/500*360)&gt;=$G278,L$5,NA())</f>
        <v>#N/A</v>
      </c>
      <c r="M278" s="7" t="e">
        <f t="shared" ca="1" si="32"/>
        <v>#N/A</v>
      </c>
      <c r="N278" s="7" t="e">
        <f t="shared" ca="1" si="32"/>
        <v>#N/A</v>
      </c>
      <c r="O278" s="7" t="e">
        <f t="shared" ca="1" si="32"/>
        <v>#N/A</v>
      </c>
      <c r="P278" s="7" t="e">
        <f t="shared" ca="1" si="32"/>
        <v>#N/A</v>
      </c>
      <c r="Q278" s="7" t="e">
        <f t="shared" ca="1" si="32"/>
        <v>#N/A</v>
      </c>
    </row>
    <row r="279" spans="7:17" ht="20.25" customHeight="1" x14ac:dyDescent="0.35">
      <c r="G279" s="7">
        <v>273</v>
      </c>
      <c r="H279" s="7">
        <f t="array" aca="1" ref="H279" ca="1">IF(INT(M$4/500*360)&gt;=$G279,H$5,NA())</f>
        <v>10</v>
      </c>
      <c r="I279" s="7">
        <f t="array" aca="1" ref="I279" ca="1">IF(INT(N$4/500*360)&gt;=$G279,I$5,NA())</f>
        <v>9.3000000000000007</v>
      </c>
      <c r="J279" s="7" t="e">
        <f t="array" aca="1" ref="J279" ca="1">IF(INT(O$4/500*360)&gt;=$G279,J$5,NA())</f>
        <v>#N/A</v>
      </c>
      <c r="K279" s="7" t="e">
        <f t="array" aca="1" ref="K279" ca="1">IF(INT(P$4/500*360)&gt;=$G279,K$5,NA())</f>
        <v>#N/A</v>
      </c>
      <c r="L279" s="7" t="e">
        <f t="array" aca="1" ref="L279" ca="1">IF(INT(Q$4/500*360)&gt;=$G279,L$5,NA())</f>
        <v>#N/A</v>
      </c>
      <c r="M279" s="7" t="e">
        <f t="shared" ca="1" si="32"/>
        <v>#N/A</v>
      </c>
      <c r="N279" s="7" t="e">
        <f t="shared" ca="1" si="32"/>
        <v>#N/A</v>
      </c>
      <c r="O279" s="7" t="e">
        <f t="shared" ca="1" si="32"/>
        <v>#N/A</v>
      </c>
      <c r="P279" s="7" t="e">
        <f t="shared" ca="1" si="32"/>
        <v>#N/A</v>
      </c>
      <c r="Q279" s="7" t="e">
        <f t="shared" ca="1" si="32"/>
        <v>#N/A</v>
      </c>
    </row>
    <row r="280" spans="7:17" ht="20.25" customHeight="1" x14ac:dyDescent="0.35">
      <c r="G280" s="7">
        <v>274</v>
      </c>
      <c r="H280" s="7">
        <f t="array" aca="1" ref="H280" ca="1">IF(INT(M$4/500*360)&gt;=$G280,H$5,NA())</f>
        <v>10</v>
      </c>
      <c r="I280" s="7">
        <f t="array" aca="1" ref="I280" ca="1">IF(INT(N$4/500*360)&gt;=$G280,I$5,NA())</f>
        <v>9.3000000000000007</v>
      </c>
      <c r="J280" s="7" t="e">
        <f t="array" aca="1" ref="J280" ca="1">IF(INT(O$4/500*360)&gt;=$G280,J$5,NA())</f>
        <v>#N/A</v>
      </c>
      <c r="K280" s="7" t="e">
        <f t="array" aca="1" ref="K280" ca="1">IF(INT(P$4/500*360)&gt;=$G280,K$5,NA())</f>
        <v>#N/A</v>
      </c>
      <c r="L280" s="7" t="e">
        <f t="array" aca="1" ref="L280" ca="1">IF(INT(Q$4/500*360)&gt;=$G280,L$5,NA())</f>
        <v>#N/A</v>
      </c>
      <c r="M280" s="7" t="e">
        <f t="shared" ca="1" si="32"/>
        <v>#N/A</v>
      </c>
      <c r="N280" s="7" t="e">
        <f t="shared" ca="1" si="32"/>
        <v>#N/A</v>
      </c>
      <c r="O280" s="7" t="e">
        <f t="shared" ca="1" si="32"/>
        <v>#N/A</v>
      </c>
      <c r="P280" s="7" t="e">
        <f t="shared" ca="1" si="32"/>
        <v>#N/A</v>
      </c>
      <c r="Q280" s="7" t="e">
        <f t="shared" ca="1" si="32"/>
        <v>#N/A</v>
      </c>
    </row>
    <row r="281" spans="7:17" ht="20.25" customHeight="1" x14ac:dyDescent="0.35">
      <c r="G281" s="7">
        <v>275</v>
      </c>
      <c r="H281" s="7">
        <f t="array" aca="1" ref="H281" ca="1">IF(INT(M$4/500*360)&gt;=$G281,H$5,NA())</f>
        <v>10</v>
      </c>
      <c r="I281" s="7">
        <f t="array" aca="1" ref="I281" ca="1">IF(INT(N$4/500*360)&gt;=$G281,I$5,NA())</f>
        <v>9.3000000000000007</v>
      </c>
      <c r="J281" s="7" t="e">
        <f t="array" aca="1" ref="J281" ca="1">IF(INT(O$4/500*360)&gt;=$G281,J$5,NA())</f>
        <v>#N/A</v>
      </c>
      <c r="K281" s="7" t="e">
        <f t="array" aca="1" ref="K281" ca="1">IF(INT(P$4/500*360)&gt;=$G281,K$5,NA())</f>
        <v>#N/A</v>
      </c>
      <c r="L281" s="7" t="e">
        <f t="array" aca="1" ref="L281" ca="1">IF(INT(Q$4/500*360)&gt;=$G281,L$5,NA())</f>
        <v>#N/A</v>
      </c>
      <c r="M281" s="7" t="e">
        <f t="shared" ca="1" si="32"/>
        <v>#N/A</v>
      </c>
      <c r="N281" s="7" t="e">
        <f t="shared" ca="1" si="32"/>
        <v>#N/A</v>
      </c>
      <c r="O281" s="7" t="e">
        <f t="shared" ca="1" si="32"/>
        <v>#N/A</v>
      </c>
      <c r="P281" s="7" t="e">
        <f t="shared" ca="1" si="32"/>
        <v>#N/A</v>
      </c>
      <c r="Q281" s="7" t="e">
        <f t="shared" ca="1" si="32"/>
        <v>#N/A</v>
      </c>
    </row>
    <row r="282" spans="7:17" ht="20.25" customHeight="1" x14ac:dyDescent="0.35">
      <c r="G282" s="7">
        <v>276</v>
      </c>
      <c r="H282" s="7">
        <f t="array" aca="1" ref="H282" ca="1">IF(INT(M$4/500*360)&gt;=$G282,H$5,NA())</f>
        <v>10</v>
      </c>
      <c r="I282" s="7">
        <f t="array" aca="1" ref="I282" ca="1">IF(INT(N$4/500*360)&gt;=$G282,I$5,NA())</f>
        <v>9.3000000000000007</v>
      </c>
      <c r="J282" s="7" t="e">
        <f t="array" aca="1" ref="J282" ca="1">IF(INT(O$4/500*360)&gt;=$G282,J$5,NA())</f>
        <v>#N/A</v>
      </c>
      <c r="K282" s="7" t="e">
        <f t="array" aca="1" ref="K282" ca="1">IF(INT(P$4/500*360)&gt;=$G282,K$5,NA())</f>
        <v>#N/A</v>
      </c>
      <c r="L282" s="7" t="e">
        <f t="array" aca="1" ref="L282" ca="1">IF(INT(Q$4/500*360)&gt;=$G282,L$5,NA())</f>
        <v>#N/A</v>
      </c>
      <c r="M282" s="7" t="e">
        <f t="shared" ca="1" si="32"/>
        <v>#N/A</v>
      </c>
      <c r="N282" s="7" t="e">
        <f t="shared" ca="1" si="32"/>
        <v>#N/A</v>
      </c>
      <c r="O282" s="7" t="e">
        <f t="shared" ca="1" si="32"/>
        <v>#N/A</v>
      </c>
      <c r="P282" s="7" t="e">
        <f t="shared" ca="1" si="32"/>
        <v>#N/A</v>
      </c>
      <c r="Q282" s="7" t="e">
        <f t="shared" ca="1" si="32"/>
        <v>#N/A</v>
      </c>
    </row>
    <row r="283" spans="7:17" ht="20.25" customHeight="1" x14ac:dyDescent="0.35">
      <c r="G283" s="7">
        <v>277</v>
      </c>
      <c r="H283" s="7">
        <f t="array" aca="1" ref="H283" ca="1">IF(INT(M$4/500*360)&gt;=$G283,H$5,NA())</f>
        <v>10</v>
      </c>
      <c r="I283" s="7">
        <f t="array" aca="1" ref="I283" ca="1">IF(INT(N$4/500*360)&gt;=$G283,I$5,NA())</f>
        <v>9.3000000000000007</v>
      </c>
      <c r="J283" s="7" t="e">
        <f t="array" aca="1" ref="J283" ca="1">IF(INT(O$4/500*360)&gt;=$G283,J$5,NA())</f>
        <v>#N/A</v>
      </c>
      <c r="K283" s="7" t="e">
        <f t="array" aca="1" ref="K283" ca="1">IF(INT(P$4/500*360)&gt;=$G283,K$5,NA())</f>
        <v>#N/A</v>
      </c>
      <c r="L283" s="7" t="e">
        <f t="array" aca="1" ref="L283" ca="1">IF(INT(Q$4/500*360)&gt;=$G283,L$5,NA())</f>
        <v>#N/A</v>
      </c>
      <c r="M283" s="7" t="e">
        <f t="shared" ca="1" si="32"/>
        <v>#N/A</v>
      </c>
      <c r="N283" s="7" t="e">
        <f t="shared" ca="1" si="32"/>
        <v>#N/A</v>
      </c>
      <c r="O283" s="7" t="e">
        <f t="shared" ca="1" si="32"/>
        <v>#N/A</v>
      </c>
      <c r="P283" s="7" t="e">
        <f t="shared" ca="1" si="32"/>
        <v>#N/A</v>
      </c>
      <c r="Q283" s="7" t="e">
        <f t="shared" ca="1" si="32"/>
        <v>#N/A</v>
      </c>
    </row>
    <row r="284" spans="7:17" ht="20.25" customHeight="1" x14ac:dyDescent="0.35">
      <c r="G284" s="7">
        <v>278</v>
      </c>
      <c r="H284" s="7">
        <f t="array" aca="1" ref="H284" ca="1">IF(INT(M$4/500*360)&gt;=$G284,H$5,NA())</f>
        <v>10</v>
      </c>
      <c r="I284" s="7">
        <f t="array" aca="1" ref="I284" ca="1">IF(INT(N$4/500*360)&gt;=$G284,I$5,NA())</f>
        <v>9.3000000000000007</v>
      </c>
      <c r="J284" s="7" t="e">
        <f t="array" aca="1" ref="J284" ca="1">IF(INT(O$4/500*360)&gt;=$G284,J$5,NA())</f>
        <v>#N/A</v>
      </c>
      <c r="K284" s="7" t="e">
        <f t="array" aca="1" ref="K284" ca="1">IF(INT(P$4/500*360)&gt;=$G284,K$5,NA())</f>
        <v>#N/A</v>
      </c>
      <c r="L284" s="7" t="e">
        <f t="array" aca="1" ref="L284" ca="1">IF(INT(Q$4/500*360)&gt;=$G284,L$5,NA())</f>
        <v>#N/A</v>
      </c>
      <c r="M284" s="7" t="e">
        <f t="shared" ca="1" si="32"/>
        <v>#N/A</v>
      </c>
      <c r="N284" s="7" t="e">
        <f t="shared" ca="1" si="32"/>
        <v>#N/A</v>
      </c>
      <c r="O284" s="7" t="e">
        <f t="shared" ca="1" si="32"/>
        <v>#N/A</v>
      </c>
      <c r="P284" s="7" t="e">
        <f t="shared" ca="1" si="32"/>
        <v>#N/A</v>
      </c>
      <c r="Q284" s="7" t="e">
        <f t="shared" ca="1" si="32"/>
        <v>#N/A</v>
      </c>
    </row>
    <row r="285" spans="7:17" ht="20.25" customHeight="1" x14ac:dyDescent="0.35">
      <c r="G285" s="7">
        <v>279</v>
      </c>
      <c r="H285" s="7">
        <f t="array" aca="1" ref="H285" ca="1">IF(INT(M$4/500*360)&gt;=$G285,H$5,NA())</f>
        <v>10</v>
      </c>
      <c r="I285" s="7">
        <f t="array" aca="1" ref="I285" ca="1">IF(INT(N$4/500*360)&gt;=$G285,I$5,NA())</f>
        <v>9.3000000000000007</v>
      </c>
      <c r="J285" s="7" t="e">
        <f t="array" aca="1" ref="J285" ca="1">IF(INT(O$4/500*360)&gt;=$G285,J$5,NA())</f>
        <v>#N/A</v>
      </c>
      <c r="K285" s="7" t="e">
        <f t="array" aca="1" ref="K285" ca="1">IF(INT(P$4/500*360)&gt;=$G285,K$5,NA())</f>
        <v>#N/A</v>
      </c>
      <c r="L285" s="7" t="e">
        <f t="array" aca="1" ref="L285" ca="1">IF(INT(Q$4/500*360)&gt;=$G285,L$5,NA())</f>
        <v>#N/A</v>
      </c>
      <c r="M285" s="7" t="e">
        <f t="shared" ca="1" si="32"/>
        <v>#N/A</v>
      </c>
      <c r="N285" s="7" t="e">
        <f t="shared" ca="1" si="32"/>
        <v>#N/A</v>
      </c>
      <c r="O285" s="7" t="e">
        <f t="shared" ca="1" si="32"/>
        <v>#N/A</v>
      </c>
      <c r="P285" s="7" t="e">
        <f t="shared" ca="1" si="32"/>
        <v>#N/A</v>
      </c>
      <c r="Q285" s="7" t="e">
        <f t="shared" ca="1" si="32"/>
        <v>#N/A</v>
      </c>
    </row>
    <row r="286" spans="7:17" ht="20.25" customHeight="1" x14ac:dyDescent="0.35">
      <c r="G286" s="7">
        <v>280</v>
      </c>
      <c r="H286" s="7">
        <f t="array" aca="1" ref="H286" ca="1">IF(INT(M$4/500*360)&gt;=$G286,H$5,NA())</f>
        <v>10</v>
      </c>
      <c r="I286" s="7">
        <f t="array" aca="1" ref="I286" ca="1">IF(INT(N$4/500*360)&gt;=$G286,I$5,NA())</f>
        <v>9.3000000000000007</v>
      </c>
      <c r="J286" s="7" t="e">
        <f t="array" aca="1" ref="J286" ca="1">IF(INT(O$4/500*360)&gt;=$G286,J$5,NA())</f>
        <v>#N/A</v>
      </c>
      <c r="K286" s="7" t="e">
        <f t="array" aca="1" ref="K286" ca="1">IF(INT(P$4/500*360)&gt;=$G286,K$5,NA())</f>
        <v>#N/A</v>
      </c>
      <c r="L286" s="7" t="e">
        <f t="array" aca="1" ref="L286" ca="1">IF(INT(Q$4/500*360)&gt;=$G286,L$5,NA())</f>
        <v>#N/A</v>
      </c>
      <c r="M286" s="7" t="e">
        <f t="shared" ca="1" si="32"/>
        <v>#N/A</v>
      </c>
      <c r="N286" s="7" t="e">
        <f t="shared" ca="1" si="32"/>
        <v>#N/A</v>
      </c>
      <c r="O286" s="7" t="e">
        <f t="shared" ca="1" si="32"/>
        <v>#N/A</v>
      </c>
      <c r="P286" s="7" t="e">
        <f t="shared" ca="1" si="32"/>
        <v>#N/A</v>
      </c>
      <c r="Q286" s="7" t="e">
        <f t="shared" ca="1" si="32"/>
        <v>#N/A</v>
      </c>
    </row>
    <row r="287" spans="7:17" ht="20.25" customHeight="1" x14ac:dyDescent="0.35">
      <c r="G287" s="7">
        <v>281</v>
      </c>
      <c r="H287" s="7">
        <f t="array" aca="1" ref="H287" ca="1">IF(INT(M$4/500*360)&gt;=$G287,H$5,NA())</f>
        <v>10</v>
      </c>
      <c r="I287" s="7">
        <f t="array" aca="1" ref="I287" ca="1">IF(INT(N$4/500*360)&gt;=$G287,I$5,NA())</f>
        <v>9.3000000000000007</v>
      </c>
      <c r="J287" s="7" t="e">
        <f t="array" aca="1" ref="J287" ca="1">IF(INT(O$4/500*360)&gt;=$G287,J$5,NA())</f>
        <v>#N/A</v>
      </c>
      <c r="K287" s="7" t="e">
        <f t="array" aca="1" ref="K287" ca="1">IF(INT(P$4/500*360)&gt;=$G287,K$5,NA())</f>
        <v>#N/A</v>
      </c>
      <c r="L287" s="7" t="e">
        <f t="array" aca="1" ref="L287" ca="1">IF(INT(Q$4/500*360)&gt;=$G287,L$5,NA())</f>
        <v>#N/A</v>
      </c>
      <c r="M287" s="7" t="e">
        <f t="shared" ref="M287:Q296" ca="1" si="33">IF(INT(M$4/500*360)=$G287,M$5,NA())</f>
        <v>#N/A</v>
      </c>
      <c r="N287" s="7" t="e">
        <f t="shared" ca="1" si="33"/>
        <v>#N/A</v>
      </c>
      <c r="O287" s="7" t="e">
        <f t="shared" ca="1" si="33"/>
        <v>#N/A</v>
      </c>
      <c r="P287" s="7" t="e">
        <f t="shared" ca="1" si="33"/>
        <v>#N/A</v>
      </c>
      <c r="Q287" s="7" t="e">
        <f t="shared" ca="1" si="33"/>
        <v>#N/A</v>
      </c>
    </row>
    <row r="288" spans="7:17" ht="20.25" customHeight="1" x14ac:dyDescent="0.35">
      <c r="G288" s="7">
        <v>282</v>
      </c>
      <c r="H288" s="7">
        <f t="array" aca="1" ref="H288" ca="1">IF(INT(M$4/500*360)&gt;=$G288,H$5,NA())</f>
        <v>10</v>
      </c>
      <c r="I288" s="7">
        <f t="array" aca="1" ref="I288" ca="1">IF(INT(N$4/500*360)&gt;=$G288,I$5,NA())</f>
        <v>9.3000000000000007</v>
      </c>
      <c r="J288" s="7" t="e">
        <f t="array" aca="1" ref="J288" ca="1">IF(INT(O$4/500*360)&gt;=$G288,J$5,NA())</f>
        <v>#N/A</v>
      </c>
      <c r="K288" s="7" t="e">
        <f t="array" aca="1" ref="K288" ca="1">IF(INT(P$4/500*360)&gt;=$G288,K$5,NA())</f>
        <v>#N/A</v>
      </c>
      <c r="L288" s="7" t="e">
        <f t="array" aca="1" ref="L288" ca="1">IF(INT(Q$4/500*360)&gt;=$G288,L$5,NA())</f>
        <v>#N/A</v>
      </c>
      <c r="M288" s="7" t="e">
        <f t="shared" ca="1" si="33"/>
        <v>#N/A</v>
      </c>
      <c r="N288" s="7" t="e">
        <f t="shared" ca="1" si="33"/>
        <v>#N/A</v>
      </c>
      <c r="O288" s="7" t="e">
        <f t="shared" ca="1" si="33"/>
        <v>#N/A</v>
      </c>
      <c r="P288" s="7" t="e">
        <f t="shared" ca="1" si="33"/>
        <v>#N/A</v>
      </c>
      <c r="Q288" s="7" t="e">
        <f t="shared" ca="1" si="33"/>
        <v>#N/A</v>
      </c>
    </row>
    <row r="289" spans="7:17" ht="20.25" customHeight="1" x14ac:dyDescent="0.35">
      <c r="G289" s="7">
        <v>283</v>
      </c>
      <c r="H289" s="7">
        <f t="array" aca="1" ref="H289" ca="1">IF(INT(M$4/500*360)&gt;=$G289,H$5,NA())</f>
        <v>10</v>
      </c>
      <c r="I289" s="7">
        <f t="array" aca="1" ref="I289" ca="1">IF(INT(N$4/500*360)&gt;=$G289,I$5,NA())</f>
        <v>9.3000000000000007</v>
      </c>
      <c r="J289" s="7" t="e">
        <f t="array" aca="1" ref="J289" ca="1">IF(INT(O$4/500*360)&gt;=$G289,J$5,NA())</f>
        <v>#N/A</v>
      </c>
      <c r="K289" s="7" t="e">
        <f t="array" aca="1" ref="K289" ca="1">IF(INT(P$4/500*360)&gt;=$G289,K$5,NA())</f>
        <v>#N/A</v>
      </c>
      <c r="L289" s="7" t="e">
        <f t="array" aca="1" ref="L289" ca="1">IF(INT(Q$4/500*360)&gt;=$G289,L$5,NA())</f>
        <v>#N/A</v>
      </c>
      <c r="M289" s="7" t="e">
        <f t="shared" ca="1" si="33"/>
        <v>#N/A</v>
      </c>
      <c r="N289" s="7" t="e">
        <f t="shared" ca="1" si="33"/>
        <v>#N/A</v>
      </c>
      <c r="O289" s="7" t="e">
        <f t="shared" ca="1" si="33"/>
        <v>#N/A</v>
      </c>
      <c r="P289" s="7" t="e">
        <f t="shared" ca="1" si="33"/>
        <v>#N/A</v>
      </c>
      <c r="Q289" s="7" t="e">
        <f t="shared" ca="1" si="33"/>
        <v>#N/A</v>
      </c>
    </row>
    <row r="290" spans="7:17" ht="20.25" customHeight="1" x14ac:dyDescent="0.35">
      <c r="G290" s="7">
        <v>284</v>
      </c>
      <c r="H290" s="7">
        <f t="array" aca="1" ref="H290" ca="1">IF(INT(M$4/500*360)&gt;=$G290,H$5,NA())</f>
        <v>10</v>
      </c>
      <c r="I290" s="7">
        <f t="array" aca="1" ref="I290" ca="1">IF(INT(N$4/500*360)&gt;=$G290,I$5,NA())</f>
        <v>9.3000000000000007</v>
      </c>
      <c r="J290" s="7" t="e">
        <f t="array" aca="1" ref="J290" ca="1">IF(INT(O$4/500*360)&gt;=$G290,J$5,NA())</f>
        <v>#N/A</v>
      </c>
      <c r="K290" s="7" t="e">
        <f t="array" aca="1" ref="K290" ca="1">IF(INT(P$4/500*360)&gt;=$G290,K$5,NA())</f>
        <v>#N/A</v>
      </c>
      <c r="L290" s="7" t="e">
        <f t="array" aca="1" ref="L290" ca="1">IF(INT(Q$4/500*360)&gt;=$G290,L$5,NA())</f>
        <v>#N/A</v>
      </c>
      <c r="M290" s="7" t="e">
        <f t="shared" ca="1" si="33"/>
        <v>#N/A</v>
      </c>
      <c r="N290" s="7" t="e">
        <f t="shared" ca="1" si="33"/>
        <v>#N/A</v>
      </c>
      <c r="O290" s="7" t="e">
        <f t="shared" ca="1" si="33"/>
        <v>#N/A</v>
      </c>
      <c r="P290" s="7" t="e">
        <f t="shared" ca="1" si="33"/>
        <v>#N/A</v>
      </c>
      <c r="Q290" s="7" t="e">
        <f t="shared" ca="1" si="33"/>
        <v>#N/A</v>
      </c>
    </row>
    <row r="291" spans="7:17" ht="20.25" customHeight="1" x14ac:dyDescent="0.35">
      <c r="G291" s="7">
        <v>285</v>
      </c>
      <c r="H291" s="7">
        <f t="array" aca="1" ref="H291" ca="1">IF(INT(M$4/500*360)&gt;=$G291,H$5,NA())</f>
        <v>10</v>
      </c>
      <c r="I291" s="7">
        <f t="array" aca="1" ref="I291" ca="1">IF(INT(N$4/500*360)&gt;=$G291,I$5,NA())</f>
        <v>9.3000000000000007</v>
      </c>
      <c r="J291" s="7" t="e">
        <f t="array" aca="1" ref="J291" ca="1">IF(INT(O$4/500*360)&gt;=$G291,J$5,NA())</f>
        <v>#N/A</v>
      </c>
      <c r="K291" s="7" t="e">
        <f t="array" aca="1" ref="K291" ca="1">IF(INT(P$4/500*360)&gt;=$G291,K$5,NA())</f>
        <v>#N/A</v>
      </c>
      <c r="L291" s="7" t="e">
        <f t="array" aca="1" ref="L291" ca="1">IF(INT(Q$4/500*360)&gt;=$G291,L$5,NA())</f>
        <v>#N/A</v>
      </c>
      <c r="M291" s="7" t="e">
        <f t="shared" ca="1" si="33"/>
        <v>#N/A</v>
      </c>
      <c r="N291" s="7" t="e">
        <f t="shared" ca="1" si="33"/>
        <v>#N/A</v>
      </c>
      <c r="O291" s="7" t="e">
        <f t="shared" ca="1" si="33"/>
        <v>#N/A</v>
      </c>
      <c r="P291" s="7" t="e">
        <f t="shared" ca="1" si="33"/>
        <v>#N/A</v>
      </c>
      <c r="Q291" s="7" t="e">
        <f t="shared" ca="1" si="33"/>
        <v>#N/A</v>
      </c>
    </row>
    <row r="292" spans="7:17" ht="20.25" customHeight="1" x14ac:dyDescent="0.35">
      <c r="G292" s="7">
        <v>286</v>
      </c>
      <c r="H292" s="7">
        <f t="array" aca="1" ref="H292" ca="1">IF(INT(M$4/500*360)&gt;=$G292,H$5,NA())</f>
        <v>10</v>
      </c>
      <c r="I292" s="7">
        <f t="array" aca="1" ref="I292" ca="1">IF(INT(N$4/500*360)&gt;=$G292,I$5,NA())</f>
        <v>9.3000000000000007</v>
      </c>
      <c r="J292" s="7" t="e">
        <f t="array" aca="1" ref="J292" ca="1">IF(INT(O$4/500*360)&gt;=$G292,J$5,NA())</f>
        <v>#N/A</v>
      </c>
      <c r="K292" s="7" t="e">
        <f t="array" aca="1" ref="K292" ca="1">IF(INT(P$4/500*360)&gt;=$G292,K$5,NA())</f>
        <v>#N/A</v>
      </c>
      <c r="L292" s="7" t="e">
        <f t="array" aca="1" ref="L292" ca="1">IF(INT(Q$4/500*360)&gt;=$G292,L$5,NA())</f>
        <v>#N/A</v>
      </c>
      <c r="M292" s="7" t="e">
        <f t="shared" ca="1" si="33"/>
        <v>#N/A</v>
      </c>
      <c r="N292" s="7" t="e">
        <f t="shared" ca="1" si="33"/>
        <v>#N/A</v>
      </c>
      <c r="O292" s="7" t="e">
        <f t="shared" ca="1" si="33"/>
        <v>#N/A</v>
      </c>
      <c r="P292" s="7" t="e">
        <f t="shared" ca="1" si="33"/>
        <v>#N/A</v>
      </c>
      <c r="Q292" s="7" t="e">
        <f t="shared" ca="1" si="33"/>
        <v>#N/A</v>
      </c>
    </row>
    <row r="293" spans="7:17" ht="20.25" customHeight="1" x14ac:dyDescent="0.35">
      <c r="G293" s="7">
        <v>287</v>
      </c>
      <c r="H293" s="7">
        <f t="array" aca="1" ref="H293" ca="1">IF(INT(M$4/500*360)&gt;=$G293,H$5,NA())</f>
        <v>10</v>
      </c>
      <c r="I293" s="7">
        <f t="array" aca="1" ref="I293" ca="1">IF(INT(N$4/500*360)&gt;=$G293,I$5,NA())</f>
        <v>9.3000000000000007</v>
      </c>
      <c r="J293" s="7" t="e">
        <f t="array" aca="1" ref="J293" ca="1">IF(INT(O$4/500*360)&gt;=$G293,J$5,NA())</f>
        <v>#N/A</v>
      </c>
      <c r="K293" s="7" t="e">
        <f t="array" aca="1" ref="K293" ca="1">IF(INT(P$4/500*360)&gt;=$G293,K$5,NA())</f>
        <v>#N/A</v>
      </c>
      <c r="L293" s="7" t="e">
        <f t="array" aca="1" ref="L293" ca="1">IF(INT(Q$4/500*360)&gt;=$G293,L$5,NA())</f>
        <v>#N/A</v>
      </c>
      <c r="M293" s="7" t="e">
        <f t="shared" ca="1" si="33"/>
        <v>#N/A</v>
      </c>
      <c r="N293" s="7" t="e">
        <f t="shared" ca="1" si="33"/>
        <v>#N/A</v>
      </c>
      <c r="O293" s="7" t="e">
        <f t="shared" ca="1" si="33"/>
        <v>#N/A</v>
      </c>
      <c r="P293" s="7" t="e">
        <f t="shared" ca="1" si="33"/>
        <v>#N/A</v>
      </c>
      <c r="Q293" s="7" t="e">
        <f t="shared" ca="1" si="33"/>
        <v>#N/A</v>
      </c>
    </row>
    <row r="294" spans="7:17" ht="20.25" customHeight="1" x14ac:dyDescent="0.35">
      <c r="G294" s="7">
        <v>288</v>
      </c>
      <c r="H294" s="7">
        <f t="array" aca="1" ref="H294" ca="1">IF(INT(M$4/500*360)&gt;=$G294,H$5,NA())</f>
        <v>10</v>
      </c>
      <c r="I294" s="7">
        <f t="array" aca="1" ref="I294" ca="1">IF(INT(N$4/500*360)&gt;=$G294,I$5,NA())</f>
        <v>9.3000000000000007</v>
      </c>
      <c r="J294" s="7" t="e">
        <f t="array" aca="1" ref="J294" ca="1">IF(INT(O$4/500*360)&gt;=$G294,J$5,NA())</f>
        <v>#N/A</v>
      </c>
      <c r="K294" s="7" t="e">
        <f t="array" aca="1" ref="K294" ca="1">IF(INT(P$4/500*360)&gt;=$G294,K$5,NA())</f>
        <v>#N/A</v>
      </c>
      <c r="L294" s="7" t="e">
        <f t="array" aca="1" ref="L294" ca="1">IF(INT(Q$4/500*360)&gt;=$G294,L$5,NA())</f>
        <v>#N/A</v>
      </c>
      <c r="M294" s="7" t="e">
        <f t="shared" ca="1" si="33"/>
        <v>#N/A</v>
      </c>
      <c r="N294" s="7" t="e">
        <f t="shared" ca="1" si="33"/>
        <v>#N/A</v>
      </c>
      <c r="O294" s="7" t="e">
        <f t="shared" ca="1" si="33"/>
        <v>#N/A</v>
      </c>
      <c r="P294" s="7" t="e">
        <f t="shared" ca="1" si="33"/>
        <v>#N/A</v>
      </c>
      <c r="Q294" s="7" t="e">
        <f t="shared" ca="1" si="33"/>
        <v>#N/A</v>
      </c>
    </row>
    <row r="295" spans="7:17" ht="20.25" customHeight="1" x14ac:dyDescent="0.35">
      <c r="G295" s="7">
        <v>289</v>
      </c>
      <c r="H295" s="7">
        <f t="array" aca="1" ref="H295" ca="1">IF(INT(M$4/500*360)&gt;=$G295,H$5,NA())</f>
        <v>10</v>
      </c>
      <c r="I295" s="7">
        <f t="array" aca="1" ref="I295" ca="1">IF(INT(N$4/500*360)&gt;=$G295,I$5,NA())</f>
        <v>9.3000000000000007</v>
      </c>
      <c r="J295" s="7" t="e">
        <f t="array" aca="1" ref="J295" ca="1">IF(INT(O$4/500*360)&gt;=$G295,J$5,NA())</f>
        <v>#N/A</v>
      </c>
      <c r="K295" s="7" t="e">
        <f t="array" aca="1" ref="K295" ca="1">IF(INT(P$4/500*360)&gt;=$G295,K$5,NA())</f>
        <v>#N/A</v>
      </c>
      <c r="L295" s="7" t="e">
        <f t="array" aca="1" ref="L295" ca="1">IF(INT(Q$4/500*360)&gt;=$G295,L$5,NA())</f>
        <v>#N/A</v>
      </c>
      <c r="M295" s="7" t="e">
        <f t="shared" ca="1" si="33"/>
        <v>#N/A</v>
      </c>
      <c r="N295" s="7" t="e">
        <f t="shared" ca="1" si="33"/>
        <v>#N/A</v>
      </c>
      <c r="O295" s="7" t="e">
        <f t="shared" ca="1" si="33"/>
        <v>#N/A</v>
      </c>
      <c r="P295" s="7" t="e">
        <f t="shared" ca="1" si="33"/>
        <v>#N/A</v>
      </c>
      <c r="Q295" s="7" t="e">
        <f t="shared" ca="1" si="33"/>
        <v>#N/A</v>
      </c>
    </row>
    <row r="296" spans="7:17" ht="20.25" customHeight="1" x14ac:dyDescent="0.35">
      <c r="G296" s="7">
        <v>290</v>
      </c>
      <c r="H296" s="7">
        <f t="array" aca="1" ref="H296" ca="1">IF(INT(M$4/500*360)&gt;=$G296,H$5,NA())</f>
        <v>10</v>
      </c>
      <c r="I296" s="7">
        <f t="array" aca="1" ref="I296" ca="1">IF(INT(N$4/500*360)&gt;=$G296,I$5,NA())</f>
        <v>9.3000000000000007</v>
      </c>
      <c r="J296" s="7" t="e">
        <f t="array" aca="1" ref="J296" ca="1">IF(INT(O$4/500*360)&gt;=$G296,J$5,NA())</f>
        <v>#N/A</v>
      </c>
      <c r="K296" s="7" t="e">
        <f t="array" aca="1" ref="K296" ca="1">IF(INT(P$4/500*360)&gt;=$G296,K$5,NA())</f>
        <v>#N/A</v>
      </c>
      <c r="L296" s="7" t="e">
        <f t="array" aca="1" ref="L296" ca="1">IF(INT(Q$4/500*360)&gt;=$G296,L$5,NA())</f>
        <v>#N/A</v>
      </c>
      <c r="M296" s="7" t="e">
        <f t="shared" ca="1" si="33"/>
        <v>#N/A</v>
      </c>
      <c r="N296" s="7" t="e">
        <f t="shared" ca="1" si="33"/>
        <v>#N/A</v>
      </c>
      <c r="O296" s="7" t="e">
        <f t="shared" ca="1" si="33"/>
        <v>#N/A</v>
      </c>
      <c r="P296" s="7" t="e">
        <f t="shared" ca="1" si="33"/>
        <v>#N/A</v>
      </c>
      <c r="Q296" s="7" t="e">
        <f t="shared" ca="1" si="33"/>
        <v>#N/A</v>
      </c>
    </row>
    <row r="297" spans="7:17" ht="20.25" customHeight="1" x14ac:dyDescent="0.35">
      <c r="G297" s="7">
        <v>291</v>
      </c>
      <c r="H297" s="7">
        <f t="array" aca="1" ref="H297" ca="1">IF(INT(M$4/500*360)&gt;=$G297,H$5,NA())</f>
        <v>10</v>
      </c>
      <c r="I297" s="7">
        <f t="array" aca="1" ref="I297" ca="1">IF(INT(N$4/500*360)&gt;=$G297,I$5,NA())</f>
        <v>9.3000000000000007</v>
      </c>
      <c r="J297" s="7" t="e">
        <f t="array" aca="1" ref="J297" ca="1">IF(INT(O$4/500*360)&gt;=$G297,J$5,NA())</f>
        <v>#N/A</v>
      </c>
      <c r="K297" s="7" t="e">
        <f t="array" aca="1" ref="K297" ca="1">IF(INT(P$4/500*360)&gt;=$G297,K$5,NA())</f>
        <v>#N/A</v>
      </c>
      <c r="L297" s="7" t="e">
        <f t="array" aca="1" ref="L297" ca="1">IF(INT(Q$4/500*360)&gt;=$G297,L$5,NA())</f>
        <v>#N/A</v>
      </c>
      <c r="M297" s="7" t="e">
        <f t="shared" ref="M297:Q306" ca="1" si="34">IF(INT(M$4/500*360)=$G297,M$5,NA())</f>
        <v>#N/A</v>
      </c>
      <c r="N297" s="7" t="e">
        <f t="shared" ca="1" si="34"/>
        <v>#N/A</v>
      </c>
      <c r="O297" s="7" t="e">
        <f t="shared" ca="1" si="34"/>
        <v>#N/A</v>
      </c>
      <c r="P297" s="7" t="e">
        <f t="shared" ca="1" si="34"/>
        <v>#N/A</v>
      </c>
      <c r="Q297" s="7" t="e">
        <f t="shared" ca="1" si="34"/>
        <v>#N/A</v>
      </c>
    </row>
    <row r="298" spans="7:17" ht="20.25" customHeight="1" x14ac:dyDescent="0.35">
      <c r="G298" s="7">
        <v>292</v>
      </c>
      <c r="H298" s="7">
        <f t="array" aca="1" ref="H298" ca="1">IF(INT(M$4/500*360)&gt;=$G298,H$5,NA())</f>
        <v>10</v>
      </c>
      <c r="I298" s="7">
        <f t="array" aca="1" ref="I298" ca="1">IF(INT(N$4/500*360)&gt;=$G298,I$5,NA())</f>
        <v>9.3000000000000007</v>
      </c>
      <c r="J298" s="7" t="e">
        <f t="array" aca="1" ref="J298" ca="1">IF(INT(O$4/500*360)&gt;=$G298,J$5,NA())</f>
        <v>#N/A</v>
      </c>
      <c r="K298" s="7" t="e">
        <f t="array" aca="1" ref="K298" ca="1">IF(INT(P$4/500*360)&gt;=$G298,K$5,NA())</f>
        <v>#N/A</v>
      </c>
      <c r="L298" s="7" t="e">
        <f t="array" aca="1" ref="L298" ca="1">IF(INT(Q$4/500*360)&gt;=$G298,L$5,NA())</f>
        <v>#N/A</v>
      </c>
      <c r="M298" s="7" t="e">
        <f t="shared" ca="1" si="34"/>
        <v>#N/A</v>
      </c>
      <c r="N298" s="7" t="e">
        <f t="shared" ca="1" si="34"/>
        <v>#N/A</v>
      </c>
      <c r="O298" s="7" t="e">
        <f t="shared" ca="1" si="34"/>
        <v>#N/A</v>
      </c>
      <c r="P298" s="7" t="e">
        <f t="shared" ca="1" si="34"/>
        <v>#N/A</v>
      </c>
      <c r="Q298" s="7" t="e">
        <f t="shared" ca="1" si="34"/>
        <v>#N/A</v>
      </c>
    </row>
    <row r="299" spans="7:17" ht="20.25" customHeight="1" x14ac:dyDescent="0.35">
      <c r="G299" s="7">
        <v>293</v>
      </c>
      <c r="H299" s="7">
        <f t="array" aca="1" ref="H299" ca="1">IF(INT(M$4/500*360)&gt;=$G299,H$5,NA())</f>
        <v>10</v>
      </c>
      <c r="I299" s="7">
        <f t="array" aca="1" ref="I299" ca="1">IF(INT(N$4/500*360)&gt;=$G299,I$5,NA())</f>
        <v>9.3000000000000007</v>
      </c>
      <c r="J299" s="7" t="e">
        <f t="array" aca="1" ref="J299" ca="1">IF(INT(O$4/500*360)&gt;=$G299,J$5,NA())</f>
        <v>#N/A</v>
      </c>
      <c r="K299" s="7" t="e">
        <f t="array" aca="1" ref="K299" ca="1">IF(INT(P$4/500*360)&gt;=$G299,K$5,NA())</f>
        <v>#N/A</v>
      </c>
      <c r="L299" s="7" t="e">
        <f t="array" aca="1" ref="L299" ca="1">IF(INT(Q$4/500*360)&gt;=$G299,L$5,NA())</f>
        <v>#N/A</v>
      </c>
      <c r="M299" s="7" t="e">
        <f t="shared" ca="1" si="34"/>
        <v>#N/A</v>
      </c>
      <c r="N299" s="7" t="e">
        <f t="shared" ca="1" si="34"/>
        <v>#N/A</v>
      </c>
      <c r="O299" s="7" t="e">
        <f t="shared" ca="1" si="34"/>
        <v>#N/A</v>
      </c>
      <c r="P299" s="7" t="e">
        <f t="shared" ca="1" si="34"/>
        <v>#N/A</v>
      </c>
      <c r="Q299" s="7" t="e">
        <f t="shared" ca="1" si="34"/>
        <v>#N/A</v>
      </c>
    </row>
    <row r="300" spans="7:17" ht="20.25" customHeight="1" x14ac:dyDescent="0.35">
      <c r="G300" s="7">
        <v>294</v>
      </c>
      <c r="H300" s="7">
        <f t="array" aca="1" ref="H300" ca="1">IF(INT(M$4/500*360)&gt;=$G300,H$5,NA())</f>
        <v>10</v>
      </c>
      <c r="I300" s="7">
        <f t="array" aca="1" ref="I300" ca="1">IF(INT(N$4/500*360)&gt;=$G300,I$5,NA())</f>
        <v>9.3000000000000007</v>
      </c>
      <c r="J300" s="7" t="e">
        <f t="array" aca="1" ref="J300" ca="1">IF(INT(O$4/500*360)&gt;=$G300,J$5,NA())</f>
        <v>#N/A</v>
      </c>
      <c r="K300" s="7" t="e">
        <f t="array" aca="1" ref="K300" ca="1">IF(INT(P$4/500*360)&gt;=$G300,K$5,NA())</f>
        <v>#N/A</v>
      </c>
      <c r="L300" s="7" t="e">
        <f t="array" aca="1" ref="L300" ca="1">IF(INT(Q$4/500*360)&gt;=$G300,L$5,NA())</f>
        <v>#N/A</v>
      </c>
      <c r="M300" s="7" t="e">
        <f t="shared" ca="1" si="34"/>
        <v>#N/A</v>
      </c>
      <c r="N300" s="7" t="e">
        <f t="shared" ca="1" si="34"/>
        <v>#N/A</v>
      </c>
      <c r="O300" s="7" t="e">
        <f t="shared" ca="1" si="34"/>
        <v>#N/A</v>
      </c>
      <c r="P300" s="7" t="e">
        <f t="shared" ca="1" si="34"/>
        <v>#N/A</v>
      </c>
      <c r="Q300" s="7" t="e">
        <f t="shared" ca="1" si="34"/>
        <v>#N/A</v>
      </c>
    </row>
    <row r="301" spans="7:17" ht="20.25" customHeight="1" x14ac:dyDescent="0.35">
      <c r="G301" s="7">
        <v>295</v>
      </c>
      <c r="H301" s="7">
        <f t="array" aca="1" ref="H301" ca="1">IF(INT(M$4/500*360)&gt;=$G301,H$5,NA())</f>
        <v>10</v>
      </c>
      <c r="I301" s="7">
        <f t="array" aca="1" ref="I301" ca="1">IF(INT(N$4/500*360)&gt;=$G301,I$5,NA())</f>
        <v>9.3000000000000007</v>
      </c>
      <c r="J301" s="7" t="e">
        <f t="array" aca="1" ref="J301" ca="1">IF(INT(O$4/500*360)&gt;=$G301,J$5,NA())</f>
        <v>#N/A</v>
      </c>
      <c r="K301" s="7" t="e">
        <f t="array" aca="1" ref="K301" ca="1">IF(INT(P$4/500*360)&gt;=$G301,K$5,NA())</f>
        <v>#N/A</v>
      </c>
      <c r="L301" s="7" t="e">
        <f t="array" aca="1" ref="L301" ca="1">IF(INT(Q$4/500*360)&gt;=$G301,L$5,NA())</f>
        <v>#N/A</v>
      </c>
      <c r="M301" s="7" t="e">
        <f t="shared" ca="1" si="34"/>
        <v>#N/A</v>
      </c>
      <c r="N301" s="7" t="e">
        <f t="shared" ca="1" si="34"/>
        <v>#N/A</v>
      </c>
      <c r="O301" s="7" t="e">
        <f t="shared" ca="1" si="34"/>
        <v>#N/A</v>
      </c>
      <c r="P301" s="7" t="e">
        <f t="shared" ca="1" si="34"/>
        <v>#N/A</v>
      </c>
      <c r="Q301" s="7" t="e">
        <f t="shared" ca="1" si="34"/>
        <v>#N/A</v>
      </c>
    </row>
    <row r="302" spans="7:17" ht="20.25" customHeight="1" x14ac:dyDescent="0.35">
      <c r="G302" s="7">
        <v>296</v>
      </c>
      <c r="H302" s="7">
        <f t="array" aca="1" ref="H302" ca="1">IF(INT(M$4/500*360)&gt;=$G302,H$5,NA())</f>
        <v>10</v>
      </c>
      <c r="I302" s="7">
        <f t="array" aca="1" ref="I302" ca="1">IF(INT(N$4/500*360)&gt;=$G302,I$5,NA())</f>
        <v>9.3000000000000007</v>
      </c>
      <c r="J302" s="7" t="e">
        <f t="array" aca="1" ref="J302" ca="1">IF(INT(O$4/500*360)&gt;=$G302,J$5,NA())</f>
        <v>#N/A</v>
      </c>
      <c r="K302" s="7" t="e">
        <f t="array" aca="1" ref="K302" ca="1">IF(INT(P$4/500*360)&gt;=$G302,K$5,NA())</f>
        <v>#N/A</v>
      </c>
      <c r="L302" s="7" t="e">
        <f t="array" aca="1" ref="L302" ca="1">IF(INT(Q$4/500*360)&gt;=$G302,L$5,NA())</f>
        <v>#N/A</v>
      </c>
      <c r="M302" s="7" t="e">
        <f t="shared" ca="1" si="34"/>
        <v>#N/A</v>
      </c>
      <c r="N302" s="7" t="e">
        <f t="shared" ca="1" si="34"/>
        <v>#N/A</v>
      </c>
      <c r="O302" s="7" t="e">
        <f t="shared" ca="1" si="34"/>
        <v>#N/A</v>
      </c>
      <c r="P302" s="7" t="e">
        <f t="shared" ca="1" si="34"/>
        <v>#N/A</v>
      </c>
      <c r="Q302" s="7" t="e">
        <f t="shared" ca="1" si="34"/>
        <v>#N/A</v>
      </c>
    </row>
    <row r="303" spans="7:17" ht="20.25" customHeight="1" x14ac:dyDescent="0.35">
      <c r="G303" s="7">
        <v>297</v>
      </c>
      <c r="H303" s="7">
        <f t="array" aca="1" ref="H303" ca="1">IF(INT(M$4/500*360)&gt;=$G303,H$5,NA())</f>
        <v>10</v>
      </c>
      <c r="I303" s="7">
        <f t="array" aca="1" ref="I303" ca="1">IF(INT(N$4/500*360)&gt;=$G303,I$5,NA())</f>
        <v>9.3000000000000007</v>
      </c>
      <c r="J303" s="7" t="e">
        <f t="array" aca="1" ref="J303" ca="1">IF(INT(O$4/500*360)&gt;=$G303,J$5,NA())</f>
        <v>#N/A</v>
      </c>
      <c r="K303" s="7" t="e">
        <f t="array" aca="1" ref="K303" ca="1">IF(INT(P$4/500*360)&gt;=$G303,K$5,NA())</f>
        <v>#N/A</v>
      </c>
      <c r="L303" s="7" t="e">
        <f t="array" aca="1" ref="L303" ca="1">IF(INT(Q$4/500*360)&gt;=$G303,L$5,NA())</f>
        <v>#N/A</v>
      </c>
      <c r="M303" s="7" t="e">
        <f t="shared" ca="1" si="34"/>
        <v>#N/A</v>
      </c>
      <c r="N303" s="7" t="e">
        <f t="shared" ca="1" si="34"/>
        <v>#N/A</v>
      </c>
      <c r="O303" s="7" t="e">
        <f t="shared" ca="1" si="34"/>
        <v>#N/A</v>
      </c>
      <c r="P303" s="7" t="e">
        <f t="shared" ca="1" si="34"/>
        <v>#N/A</v>
      </c>
      <c r="Q303" s="7" t="e">
        <f t="shared" ca="1" si="34"/>
        <v>#N/A</v>
      </c>
    </row>
    <row r="304" spans="7:17" ht="20.25" customHeight="1" x14ac:dyDescent="0.35">
      <c r="G304" s="7">
        <v>298</v>
      </c>
      <c r="H304" s="7">
        <f t="array" aca="1" ref="H304" ca="1">IF(INT(M$4/500*360)&gt;=$G304,H$5,NA())</f>
        <v>10</v>
      </c>
      <c r="I304" s="7">
        <f t="array" aca="1" ref="I304" ca="1">IF(INT(N$4/500*360)&gt;=$G304,I$5,NA())</f>
        <v>9.3000000000000007</v>
      </c>
      <c r="J304" s="7" t="e">
        <f t="array" aca="1" ref="J304" ca="1">IF(INT(O$4/500*360)&gt;=$G304,J$5,NA())</f>
        <v>#N/A</v>
      </c>
      <c r="K304" s="7" t="e">
        <f t="array" aca="1" ref="K304" ca="1">IF(INT(P$4/500*360)&gt;=$G304,K$5,NA())</f>
        <v>#N/A</v>
      </c>
      <c r="L304" s="7" t="e">
        <f t="array" aca="1" ref="L304" ca="1">IF(INT(Q$4/500*360)&gt;=$G304,L$5,NA())</f>
        <v>#N/A</v>
      </c>
      <c r="M304" s="7" t="e">
        <f t="shared" ca="1" si="34"/>
        <v>#N/A</v>
      </c>
      <c r="N304" s="7" t="e">
        <f t="shared" ca="1" si="34"/>
        <v>#N/A</v>
      </c>
      <c r="O304" s="7" t="e">
        <f t="shared" ca="1" si="34"/>
        <v>#N/A</v>
      </c>
      <c r="P304" s="7" t="e">
        <f t="shared" ca="1" si="34"/>
        <v>#N/A</v>
      </c>
      <c r="Q304" s="7" t="e">
        <f t="shared" ca="1" si="34"/>
        <v>#N/A</v>
      </c>
    </row>
    <row r="305" spans="7:17" ht="20.25" customHeight="1" x14ac:dyDescent="0.35">
      <c r="G305" s="7">
        <v>299</v>
      </c>
      <c r="H305" s="7">
        <f t="array" aca="1" ref="H305" ca="1">IF(INT(M$4/500*360)&gt;=$G305,H$5,NA())</f>
        <v>10</v>
      </c>
      <c r="I305" s="7">
        <f t="array" aca="1" ref="I305" ca="1">IF(INT(N$4/500*360)&gt;=$G305,I$5,NA())</f>
        <v>9.3000000000000007</v>
      </c>
      <c r="J305" s="7" t="e">
        <f t="array" aca="1" ref="J305" ca="1">IF(INT(O$4/500*360)&gt;=$G305,J$5,NA())</f>
        <v>#N/A</v>
      </c>
      <c r="K305" s="7" t="e">
        <f t="array" aca="1" ref="K305" ca="1">IF(INT(P$4/500*360)&gt;=$G305,K$5,NA())</f>
        <v>#N/A</v>
      </c>
      <c r="L305" s="7" t="e">
        <f t="array" aca="1" ref="L305" ca="1">IF(INT(Q$4/500*360)&gt;=$G305,L$5,NA())</f>
        <v>#N/A</v>
      </c>
      <c r="M305" s="7" t="e">
        <f t="shared" ca="1" si="34"/>
        <v>#N/A</v>
      </c>
      <c r="N305" s="7" t="e">
        <f t="shared" ca="1" si="34"/>
        <v>#N/A</v>
      </c>
      <c r="O305" s="7" t="e">
        <f t="shared" ca="1" si="34"/>
        <v>#N/A</v>
      </c>
      <c r="P305" s="7" t="e">
        <f t="shared" ca="1" si="34"/>
        <v>#N/A</v>
      </c>
      <c r="Q305" s="7" t="e">
        <f t="shared" ca="1" si="34"/>
        <v>#N/A</v>
      </c>
    </row>
    <row r="306" spans="7:17" ht="20.25" customHeight="1" x14ac:dyDescent="0.35">
      <c r="G306" s="7">
        <v>300</v>
      </c>
      <c r="H306" s="7">
        <f t="array" aca="1" ref="H306" ca="1">IF(INT(M$4/500*360)&gt;=$G306,H$5,NA())</f>
        <v>10</v>
      </c>
      <c r="I306" s="7">
        <f t="array" aca="1" ref="I306" ca="1">IF(INT(N$4/500*360)&gt;=$G306,I$5,NA())</f>
        <v>9.3000000000000007</v>
      </c>
      <c r="J306" s="7" t="e">
        <f t="array" aca="1" ref="J306" ca="1">IF(INT(O$4/500*360)&gt;=$G306,J$5,NA())</f>
        <v>#N/A</v>
      </c>
      <c r="K306" s="7" t="e">
        <f t="array" aca="1" ref="K306" ca="1">IF(INT(P$4/500*360)&gt;=$G306,K$5,NA())</f>
        <v>#N/A</v>
      </c>
      <c r="L306" s="7" t="e">
        <f t="array" aca="1" ref="L306" ca="1">IF(INT(Q$4/500*360)&gt;=$G306,L$5,NA())</f>
        <v>#N/A</v>
      </c>
      <c r="M306" s="7" t="e">
        <f t="shared" ca="1" si="34"/>
        <v>#N/A</v>
      </c>
      <c r="N306" s="7" t="e">
        <f t="shared" ca="1" si="34"/>
        <v>#N/A</v>
      </c>
      <c r="O306" s="7" t="e">
        <f t="shared" ca="1" si="34"/>
        <v>#N/A</v>
      </c>
      <c r="P306" s="7" t="e">
        <f t="shared" ca="1" si="34"/>
        <v>#N/A</v>
      </c>
      <c r="Q306" s="7" t="e">
        <f t="shared" ca="1" si="34"/>
        <v>#N/A</v>
      </c>
    </row>
    <row r="307" spans="7:17" ht="20.25" customHeight="1" x14ac:dyDescent="0.35">
      <c r="G307" s="7">
        <v>301</v>
      </c>
      <c r="H307" s="7">
        <f t="array" aca="1" ref="H307" ca="1">IF(INT(M$4/500*360)&gt;=$G307,H$5,NA())</f>
        <v>10</v>
      </c>
      <c r="I307" s="7">
        <f t="array" aca="1" ref="I307" ca="1">IF(INT(N$4/500*360)&gt;=$G307,I$5,NA())</f>
        <v>9.3000000000000007</v>
      </c>
      <c r="J307" s="7" t="e">
        <f t="array" aca="1" ref="J307" ca="1">IF(INT(O$4/500*360)&gt;=$G307,J$5,NA())</f>
        <v>#N/A</v>
      </c>
      <c r="K307" s="7" t="e">
        <f t="array" aca="1" ref="K307" ca="1">IF(INT(P$4/500*360)&gt;=$G307,K$5,NA())</f>
        <v>#N/A</v>
      </c>
      <c r="L307" s="7" t="e">
        <f t="array" aca="1" ref="L307" ca="1">IF(INT(Q$4/500*360)&gt;=$G307,L$5,NA())</f>
        <v>#N/A</v>
      </c>
      <c r="M307" s="7" t="e">
        <f t="shared" ref="M307:Q316" ca="1" si="35">IF(INT(M$4/500*360)=$G307,M$5,NA())</f>
        <v>#N/A</v>
      </c>
      <c r="N307" s="7" t="e">
        <f t="shared" ca="1" si="35"/>
        <v>#N/A</v>
      </c>
      <c r="O307" s="7" t="e">
        <f t="shared" ca="1" si="35"/>
        <v>#N/A</v>
      </c>
      <c r="P307" s="7" t="e">
        <f t="shared" ca="1" si="35"/>
        <v>#N/A</v>
      </c>
      <c r="Q307" s="7" t="e">
        <f t="shared" ca="1" si="35"/>
        <v>#N/A</v>
      </c>
    </row>
    <row r="308" spans="7:17" ht="20.25" customHeight="1" x14ac:dyDescent="0.35">
      <c r="G308" s="7">
        <v>302</v>
      </c>
      <c r="H308" s="7">
        <f t="array" aca="1" ref="H308" ca="1">IF(INT(M$4/500*360)&gt;=$G308,H$5,NA())</f>
        <v>10</v>
      </c>
      <c r="I308" s="7">
        <f t="array" aca="1" ref="I308" ca="1">IF(INT(N$4/500*360)&gt;=$G308,I$5,NA())</f>
        <v>9.3000000000000007</v>
      </c>
      <c r="J308" s="7" t="e">
        <f t="array" aca="1" ref="J308" ca="1">IF(INT(O$4/500*360)&gt;=$G308,J$5,NA())</f>
        <v>#N/A</v>
      </c>
      <c r="K308" s="7" t="e">
        <f t="array" aca="1" ref="K308" ca="1">IF(INT(P$4/500*360)&gt;=$G308,K$5,NA())</f>
        <v>#N/A</v>
      </c>
      <c r="L308" s="7" t="e">
        <f t="array" aca="1" ref="L308" ca="1">IF(INT(Q$4/500*360)&gt;=$G308,L$5,NA())</f>
        <v>#N/A</v>
      </c>
      <c r="M308" s="7" t="e">
        <f t="shared" ca="1" si="35"/>
        <v>#N/A</v>
      </c>
      <c r="N308" s="7" t="e">
        <f t="shared" ca="1" si="35"/>
        <v>#N/A</v>
      </c>
      <c r="O308" s="7" t="e">
        <f t="shared" ca="1" si="35"/>
        <v>#N/A</v>
      </c>
      <c r="P308" s="7" t="e">
        <f t="shared" ca="1" si="35"/>
        <v>#N/A</v>
      </c>
      <c r="Q308" s="7" t="e">
        <f t="shared" ca="1" si="35"/>
        <v>#N/A</v>
      </c>
    </row>
    <row r="309" spans="7:17" ht="20.25" customHeight="1" x14ac:dyDescent="0.35">
      <c r="G309" s="7">
        <v>303</v>
      </c>
      <c r="H309" s="7">
        <f t="array" aca="1" ref="H309" ca="1">IF(INT(M$4/500*360)&gt;=$G309,H$5,NA())</f>
        <v>10</v>
      </c>
      <c r="I309" s="7">
        <f t="array" aca="1" ref="I309" ca="1">IF(INT(N$4/500*360)&gt;=$G309,I$5,NA())</f>
        <v>9.3000000000000007</v>
      </c>
      <c r="J309" s="7" t="e">
        <f t="array" aca="1" ref="J309" ca="1">IF(INT(O$4/500*360)&gt;=$G309,J$5,NA())</f>
        <v>#N/A</v>
      </c>
      <c r="K309" s="7" t="e">
        <f t="array" aca="1" ref="K309" ca="1">IF(INT(P$4/500*360)&gt;=$G309,K$5,NA())</f>
        <v>#N/A</v>
      </c>
      <c r="L309" s="7" t="e">
        <f t="array" aca="1" ref="L309" ca="1">IF(INT(Q$4/500*360)&gt;=$G309,L$5,NA())</f>
        <v>#N/A</v>
      </c>
      <c r="M309" s="7" t="e">
        <f t="shared" ca="1" si="35"/>
        <v>#N/A</v>
      </c>
      <c r="N309" s="7" t="e">
        <f t="shared" ca="1" si="35"/>
        <v>#N/A</v>
      </c>
      <c r="O309" s="7" t="e">
        <f t="shared" ca="1" si="35"/>
        <v>#N/A</v>
      </c>
      <c r="P309" s="7" t="e">
        <f t="shared" ca="1" si="35"/>
        <v>#N/A</v>
      </c>
      <c r="Q309" s="7" t="e">
        <f t="shared" ca="1" si="35"/>
        <v>#N/A</v>
      </c>
    </row>
    <row r="310" spans="7:17" ht="20.25" customHeight="1" x14ac:dyDescent="0.35">
      <c r="G310" s="7">
        <v>304</v>
      </c>
      <c r="H310" s="7">
        <f t="array" aca="1" ref="H310" ca="1">IF(INT(M$4/500*360)&gt;=$G310,H$5,NA())</f>
        <v>10</v>
      </c>
      <c r="I310" s="7">
        <f t="array" aca="1" ref="I310" ca="1">IF(INT(N$4/500*360)&gt;=$G310,I$5,NA())</f>
        <v>9.3000000000000007</v>
      </c>
      <c r="J310" s="7" t="e">
        <f t="array" aca="1" ref="J310" ca="1">IF(INT(O$4/500*360)&gt;=$G310,J$5,NA())</f>
        <v>#N/A</v>
      </c>
      <c r="K310" s="7" t="e">
        <f t="array" aca="1" ref="K310" ca="1">IF(INT(P$4/500*360)&gt;=$G310,K$5,NA())</f>
        <v>#N/A</v>
      </c>
      <c r="L310" s="7" t="e">
        <f t="array" aca="1" ref="L310" ca="1">IF(INT(Q$4/500*360)&gt;=$G310,L$5,NA())</f>
        <v>#N/A</v>
      </c>
      <c r="M310" s="7" t="e">
        <f t="shared" ca="1" si="35"/>
        <v>#N/A</v>
      </c>
      <c r="N310" s="7" t="e">
        <f t="shared" ca="1" si="35"/>
        <v>#N/A</v>
      </c>
      <c r="O310" s="7" t="e">
        <f t="shared" ca="1" si="35"/>
        <v>#N/A</v>
      </c>
      <c r="P310" s="7" t="e">
        <f t="shared" ca="1" si="35"/>
        <v>#N/A</v>
      </c>
      <c r="Q310" s="7" t="e">
        <f t="shared" ca="1" si="35"/>
        <v>#N/A</v>
      </c>
    </row>
    <row r="311" spans="7:17" ht="20.25" customHeight="1" x14ac:dyDescent="0.35">
      <c r="G311" s="7">
        <v>305</v>
      </c>
      <c r="H311" s="7">
        <f t="array" aca="1" ref="H311" ca="1">IF(INT(M$4/500*360)&gt;=$G311,H$5,NA())</f>
        <v>10</v>
      </c>
      <c r="I311" s="7">
        <f t="array" aca="1" ref="I311" ca="1">IF(INT(N$4/500*360)&gt;=$G311,I$5,NA())</f>
        <v>9.3000000000000007</v>
      </c>
      <c r="J311" s="7" t="e">
        <f t="array" aca="1" ref="J311" ca="1">IF(INT(O$4/500*360)&gt;=$G311,J$5,NA())</f>
        <v>#N/A</v>
      </c>
      <c r="K311" s="7" t="e">
        <f t="array" aca="1" ref="K311" ca="1">IF(INT(P$4/500*360)&gt;=$G311,K$5,NA())</f>
        <v>#N/A</v>
      </c>
      <c r="L311" s="7" t="e">
        <f t="array" aca="1" ref="L311" ca="1">IF(INT(Q$4/500*360)&gt;=$G311,L$5,NA())</f>
        <v>#N/A</v>
      </c>
      <c r="M311" s="7" t="e">
        <f t="shared" ca="1" si="35"/>
        <v>#N/A</v>
      </c>
      <c r="N311" s="7" t="e">
        <f t="shared" ca="1" si="35"/>
        <v>#N/A</v>
      </c>
      <c r="O311" s="7" t="e">
        <f t="shared" ca="1" si="35"/>
        <v>#N/A</v>
      </c>
      <c r="P311" s="7" t="e">
        <f t="shared" ca="1" si="35"/>
        <v>#N/A</v>
      </c>
      <c r="Q311" s="7" t="e">
        <f t="shared" ca="1" si="35"/>
        <v>#N/A</v>
      </c>
    </row>
    <row r="312" spans="7:17" ht="20.25" customHeight="1" x14ac:dyDescent="0.35">
      <c r="G312" s="7">
        <v>306</v>
      </c>
      <c r="H312" s="7">
        <f t="array" aca="1" ref="H312" ca="1">IF(INT(M$4/500*360)&gt;=$G312,H$5,NA())</f>
        <v>10</v>
      </c>
      <c r="I312" s="7">
        <f t="array" aca="1" ref="I312" ca="1">IF(INT(N$4/500*360)&gt;=$G312,I$5,NA())</f>
        <v>9.3000000000000007</v>
      </c>
      <c r="J312" s="7" t="e">
        <f t="array" aca="1" ref="J312" ca="1">IF(INT(O$4/500*360)&gt;=$G312,J$5,NA())</f>
        <v>#N/A</v>
      </c>
      <c r="K312" s="7" t="e">
        <f t="array" aca="1" ref="K312" ca="1">IF(INT(P$4/500*360)&gt;=$G312,K$5,NA())</f>
        <v>#N/A</v>
      </c>
      <c r="L312" s="7" t="e">
        <f t="array" aca="1" ref="L312" ca="1">IF(INT(Q$4/500*360)&gt;=$G312,L$5,NA())</f>
        <v>#N/A</v>
      </c>
      <c r="M312" s="7" t="e">
        <f t="shared" ca="1" si="35"/>
        <v>#N/A</v>
      </c>
      <c r="N312" s="7" t="e">
        <f t="shared" ca="1" si="35"/>
        <v>#N/A</v>
      </c>
      <c r="O312" s="7" t="e">
        <f t="shared" ca="1" si="35"/>
        <v>#N/A</v>
      </c>
      <c r="P312" s="7" t="e">
        <f t="shared" ca="1" si="35"/>
        <v>#N/A</v>
      </c>
      <c r="Q312" s="7" t="e">
        <f t="shared" ca="1" si="35"/>
        <v>#N/A</v>
      </c>
    </row>
    <row r="313" spans="7:17" ht="20.25" customHeight="1" x14ac:dyDescent="0.35">
      <c r="G313" s="7">
        <v>307</v>
      </c>
      <c r="H313" s="7">
        <f t="array" aca="1" ref="H313" ca="1">IF(INT(M$4/500*360)&gt;=$G313,H$5,NA())</f>
        <v>10</v>
      </c>
      <c r="I313" s="7">
        <f t="array" aca="1" ref="I313" ca="1">IF(INT(N$4/500*360)&gt;=$G313,I$5,NA())</f>
        <v>9.3000000000000007</v>
      </c>
      <c r="J313" s="7" t="e">
        <f t="array" aca="1" ref="J313" ca="1">IF(INT(O$4/500*360)&gt;=$G313,J$5,NA())</f>
        <v>#N/A</v>
      </c>
      <c r="K313" s="7" t="e">
        <f t="array" aca="1" ref="K313" ca="1">IF(INT(P$4/500*360)&gt;=$G313,K$5,NA())</f>
        <v>#N/A</v>
      </c>
      <c r="L313" s="7" t="e">
        <f t="array" aca="1" ref="L313" ca="1">IF(INT(Q$4/500*360)&gt;=$G313,L$5,NA())</f>
        <v>#N/A</v>
      </c>
      <c r="M313" s="7" t="e">
        <f t="shared" ca="1" si="35"/>
        <v>#N/A</v>
      </c>
      <c r="N313" s="7" t="e">
        <f t="shared" ca="1" si="35"/>
        <v>#N/A</v>
      </c>
      <c r="O313" s="7" t="e">
        <f t="shared" ca="1" si="35"/>
        <v>#N/A</v>
      </c>
      <c r="P313" s="7" t="e">
        <f t="shared" ca="1" si="35"/>
        <v>#N/A</v>
      </c>
      <c r="Q313" s="7" t="e">
        <f t="shared" ca="1" si="35"/>
        <v>#N/A</v>
      </c>
    </row>
    <row r="314" spans="7:17" ht="20.25" customHeight="1" x14ac:dyDescent="0.35">
      <c r="G314" s="7">
        <v>308</v>
      </c>
      <c r="H314" s="7">
        <f t="array" aca="1" ref="H314" ca="1">IF(INT(M$4/500*360)&gt;=$G314,H$5,NA())</f>
        <v>10</v>
      </c>
      <c r="I314" s="7">
        <f t="array" aca="1" ref="I314" ca="1">IF(INT(N$4/500*360)&gt;=$G314,I$5,NA())</f>
        <v>9.3000000000000007</v>
      </c>
      <c r="J314" s="7" t="e">
        <f t="array" aca="1" ref="J314" ca="1">IF(INT(O$4/500*360)&gt;=$G314,J$5,NA())</f>
        <v>#N/A</v>
      </c>
      <c r="K314" s="7" t="e">
        <f t="array" aca="1" ref="K314" ca="1">IF(INT(P$4/500*360)&gt;=$G314,K$5,NA())</f>
        <v>#N/A</v>
      </c>
      <c r="L314" s="7" t="e">
        <f t="array" aca="1" ref="L314" ca="1">IF(INT(Q$4/500*360)&gt;=$G314,L$5,NA())</f>
        <v>#N/A</v>
      </c>
      <c r="M314" s="7" t="e">
        <f t="shared" ca="1" si="35"/>
        <v>#N/A</v>
      </c>
      <c r="N314" s="7" t="e">
        <f t="shared" ca="1" si="35"/>
        <v>#N/A</v>
      </c>
      <c r="O314" s="7" t="e">
        <f t="shared" ca="1" si="35"/>
        <v>#N/A</v>
      </c>
      <c r="P314" s="7" t="e">
        <f t="shared" ca="1" si="35"/>
        <v>#N/A</v>
      </c>
      <c r="Q314" s="7" t="e">
        <f t="shared" ca="1" si="35"/>
        <v>#N/A</v>
      </c>
    </row>
    <row r="315" spans="7:17" ht="20.25" customHeight="1" x14ac:dyDescent="0.35">
      <c r="G315" s="7">
        <v>309</v>
      </c>
      <c r="H315" s="7">
        <f t="array" aca="1" ref="H315" ca="1">IF(INT(M$4/500*360)&gt;=$G315,H$5,NA())</f>
        <v>10</v>
      </c>
      <c r="I315" s="7">
        <f t="array" aca="1" ref="I315" ca="1">IF(INT(N$4/500*360)&gt;=$G315,I$5,NA())</f>
        <v>9.3000000000000007</v>
      </c>
      <c r="J315" s="7" t="e">
        <f t="array" aca="1" ref="J315" ca="1">IF(INT(O$4/500*360)&gt;=$G315,J$5,NA())</f>
        <v>#N/A</v>
      </c>
      <c r="K315" s="7" t="e">
        <f t="array" aca="1" ref="K315" ca="1">IF(INT(P$4/500*360)&gt;=$G315,K$5,NA())</f>
        <v>#N/A</v>
      </c>
      <c r="L315" s="7" t="e">
        <f t="array" aca="1" ref="L315" ca="1">IF(INT(Q$4/500*360)&gt;=$G315,L$5,NA())</f>
        <v>#N/A</v>
      </c>
      <c r="M315" s="7" t="e">
        <f t="shared" ca="1" si="35"/>
        <v>#N/A</v>
      </c>
      <c r="N315" s="7" t="e">
        <f t="shared" ca="1" si="35"/>
        <v>#N/A</v>
      </c>
      <c r="O315" s="7" t="e">
        <f t="shared" ca="1" si="35"/>
        <v>#N/A</v>
      </c>
      <c r="P315" s="7" t="e">
        <f t="shared" ca="1" si="35"/>
        <v>#N/A</v>
      </c>
      <c r="Q315" s="7" t="e">
        <f t="shared" ca="1" si="35"/>
        <v>#N/A</v>
      </c>
    </row>
    <row r="316" spans="7:17" ht="20.25" customHeight="1" x14ac:dyDescent="0.35">
      <c r="G316" s="7">
        <v>310</v>
      </c>
      <c r="H316" s="7">
        <f t="array" aca="1" ref="H316" ca="1">IF(INT(M$4/500*360)&gt;=$G316,H$5,NA())</f>
        <v>10</v>
      </c>
      <c r="I316" s="7">
        <f t="array" aca="1" ref="I316" ca="1">IF(INT(N$4/500*360)&gt;=$G316,I$5,NA())</f>
        <v>9.3000000000000007</v>
      </c>
      <c r="J316" s="7" t="e">
        <f t="array" aca="1" ref="J316" ca="1">IF(INT(O$4/500*360)&gt;=$G316,J$5,NA())</f>
        <v>#N/A</v>
      </c>
      <c r="K316" s="7" t="e">
        <f t="array" aca="1" ref="K316" ca="1">IF(INT(P$4/500*360)&gt;=$G316,K$5,NA())</f>
        <v>#N/A</v>
      </c>
      <c r="L316" s="7" t="e">
        <f t="array" aca="1" ref="L316" ca="1">IF(INT(Q$4/500*360)&gt;=$G316,L$5,NA())</f>
        <v>#N/A</v>
      </c>
      <c r="M316" s="7" t="e">
        <f t="shared" ca="1" si="35"/>
        <v>#N/A</v>
      </c>
      <c r="N316" s="7" t="e">
        <f t="shared" ca="1" si="35"/>
        <v>#N/A</v>
      </c>
      <c r="O316" s="7" t="e">
        <f t="shared" ca="1" si="35"/>
        <v>#N/A</v>
      </c>
      <c r="P316" s="7" t="e">
        <f t="shared" ca="1" si="35"/>
        <v>#N/A</v>
      </c>
      <c r="Q316" s="7" t="e">
        <f t="shared" ca="1" si="35"/>
        <v>#N/A</v>
      </c>
    </row>
    <row r="317" spans="7:17" ht="20.25" customHeight="1" x14ac:dyDescent="0.35">
      <c r="G317" s="7">
        <v>311</v>
      </c>
      <c r="H317" s="7">
        <f t="array" aca="1" ref="H317" ca="1">IF(INT(M$4/500*360)&gt;=$G317,H$5,NA())</f>
        <v>10</v>
      </c>
      <c r="I317" s="7">
        <f t="array" aca="1" ref="I317" ca="1">IF(INT(N$4/500*360)&gt;=$G317,I$5,NA())</f>
        <v>9.3000000000000007</v>
      </c>
      <c r="J317" s="7" t="e">
        <f t="array" aca="1" ref="J317" ca="1">IF(INT(O$4/500*360)&gt;=$G317,J$5,NA())</f>
        <v>#N/A</v>
      </c>
      <c r="K317" s="7" t="e">
        <f t="array" aca="1" ref="K317" ca="1">IF(INT(P$4/500*360)&gt;=$G317,K$5,NA())</f>
        <v>#N/A</v>
      </c>
      <c r="L317" s="7" t="e">
        <f t="array" aca="1" ref="L317" ca="1">IF(INT(Q$4/500*360)&gt;=$G317,L$5,NA())</f>
        <v>#N/A</v>
      </c>
      <c r="M317" s="7" t="e">
        <f t="shared" ref="M317:Q326" ca="1" si="36">IF(INT(M$4/500*360)=$G317,M$5,NA())</f>
        <v>#N/A</v>
      </c>
      <c r="N317" s="7" t="e">
        <f t="shared" ca="1" si="36"/>
        <v>#N/A</v>
      </c>
      <c r="O317" s="7" t="e">
        <f t="shared" ca="1" si="36"/>
        <v>#N/A</v>
      </c>
      <c r="P317" s="7" t="e">
        <f t="shared" ca="1" si="36"/>
        <v>#N/A</v>
      </c>
      <c r="Q317" s="7" t="e">
        <f t="shared" ca="1" si="36"/>
        <v>#N/A</v>
      </c>
    </row>
    <row r="318" spans="7:17" ht="20.25" customHeight="1" x14ac:dyDescent="0.35">
      <c r="G318" s="7">
        <v>312</v>
      </c>
      <c r="H318" s="7">
        <f t="array" aca="1" ref="H318" ca="1">IF(INT(M$4/500*360)&gt;=$G318,H$5,NA())</f>
        <v>10</v>
      </c>
      <c r="I318" s="7">
        <f t="array" aca="1" ref="I318" ca="1">IF(INT(N$4/500*360)&gt;=$G318,I$5,NA())</f>
        <v>9.3000000000000007</v>
      </c>
      <c r="J318" s="7" t="e">
        <f t="array" aca="1" ref="J318" ca="1">IF(INT(O$4/500*360)&gt;=$G318,J$5,NA())</f>
        <v>#N/A</v>
      </c>
      <c r="K318" s="7" t="e">
        <f t="array" aca="1" ref="K318" ca="1">IF(INT(P$4/500*360)&gt;=$G318,K$5,NA())</f>
        <v>#N/A</v>
      </c>
      <c r="L318" s="7" t="e">
        <f t="array" aca="1" ref="L318" ca="1">IF(INT(Q$4/500*360)&gt;=$G318,L$5,NA())</f>
        <v>#N/A</v>
      </c>
      <c r="M318" s="7" t="e">
        <f t="shared" ca="1" si="36"/>
        <v>#N/A</v>
      </c>
      <c r="N318" s="7" t="e">
        <f t="shared" ca="1" si="36"/>
        <v>#N/A</v>
      </c>
      <c r="O318" s="7" t="e">
        <f t="shared" ca="1" si="36"/>
        <v>#N/A</v>
      </c>
      <c r="P318" s="7" t="e">
        <f t="shared" ca="1" si="36"/>
        <v>#N/A</v>
      </c>
      <c r="Q318" s="7" t="e">
        <f t="shared" ca="1" si="36"/>
        <v>#N/A</v>
      </c>
    </row>
    <row r="319" spans="7:17" ht="20.25" customHeight="1" x14ac:dyDescent="0.35">
      <c r="G319" s="7">
        <v>313</v>
      </c>
      <c r="H319" s="7">
        <f t="array" aca="1" ref="H319" ca="1">IF(INT(M$4/500*360)&gt;=$G319,H$5,NA())</f>
        <v>10</v>
      </c>
      <c r="I319" s="7">
        <f t="array" aca="1" ref="I319" ca="1">IF(INT(N$4/500*360)&gt;=$G319,I$5,NA())</f>
        <v>9.3000000000000007</v>
      </c>
      <c r="J319" s="7" t="e">
        <f t="array" aca="1" ref="J319" ca="1">IF(INT(O$4/500*360)&gt;=$G319,J$5,NA())</f>
        <v>#N/A</v>
      </c>
      <c r="K319" s="7" t="e">
        <f t="array" aca="1" ref="K319" ca="1">IF(INT(P$4/500*360)&gt;=$G319,K$5,NA())</f>
        <v>#N/A</v>
      </c>
      <c r="L319" s="7" t="e">
        <f t="array" aca="1" ref="L319" ca="1">IF(INT(Q$4/500*360)&gt;=$G319,L$5,NA())</f>
        <v>#N/A</v>
      </c>
      <c r="M319" s="7" t="e">
        <f t="shared" ca="1" si="36"/>
        <v>#N/A</v>
      </c>
      <c r="N319" s="7" t="e">
        <f t="shared" ca="1" si="36"/>
        <v>#N/A</v>
      </c>
      <c r="O319" s="7" t="e">
        <f t="shared" ca="1" si="36"/>
        <v>#N/A</v>
      </c>
      <c r="P319" s="7" t="e">
        <f t="shared" ca="1" si="36"/>
        <v>#N/A</v>
      </c>
      <c r="Q319" s="7" t="e">
        <f t="shared" ca="1" si="36"/>
        <v>#N/A</v>
      </c>
    </row>
    <row r="320" spans="7:17" ht="20.25" customHeight="1" x14ac:dyDescent="0.35">
      <c r="G320" s="7">
        <v>314</v>
      </c>
      <c r="H320" s="7">
        <f t="array" aca="1" ref="H320" ca="1">IF(INT(M$4/500*360)&gt;=$G320,H$5,NA())</f>
        <v>10</v>
      </c>
      <c r="I320" s="7">
        <f t="array" aca="1" ref="I320" ca="1">IF(INT(N$4/500*360)&gt;=$G320,I$5,NA())</f>
        <v>9.3000000000000007</v>
      </c>
      <c r="J320" s="7" t="e">
        <f t="array" aca="1" ref="J320" ca="1">IF(INT(O$4/500*360)&gt;=$G320,J$5,NA())</f>
        <v>#N/A</v>
      </c>
      <c r="K320" s="7" t="e">
        <f t="array" aca="1" ref="K320" ca="1">IF(INT(P$4/500*360)&gt;=$G320,K$5,NA())</f>
        <v>#N/A</v>
      </c>
      <c r="L320" s="7" t="e">
        <f t="array" aca="1" ref="L320" ca="1">IF(INT(Q$4/500*360)&gt;=$G320,L$5,NA())</f>
        <v>#N/A</v>
      </c>
      <c r="M320" s="7" t="e">
        <f t="shared" ca="1" si="36"/>
        <v>#N/A</v>
      </c>
      <c r="N320" s="7" t="e">
        <f t="shared" ca="1" si="36"/>
        <v>#N/A</v>
      </c>
      <c r="O320" s="7" t="e">
        <f t="shared" ca="1" si="36"/>
        <v>#N/A</v>
      </c>
      <c r="P320" s="7" t="e">
        <f t="shared" ca="1" si="36"/>
        <v>#N/A</v>
      </c>
      <c r="Q320" s="7" t="e">
        <f t="shared" ca="1" si="36"/>
        <v>#N/A</v>
      </c>
    </row>
    <row r="321" spans="7:17" ht="20.25" customHeight="1" x14ac:dyDescent="0.35">
      <c r="G321" s="7">
        <v>315</v>
      </c>
      <c r="H321" s="7">
        <f t="array" aca="1" ref="H321" ca="1">IF(INT(M$4/500*360)&gt;=$G321,H$5,NA())</f>
        <v>10</v>
      </c>
      <c r="I321" s="7">
        <f t="array" aca="1" ref="I321" ca="1">IF(INT(N$4/500*360)&gt;=$G321,I$5,NA())</f>
        <v>9.3000000000000007</v>
      </c>
      <c r="J321" s="7" t="e">
        <f t="array" aca="1" ref="J321" ca="1">IF(INT(O$4/500*360)&gt;=$G321,J$5,NA())</f>
        <v>#N/A</v>
      </c>
      <c r="K321" s="7" t="e">
        <f t="array" aca="1" ref="K321" ca="1">IF(INT(P$4/500*360)&gt;=$G321,K$5,NA())</f>
        <v>#N/A</v>
      </c>
      <c r="L321" s="7" t="e">
        <f t="array" aca="1" ref="L321" ca="1">IF(INT(Q$4/500*360)&gt;=$G321,L$5,NA())</f>
        <v>#N/A</v>
      </c>
      <c r="M321" s="7" t="e">
        <f t="shared" ca="1" si="36"/>
        <v>#N/A</v>
      </c>
      <c r="N321" s="7" t="e">
        <f t="shared" ca="1" si="36"/>
        <v>#N/A</v>
      </c>
      <c r="O321" s="7" t="e">
        <f t="shared" ca="1" si="36"/>
        <v>#N/A</v>
      </c>
      <c r="P321" s="7" t="e">
        <f t="shared" ca="1" si="36"/>
        <v>#N/A</v>
      </c>
      <c r="Q321" s="7" t="e">
        <f t="shared" ca="1" si="36"/>
        <v>#N/A</v>
      </c>
    </row>
    <row r="322" spans="7:17" ht="20.25" customHeight="1" x14ac:dyDescent="0.35">
      <c r="G322" s="7">
        <v>316</v>
      </c>
      <c r="H322" s="7">
        <f t="array" aca="1" ref="H322" ca="1">IF(INT(M$4/500*360)&gt;=$G322,H$5,NA())</f>
        <v>10</v>
      </c>
      <c r="I322" s="7">
        <f t="array" aca="1" ref="I322" ca="1">IF(INT(N$4/500*360)&gt;=$G322,I$5,NA())</f>
        <v>9.3000000000000007</v>
      </c>
      <c r="J322" s="7" t="e">
        <f t="array" aca="1" ref="J322" ca="1">IF(INT(O$4/500*360)&gt;=$G322,J$5,NA())</f>
        <v>#N/A</v>
      </c>
      <c r="K322" s="7" t="e">
        <f t="array" aca="1" ref="K322" ca="1">IF(INT(P$4/500*360)&gt;=$G322,K$5,NA())</f>
        <v>#N/A</v>
      </c>
      <c r="L322" s="7" t="e">
        <f t="array" aca="1" ref="L322" ca="1">IF(INT(Q$4/500*360)&gt;=$G322,L$5,NA())</f>
        <v>#N/A</v>
      </c>
      <c r="M322" s="7" t="e">
        <f t="shared" ca="1" si="36"/>
        <v>#N/A</v>
      </c>
      <c r="N322" s="7" t="e">
        <f t="shared" ca="1" si="36"/>
        <v>#N/A</v>
      </c>
      <c r="O322" s="7" t="e">
        <f t="shared" ca="1" si="36"/>
        <v>#N/A</v>
      </c>
      <c r="P322" s="7" t="e">
        <f t="shared" ca="1" si="36"/>
        <v>#N/A</v>
      </c>
      <c r="Q322" s="7" t="e">
        <f t="shared" ca="1" si="36"/>
        <v>#N/A</v>
      </c>
    </row>
    <row r="323" spans="7:17" ht="20.25" customHeight="1" x14ac:dyDescent="0.35">
      <c r="G323" s="7">
        <v>317</v>
      </c>
      <c r="H323" s="7">
        <f t="array" aca="1" ref="H323" ca="1">IF(INT(M$4/500*360)&gt;=$G323,H$5,NA())</f>
        <v>10</v>
      </c>
      <c r="I323" s="7">
        <f t="array" aca="1" ref="I323" ca="1">IF(INT(N$4/500*360)&gt;=$G323,I$5,NA())</f>
        <v>9.3000000000000007</v>
      </c>
      <c r="J323" s="7" t="e">
        <f t="array" aca="1" ref="J323" ca="1">IF(INT(O$4/500*360)&gt;=$G323,J$5,NA())</f>
        <v>#N/A</v>
      </c>
      <c r="K323" s="7" t="e">
        <f t="array" aca="1" ref="K323" ca="1">IF(INT(P$4/500*360)&gt;=$G323,K$5,NA())</f>
        <v>#N/A</v>
      </c>
      <c r="L323" s="7" t="e">
        <f t="array" aca="1" ref="L323" ca="1">IF(INT(Q$4/500*360)&gt;=$G323,L$5,NA())</f>
        <v>#N/A</v>
      </c>
      <c r="M323" s="7" t="e">
        <f t="shared" ca="1" si="36"/>
        <v>#N/A</v>
      </c>
      <c r="N323" s="7" t="e">
        <f t="shared" ca="1" si="36"/>
        <v>#N/A</v>
      </c>
      <c r="O323" s="7" t="e">
        <f t="shared" ca="1" si="36"/>
        <v>#N/A</v>
      </c>
      <c r="P323" s="7" t="e">
        <f t="shared" ca="1" si="36"/>
        <v>#N/A</v>
      </c>
      <c r="Q323" s="7" t="e">
        <f t="shared" ca="1" si="36"/>
        <v>#N/A</v>
      </c>
    </row>
    <row r="324" spans="7:17" ht="20.25" customHeight="1" x14ac:dyDescent="0.35">
      <c r="G324" s="7">
        <v>318</v>
      </c>
      <c r="H324" s="7">
        <f t="array" aca="1" ref="H324" ca="1">IF(INT(M$4/500*360)&gt;=$G324,H$5,NA())</f>
        <v>10</v>
      </c>
      <c r="I324" s="7">
        <f t="array" aca="1" ref="I324" ca="1">IF(INT(N$4/500*360)&gt;=$G324,I$5,NA())</f>
        <v>9.3000000000000007</v>
      </c>
      <c r="J324" s="7" t="e">
        <f t="array" aca="1" ref="J324" ca="1">IF(INT(O$4/500*360)&gt;=$G324,J$5,NA())</f>
        <v>#N/A</v>
      </c>
      <c r="K324" s="7" t="e">
        <f t="array" aca="1" ref="K324" ca="1">IF(INT(P$4/500*360)&gt;=$G324,K$5,NA())</f>
        <v>#N/A</v>
      </c>
      <c r="L324" s="7" t="e">
        <f t="array" aca="1" ref="L324" ca="1">IF(INT(Q$4/500*360)&gt;=$G324,L$5,NA())</f>
        <v>#N/A</v>
      </c>
      <c r="M324" s="7" t="e">
        <f t="shared" ca="1" si="36"/>
        <v>#N/A</v>
      </c>
      <c r="N324" s="7" t="e">
        <f t="shared" ca="1" si="36"/>
        <v>#N/A</v>
      </c>
      <c r="O324" s="7" t="e">
        <f t="shared" ca="1" si="36"/>
        <v>#N/A</v>
      </c>
      <c r="P324" s="7" t="e">
        <f t="shared" ca="1" si="36"/>
        <v>#N/A</v>
      </c>
      <c r="Q324" s="7" t="e">
        <f t="shared" ca="1" si="36"/>
        <v>#N/A</v>
      </c>
    </row>
    <row r="325" spans="7:17" ht="20.25" customHeight="1" x14ac:dyDescent="0.35">
      <c r="G325" s="7">
        <v>319</v>
      </c>
      <c r="H325" s="7">
        <f t="array" aca="1" ref="H325" ca="1">IF(INT(M$4/500*360)&gt;=$G325,H$5,NA())</f>
        <v>10</v>
      </c>
      <c r="I325" s="7">
        <f t="array" aca="1" ref="I325" ca="1">IF(INT(N$4/500*360)&gt;=$G325,I$5,NA())</f>
        <v>9.3000000000000007</v>
      </c>
      <c r="J325" s="7" t="e">
        <f t="array" aca="1" ref="J325" ca="1">IF(INT(O$4/500*360)&gt;=$G325,J$5,NA())</f>
        <v>#N/A</v>
      </c>
      <c r="K325" s="7" t="e">
        <f t="array" aca="1" ref="K325" ca="1">IF(INT(P$4/500*360)&gt;=$G325,K$5,NA())</f>
        <v>#N/A</v>
      </c>
      <c r="L325" s="7" t="e">
        <f t="array" aca="1" ref="L325" ca="1">IF(INT(Q$4/500*360)&gt;=$G325,L$5,NA())</f>
        <v>#N/A</v>
      </c>
      <c r="M325" s="7" t="e">
        <f t="shared" ca="1" si="36"/>
        <v>#N/A</v>
      </c>
      <c r="N325" s="7" t="e">
        <f t="shared" ca="1" si="36"/>
        <v>#N/A</v>
      </c>
      <c r="O325" s="7" t="e">
        <f t="shared" ca="1" si="36"/>
        <v>#N/A</v>
      </c>
      <c r="P325" s="7" t="e">
        <f t="shared" ca="1" si="36"/>
        <v>#N/A</v>
      </c>
      <c r="Q325" s="7" t="e">
        <f t="shared" ca="1" si="36"/>
        <v>#N/A</v>
      </c>
    </row>
    <row r="326" spans="7:17" ht="20.25" customHeight="1" x14ac:dyDescent="0.35">
      <c r="G326" s="7">
        <v>320</v>
      </c>
      <c r="H326" s="7">
        <f t="array" aca="1" ref="H326" ca="1">IF(INT(M$4/500*360)&gt;=$G326,H$5,NA())</f>
        <v>10</v>
      </c>
      <c r="I326" s="7">
        <f t="array" aca="1" ref="I326" ca="1">IF(INT(N$4/500*360)&gt;=$G326,I$5,NA())</f>
        <v>9.3000000000000007</v>
      </c>
      <c r="J326" s="7" t="e">
        <f t="array" aca="1" ref="J326" ca="1">IF(INT(O$4/500*360)&gt;=$G326,J$5,NA())</f>
        <v>#N/A</v>
      </c>
      <c r="K326" s="7" t="e">
        <f t="array" aca="1" ref="K326" ca="1">IF(INT(P$4/500*360)&gt;=$G326,K$5,NA())</f>
        <v>#N/A</v>
      </c>
      <c r="L326" s="7" t="e">
        <f t="array" aca="1" ref="L326" ca="1">IF(INT(Q$4/500*360)&gt;=$G326,L$5,NA())</f>
        <v>#N/A</v>
      </c>
      <c r="M326" s="7" t="e">
        <f t="shared" ca="1" si="36"/>
        <v>#N/A</v>
      </c>
      <c r="N326" s="7" t="e">
        <f t="shared" ca="1" si="36"/>
        <v>#N/A</v>
      </c>
      <c r="O326" s="7" t="e">
        <f t="shared" ca="1" si="36"/>
        <v>#N/A</v>
      </c>
      <c r="P326" s="7" t="e">
        <f t="shared" ca="1" si="36"/>
        <v>#N/A</v>
      </c>
      <c r="Q326" s="7" t="e">
        <f t="shared" ca="1" si="36"/>
        <v>#N/A</v>
      </c>
    </row>
    <row r="327" spans="7:17" ht="20.25" customHeight="1" x14ac:dyDescent="0.35">
      <c r="G327" s="7">
        <v>321</v>
      </c>
      <c r="H327" s="7">
        <f t="array" aca="1" ref="H327" ca="1">IF(INT(M$4/500*360)&gt;=$G327,H$5,NA())</f>
        <v>10</v>
      </c>
      <c r="I327" s="7">
        <f t="array" aca="1" ref="I327" ca="1">IF(INT(N$4/500*360)&gt;=$G327,I$5,NA())</f>
        <v>9.3000000000000007</v>
      </c>
      <c r="J327" s="7" t="e">
        <f t="array" aca="1" ref="J327" ca="1">IF(INT(O$4/500*360)&gt;=$G327,J$5,NA())</f>
        <v>#N/A</v>
      </c>
      <c r="K327" s="7" t="e">
        <f t="array" aca="1" ref="K327" ca="1">IF(INT(P$4/500*360)&gt;=$G327,K$5,NA())</f>
        <v>#N/A</v>
      </c>
      <c r="L327" s="7" t="e">
        <f t="array" aca="1" ref="L327" ca="1">IF(INT(Q$4/500*360)&gt;=$G327,L$5,NA())</f>
        <v>#N/A</v>
      </c>
      <c r="M327" s="7" t="e">
        <f t="shared" ref="M327:Q336" ca="1" si="37">IF(INT(M$4/500*360)=$G327,M$5,NA())</f>
        <v>#N/A</v>
      </c>
      <c r="N327" s="7" t="e">
        <f t="shared" ca="1" si="37"/>
        <v>#N/A</v>
      </c>
      <c r="O327" s="7" t="e">
        <f t="shared" ca="1" si="37"/>
        <v>#N/A</v>
      </c>
      <c r="P327" s="7" t="e">
        <f t="shared" ca="1" si="37"/>
        <v>#N/A</v>
      </c>
      <c r="Q327" s="7" t="e">
        <f t="shared" ca="1" si="37"/>
        <v>#N/A</v>
      </c>
    </row>
    <row r="328" spans="7:17" ht="20.25" customHeight="1" x14ac:dyDescent="0.35">
      <c r="G328" s="7">
        <v>322</v>
      </c>
      <c r="H328" s="7">
        <f t="array" aca="1" ref="H328" ca="1">IF(INT(M$4/500*360)&gt;=$G328,H$5,NA())</f>
        <v>10</v>
      </c>
      <c r="I328" s="7">
        <f t="array" aca="1" ref="I328" ca="1">IF(INT(N$4/500*360)&gt;=$G328,I$5,NA())</f>
        <v>9.3000000000000007</v>
      </c>
      <c r="J328" s="7" t="e">
        <f t="array" aca="1" ref="J328" ca="1">IF(INT(O$4/500*360)&gt;=$G328,J$5,NA())</f>
        <v>#N/A</v>
      </c>
      <c r="K328" s="7" t="e">
        <f t="array" aca="1" ref="K328" ca="1">IF(INT(P$4/500*360)&gt;=$G328,K$5,NA())</f>
        <v>#N/A</v>
      </c>
      <c r="L328" s="7" t="e">
        <f t="array" aca="1" ref="L328" ca="1">IF(INT(Q$4/500*360)&gt;=$G328,L$5,NA())</f>
        <v>#N/A</v>
      </c>
      <c r="M328" s="7" t="e">
        <f t="shared" ca="1" si="37"/>
        <v>#N/A</v>
      </c>
      <c r="N328" s="7" t="e">
        <f t="shared" ca="1" si="37"/>
        <v>#N/A</v>
      </c>
      <c r="O328" s="7" t="e">
        <f t="shared" ca="1" si="37"/>
        <v>#N/A</v>
      </c>
      <c r="P328" s="7" t="e">
        <f t="shared" ca="1" si="37"/>
        <v>#N/A</v>
      </c>
      <c r="Q328" s="7" t="e">
        <f t="shared" ca="1" si="37"/>
        <v>#N/A</v>
      </c>
    </row>
    <row r="329" spans="7:17" ht="20.25" customHeight="1" x14ac:dyDescent="0.35">
      <c r="G329" s="7">
        <v>323</v>
      </c>
      <c r="H329" s="7">
        <f t="array" aca="1" ref="H329" ca="1">IF(INT(M$4/500*360)&gt;=$G329,H$5,NA())</f>
        <v>10</v>
      </c>
      <c r="I329" s="7">
        <f t="array" aca="1" ref="I329" ca="1">IF(INT(N$4/500*360)&gt;=$G329,I$5,NA())</f>
        <v>9.3000000000000007</v>
      </c>
      <c r="J329" s="7" t="e">
        <f t="array" aca="1" ref="J329" ca="1">IF(INT(O$4/500*360)&gt;=$G329,J$5,NA())</f>
        <v>#N/A</v>
      </c>
      <c r="K329" s="7" t="e">
        <f t="array" aca="1" ref="K329" ca="1">IF(INT(P$4/500*360)&gt;=$G329,K$5,NA())</f>
        <v>#N/A</v>
      </c>
      <c r="L329" s="7" t="e">
        <f t="array" aca="1" ref="L329" ca="1">IF(INT(Q$4/500*360)&gt;=$G329,L$5,NA())</f>
        <v>#N/A</v>
      </c>
      <c r="M329" s="7" t="e">
        <f t="shared" ca="1" si="37"/>
        <v>#N/A</v>
      </c>
      <c r="N329" s="7" t="e">
        <f t="shared" ca="1" si="37"/>
        <v>#N/A</v>
      </c>
      <c r="O329" s="7" t="e">
        <f t="shared" ca="1" si="37"/>
        <v>#N/A</v>
      </c>
      <c r="P329" s="7" t="e">
        <f t="shared" ca="1" si="37"/>
        <v>#N/A</v>
      </c>
      <c r="Q329" s="7" t="e">
        <f t="shared" ca="1" si="37"/>
        <v>#N/A</v>
      </c>
    </row>
    <row r="330" spans="7:17" ht="20.25" customHeight="1" x14ac:dyDescent="0.35">
      <c r="G330" s="7">
        <v>324</v>
      </c>
      <c r="H330" s="7">
        <f t="array" aca="1" ref="H330" ca="1">IF(INT(M$4/500*360)&gt;=$G330,H$5,NA())</f>
        <v>10</v>
      </c>
      <c r="I330" s="7">
        <f t="array" aca="1" ref="I330" ca="1">IF(INT(N$4/500*360)&gt;=$G330,I$5,NA())</f>
        <v>9.3000000000000007</v>
      </c>
      <c r="J330" s="7" t="e">
        <f t="array" aca="1" ref="J330" ca="1">IF(INT(O$4/500*360)&gt;=$G330,J$5,NA())</f>
        <v>#N/A</v>
      </c>
      <c r="K330" s="7" t="e">
        <f t="array" aca="1" ref="K330" ca="1">IF(INT(P$4/500*360)&gt;=$G330,K$5,NA())</f>
        <v>#N/A</v>
      </c>
      <c r="L330" s="7" t="e">
        <f t="array" aca="1" ref="L330" ca="1">IF(INT(Q$4/500*360)&gt;=$G330,L$5,NA())</f>
        <v>#N/A</v>
      </c>
      <c r="M330" s="7" t="e">
        <f t="shared" ca="1" si="37"/>
        <v>#N/A</v>
      </c>
      <c r="N330" s="7" t="e">
        <f t="shared" ca="1" si="37"/>
        <v>#N/A</v>
      </c>
      <c r="O330" s="7" t="e">
        <f t="shared" ca="1" si="37"/>
        <v>#N/A</v>
      </c>
      <c r="P330" s="7" t="e">
        <f t="shared" ca="1" si="37"/>
        <v>#N/A</v>
      </c>
      <c r="Q330" s="7" t="e">
        <f t="shared" ca="1" si="37"/>
        <v>#N/A</v>
      </c>
    </row>
    <row r="331" spans="7:17" ht="20.25" customHeight="1" x14ac:dyDescent="0.35">
      <c r="G331" s="7">
        <v>325</v>
      </c>
      <c r="H331" s="7">
        <f t="array" aca="1" ref="H331" ca="1">IF(INT(M$4/500*360)&gt;=$G331,H$5,NA())</f>
        <v>10</v>
      </c>
      <c r="I331" s="7">
        <f t="array" aca="1" ref="I331" ca="1">IF(INT(N$4/500*360)&gt;=$G331,I$5,NA())</f>
        <v>9.3000000000000007</v>
      </c>
      <c r="J331" s="7" t="e">
        <f t="array" aca="1" ref="J331" ca="1">IF(INT(O$4/500*360)&gt;=$G331,J$5,NA())</f>
        <v>#N/A</v>
      </c>
      <c r="K331" s="7" t="e">
        <f t="array" aca="1" ref="K331" ca="1">IF(INT(P$4/500*360)&gt;=$G331,K$5,NA())</f>
        <v>#N/A</v>
      </c>
      <c r="L331" s="7" t="e">
        <f t="array" aca="1" ref="L331" ca="1">IF(INT(Q$4/500*360)&gt;=$G331,L$5,NA())</f>
        <v>#N/A</v>
      </c>
      <c r="M331" s="7" t="e">
        <f t="shared" ca="1" si="37"/>
        <v>#N/A</v>
      </c>
      <c r="N331" s="7" t="e">
        <f t="shared" ca="1" si="37"/>
        <v>#N/A</v>
      </c>
      <c r="O331" s="7" t="e">
        <f t="shared" ca="1" si="37"/>
        <v>#N/A</v>
      </c>
      <c r="P331" s="7" t="e">
        <f t="shared" ca="1" si="37"/>
        <v>#N/A</v>
      </c>
      <c r="Q331" s="7" t="e">
        <f t="shared" ca="1" si="37"/>
        <v>#N/A</v>
      </c>
    </row>
    <row r="332" spans="7:17" ht="20.25" customHeight="1" x14ac:dyDescent="0.35">
      <c r="G332" s="7">
        <v>326</v>
      </c>
      <c r="H332" s="7">
        <f t="array" aca="1" ref="H332" ca="1">IF(INT(M$4/500*360)&gt;=$G332,H$5,NA())</f>
        <v>10</v>
      </c>
      <c r="I332" s="7">
        <f t="array" aca="1" ref="I332" ca="1">IF(INT(N$4/500*360)&gt;=$G332,I$5,NA())</f>
        <v>9.3000000000000007</v>
      </c>
      <c r="J332" s="7" t="e">
        <f t="array" aca="1" ref="J332" ca="1">IF(INT(O$4/500*360)&gt;=$G332,J$5,NA())</f>
        <v>#N/A</v>
      </c>
      <c r="K332" s="7" t="e">
        <f t="array" aca="1" ref="K332" ca="1">IF(INT(P$4/500*360)&gt;=$G332,K$5,NA())</f>
        <v>#N/A</v>
      </c>
      <c r="L332" s="7" t="e">
        <f t="array" aca="1" ref="L332" ca="1">IF(INT(Q$4/500*360)&gt;=$G332,L$5,NA())</f>
        <v>#N/A</v>
      </c>
      <c r="M332" s="7" t="e">
        <f t="shared" ca="1" si="37"/>
        <v>#N/A</v>
      </c>
      <c r="N332" s="7" t="e">
        <f t="shared" ca="1" si="37"/>
        <v>#N/A</v>
      </c>
      <c r="O332" s="7" t="e">
        <f t="shared" ca="1" si="37"/>
        <v>#N/A</v>
      </c>
      <c r="P332" s="7" t="e">
        <f t="shared" ca="1" si="37"/>
        <v>#N/A</v>
      </c>
      <c r="Q332" s="7" t="e">
        <f t="shared" ca="1" si="37"/>
        <v>#N/A</v>
      </c>
    </row>
    <row r="333" spans="7:17" ht="20.25" customHeight="1" x14ac:dyDescent="0.35">
      <c r="G333" s="7">
        <v>327</v>
      </c>
      <c r="H333" s="7">
        <f t="array" aca="1" ref="H333" ca="1">IF(INT(M$4/500*360)&gt;=$G333,H$5,NA())</f>
        <v>10</v>
      </c>
      <c r="I333" s="7">
        <f t="array" aca="1" ref="I333" ca="1">IF(INT(N$4/500*360)&gt;=$G333,I$5,NA())</f>
        <v>9.3000000000000007</v>
      </c>
      <c r="J333" s="7" t="e">
        <f t="array" aca="1" ref="J333" ca="1">IF(INT(O$4/500*360)&gt;=$G333,J$5,NA())</f>
        <v>#N/A</v>
      </c>
      <c r="K333" s="7" t="e">
        <f t="array" aca="1" ref="K333" ca="1">IF(INT(P$4/500*360)&gt;=$G333,K$5,NA())</f>
        <v>#N/A</v>
      </c>
      <c r="L333" s="7" t="e">
        <f t="array" aca="1" ref="L333" ca="1">IF(INT(Q$4/500*360)&gt;=$G333,L$5,NA())</f>
        <v>#N/A</v>
      </c>
      <c r="M333" s="7" t="e">
        <f t="shared" ca="1" si="37"/>
        <v>#N/A</v>
      </c>
      <c r="N333" s="7" t="e">
        <f t="shared" ca="1" si="37"/>
        <v>#N/A</v>
      </c>
      <c r="O333" s="7" t="e">
        <f t="shared" ca="1" si="37"/>
        <v>#N/A</v>
      </c>
      <c r="P333" s="7" t="e">
        <f t="shared" ca="1" si="37"/>
        <v>#N/A</v>
      </c>
      <c r="Q333" s="7" t="e">
        <f t="shared" ca="1" si="37"/>
        <v>#N/A</v>
      </c>
    </row>
    <row r="334" spans="7:17" ht="20.25" customHeight="1" x14ac:dyDescent="0.35">
      <c r="G334" s="7">
        <v>328</v>
      </c>
      <c r="H334" s="7">
        <f t="array" aca="1" ref="H334" ca="1">IF(INT(M$4/500*360)&gt;=$G334,H$5,NA())</f>
        <v>10</v>
      </c>
      <c r="I334" s="7">
        <f t="array" aca="1" ref="I334" ca="1">IF(INT(N$4/500*360)&gt;=$G334,I$5,NA())</f>
        <v>9.3000000000000007</v>
      </c>
      <c r="J334" s="7" t="e">
        <f t="array" aca="1" ref="J334" ca="1">IF(INT(O$4/500*360)&gt;=$G334,J$5,NA())</f>
        <v>#N/A</v>
      </c>
      <c r="K334" s="7" t="e">
        <f t="array" aca="1" ref="K334" ca="1">IF(INT(P$4/500*360)&gt;=$G334,K$5,NA())</f>
        <v>#N/A</v>
      </c>
      <c r="L334" s="7" t="e">
        <f t="array" aca="1" ref="L334" ca="1">IF(INT(Q$4/500*360)&gt;=$G334,L$5,NA())</f>
        <v>#N/A</v>
      </c>
      <c r="M334" s="7" t="e">
        <f t="shared" ca="1" si="37"/>
        <v>#N/A</v>
      </c>
      <c r="N334" s="7" t="e">
        <f t="shared" ca="1" si="37"/>
        <v>#N/A</v>
      </c>
      <c r="O334" s="7" t="e">
        <f t="shared" ca="1" si="37"/>
        <v>#N/A</v>
      </c>
      <c r="P334" s="7" t="e">
        <f t="shared" ca="1" si="37"/>
        <v>#N/A</v>
      </c>
      <c r="Q334" s="7" t="e">
        <f t="shared" ca="1" si="37"/>
        <v>#N/A</v>
      </c>
    </row>
    <row r="335" spans="7:17" ht="20.25" customHeight="1" x14ac:dyDescent="0.35">
      <c r="G335" s="7">
        <v>329</v>
      </c>
      <c r="H335" s="7">
        <f t="array" aca="1" ref="H335" ca="1">IF(INT(M$4/500*360)&gt;=$G335,H$5,NA())</f>
        <v>10</v>
      </c>
      <c r="I335" s="7">
        <f t="array" aca="1" ref="I335" ca="1">IF(INT(N$4/500*360)&gt;=$G335,I$5,NA())</f>
        <v>9.3000000000000007</v>
      </c>
      <c r="J335" s="7" t="e">
        <f t="array" aca="1" ref="J335" ca="1">IF(INT(O$4/500*360)&gt;=$G335,J$5,NA())</f>
        <v>#N/A</v>
      </c>
      <c r="K335" s="7" t="e">
        <f t="array" aca="1" ref="K335" ca="1">IF(INT(P$4/500*360)&gt;=$G335,K$5,NA())</f>
        <v>#N/A</v>
      </c>
      <c r="L335" s="7" t="e">
        <f t="array" aca="1" ref="L335" ca="1">IF(INT(Q$4/500*360)&gt;=$G335,L$5,NA())</f>
        <v>#N/A</v>
      </c>
      <c r="M335" s="7" t="e">
        <f t="shared" ca="1" si="37"/>
        <v>#N/A</v>
      </c>
      <c r="N335" s="7" t="e">
        <f t="shared" ca="1" si="37"/>
        <v>#N/A</v>
      </c>
      <c r="O335" s="7" t="e">
        <f t="shared" ca="1" si="37"/>
        <v>#N/A</v>
      </c>
      <c r="P335" s="7" t="e">
        <f t="shared" ca="1" si="37"/>
        <v>#N/A</v>
      </c>
      <c r="Q335" s="7" t="e">
        <f t="shared" ca="1" si="37"/>
        <v>#N/A</v>
      </c>
    </row>
    <row r="336" spans="7:17" ht="20.25" customHeight="1" x14ac:dyDescent="0.35">
      <c r="G336" s="7">
        <v>330</v>
      </c>
      <c r="H336" s="7">
        <f t="array" aca="1" ref="H336" ca="1">IF(INT(M$4/500*360)&gt;=$G336,H$5,NA())</f>
        <v>10</v>
      </c>
      <c r="I336" s="7">
        <f t="array" aca="1" ref="I336" ca="1">IF(INT(N$4/500*360)&gt;=$G336,I$5,NA())</f>
        <v>9.3000000000000007</v>
      </c>
      <c r="J336" s="7" t="e">
        <f t="array" aca="1" ref="J336" ca="1">IF(INT(O$4/500*360)&gt;=$G336,J$5,NA())</f>
        <v>#N/A</v>
      </c>
      <c r="K336" s="7" t="e">
        <f t="array" aca="1" ref="K336" ca="1">IF(INT(P$4/500*360)&gt;=$G336,K$5,NA())</f>
        <v>#N/A</v>
      </c>
      <c r="L336" s="7" t="e">
        <f t="array" aca="1" ref="L336" ca="1">IF(INT(Q$4/500*360)&gt;=$G336,L$5,NA())</f>
        <v>#N/A</v>
      </c>
      <c r="M336" s="7" t="e">
        <f t="shared" ca="1" si="37"/>
        <v>#N/A</v>
      </c>
      <c r="N336" s="7" t="e">
        <f t="shared" ca="1" si="37"/>
        <v>#N/A</v>
      </c>
      <c r="O336" s="7" t="e">
        <f t="shared" ca="1" si="37"/>
        <v>#N/A</v>
      </c>
      <c r="P336" s="7" t="e">
        <f t="shared" ca="1" si="37"/>
        <v>#N/A</v>
      </c>
      <c r="Q336" s="7" t="e">
        <f t="shared" ca="1" si="37"/>
        <v>#N/A</v>
      </c>
    </row>
    <row r="337" spans="7:17" ht="20.25" customHeight="1" x14ac:dyDescent="0.35">
      <c r="G337" s="7">
        <v>331</v>
      </c>
      <c r="H337" s="7">
        <f t="array" aca="1" ref="H337" ca="1">IF(INT(M$4/500*360)&gt;=$G337,H$5,NA())</f>
        <v>10</v>
      </c>
      <c r="I337" s="7">
        <f t="array" aca="1" ref="I337" ca="1">IF(INT(N$4/500*360)&gt;=$G337,I$5,NA())</f>
        <v>9.3000000000000007</v>
      </c>
      <c r="J337" s="7" t="e">
        <f t="array" aca="1" ref="J337" ca="1">IF(INT(O$4/500*360)&gt;=$G337,J$5,NA())</f>
        <v>#N/A</v>
      </c>
      <c r="K337" s="7" t="e">
        <f t="array" aca="1" ref="K337" ca="1">IF(INT(P$4/500*360)&gt;=$G337,K$5,NA())</f>
        <v>#N/A</v>
      </c>
      <c r="L337" s="7" t="e">
        <f t="array" aca="1" ref="L337" ca="1">IF(INT(Q$4/500*360)&gt;=$G337,L$5,NA())</f>
        <v>#N/A</v>
      </c>
      <c r="M337" s="7" t="e">
        <f t="shared" ref="M337:Q346" ca="1" si="38">IF(INT(M$4/500*360)=$G337,M$5,NA())</f>
        <v>#N/A</v>
      </c>
      <c r="N337" s="7" t="e">
        <f t="shared" ca="1" si="38"/>
        <v>#N/A</v>
      </c>
      <c r="O337" s="7" t="e">
        <f t="shared" ca="1" si="38"/>
        <v>#N/A</v>
      </c>
      <c r="P337" s="7" t="e">
        <f t="shared" ca="1" si="38"/>
        <v>#N/A</v>
      </c>
      <c r="Q337" s="7" t="e">
        <f t="shared" ca="1" si="38"/>
        <v>#N/A</v>
      </c>
    </row>
    <row r="338" spans="7:17" ht="20.25" customHeight="1" x14ac:dyDescent="0.35">
      <c r="G338" s="7">
        <v>332</v>
      </c>
      <c r="H338" s="7">
        <f t="array" aca="1" ref="H338" ca="1">IF(INT(M$4/500*360)&gt;=$G338,H$5,NA())</f>
        <v>10</v>
      </c>
      <c r="I338" s="7">
        <f t="array" aca="1" ref="I338" ca="1">IF(INT(N$4/500*360)&gt;=$G338,I$5,NA())</f>
        <v>9.3000000000000007</v>
      </c>
      <c r="J338" s="7" t="e">
        <f t="array" aca="1" ref="J338" ca="1">IF(INT(O$4/500*360)&gt;=$G338,J$5,NA())</f>
        <v>#N/A</v>
      </c>
      <c r="K338" s="7" t="e">
        <f t="array" aca="1" ref="K338" ca="1">IF(INT(P$4/500*360)&gt;=$G338,K$5,NA())</f>
        <v>#N/A</v>
      </c>
      <c r="L338" s="7" t="e">
        <f t="array" aca="1" ref="L338" ca="1">IF(INT(Q$4/500*360)&gt;=$G338,L$5,NA())</f>
        <v>#N/A</v>
      </c>
      <c r="M338" s="7" t="e">
        <f t="shared" ca="1" si="38"/>
        <v>#N/A</v>
      </c>
      <c r="N338" s="7" t="e">
        <f t="shared" ca="1" si="38"/>
        <v>#N/A</v>
      </c>
      <c r="O338" s="7" t="e">
        <f t="shared" ca="1" si="38"/>
        <v>#N/A</v>
      </c>
      <c r="P338" s="7" t="e">
        <f t="shared" ca="1" si="38"/>
        <v>#N/A</v>
      </c>
      <c r="Q338" s="7" t="e">
        <f t="shared" ca="1" si="38"/>
        <v>#N/A</v>
      </c>
    </row>
    <row r="339" spans="7:17" ht="20.25" customHeight="1" x14ac:dyDescent="0.35">
      <c r="G339" s="7">
        <v>333</v>
      </c>
      <c r="H339" s="7">
        <f t="array" aca="1" ref="H339" ca="1">IF(INT(M$4/500*360)&gt;=$G339,H$5,NA())</f>
        <v>10</v>
      </c>
      <c r="I339" s="7">
        <f t="array" aca="1" ref="I339" ca="1">IF(INT(N$4/500*360)&gt;=$G339,I$5,NA())</f>
        <v>9.3000000000000007</v>
      </c>
      <c r="J339" s="7" t="e">
        <f t="array" aca="1" ref="J339" ca="1">IF(INT(O$4/500*360)&gt;=$G339,J$5,NA())</f>
        <v>#N/A</v>
      </c>
      <c r="K339" s="7" t="e">
        <f t="array" aca="1" ref="K339" ca="1">IF(INT(P$4/500*360)&gt;=$G339,K$5,NA())</f>
        <v>#N/A</v>
      </c>
      <c r="L339" s="7" t="e">
        <f t="array" aca="1" ref="L339" ca="1">IF(INT(Q$4/500*360)&gt;=$G339,L$5,NA())</f>
        <v>#N/A</v>
      </c>
      <c r="M339" s="7" t="e">
        <f t="shared" ca="1" si="38"/>
        <v>#N/A</v>
      </c>
      <c r="N339" s="7" t="e">
        <f t="shared" ca="1" si="38"/>
        <v>#N/A</v>
      </c>
      <c r="O339" s="7" t="e">
        <f t="shared" ca="1" si="38"/>
        <v>#N/A</v>
      </c>
      <c r="P339" s="7" t="e">
        <f t="shared" ca="1" si="38"/>
        <v>#N/A</v>
      </c>
      <c r="Q339" s="7" t="e">
        <f t="shared" ca="1" si="38"/>
        <v>#N/A</v>
      </c>
    </row>
    <row r="340" spans="7:17" ht="20.25" customHeight="1" x14ac:dyDescent="0.35">
      <c r="G340" s="7">
        <v>334</v>
      </c>
      <c r="H340" s="7">
        <f t="array" aca="1" ref="H340" ca="1">IF(INT(M$4/500*360)&gt;=$G340,H$5,NA())</f>
        <v>10</v>
      </c>
      <c r="I340" s="7">
        <f t="array" aca="1" ref="I340" ca="1">IF(INT(N$4/500*360)&gt;=$G340,I$5,NA())</f>
        <v>9.3000000000000007</v>
      </c>
      <c r="J340" s="7" t="e">
        <f t="array" aca="1" ref="J340" ca="1">IF(INT(O$4/500*360)&gt;=$G340,J$5,NA())</f>
        <v>#N/A</v>
      </c>
      <c r="K340" s="7" t="e">
        <f t="array" aca="1" ref="K340" ca="1">IF(INT(P$4/500*360)&gt;=$G340,K$5,NA())</f>
        <v>#N/A</v>
      </c>
      <c r="L340" s="7" t="e">
        <f t="array" aca="1" ref="L340" ca="1">IF(INT(Q$4/500*360)&gt;=$G340,L$5,NA())</f>
        <v>#N/A</v>
      </c>
      <c r="M340" s="7" t="e">
        <f t="shared" ca="1" si="38"/>
        <v>#N/A</v>
      </c>
      <c r="N340" s="7" t="e">
        <f t="shared" ca="1" si="38"/>
        <v>#N/A</v>
      </c>
      <c r="O340" s="7" t="e">
        <f t="shared" ca="1" si="38"/>
        <v>#N/A</v>
      </c>
      <c r="P340" s="7" t="e">
        <f t="shared" ca="1" si="38"/>
        <v>#N/A</v>
      </c>
      <c r="Q340" s="7" t="e">
        <f t="shared" ca="1" si="38"/>
        <v>#N/A</v>
      </c>
    </row>
    <row r="341" spans="7:17" ht="20.25" customHeight="1" x14ac:dyDescent="0.35">
      <c r="G341" s="7">
        <v>335</v>
      </c>
      <c r="H341" s="7">
        <f t="array" aca="1" ref="H341" ca="1">IF(INT(M$4/500*360)&gt;=$G341,H$5,NA())</f>
        <v>10</v>
      </c>
      <c r="I341" s="7">
        <f t="array" aca="1" ref="I341" ca="1">IF(INT(N$4/500*360)&gt;=$G341,I$5,NA())</f>
        <v>9.3000000000000007</v>
      </c>
      <c r="J341" s="7" t="e">
        <f t="array" aca="1" ref="J341" ca="1">IF(INT(O$4/500*360)&gt;=$G341,J$5,NA())</f>
        <v>#N/A</v>
      </c>
      <c r="K341" s="7" t="e">
        <f t="array" aca="1" ref="K341" ca="1">IF(INT(P$4/500*360)&gt;=$G341,K$5,NA())</f>
        <v>#N/A</v>
      </c>
      <c r="L341" s="7" t="e">
        <f t="array" aca="1" ref="L341" ca="1">IF(INT(Q$4/500*360)&gt;=$G341,L$5,NA())</f>
        <v>#N/A</v>
      </c>
      <c r="M341" s="7" t="e">
        <f t="shared" ca="1" si="38"/>
        <v>#N/A</v>
      </c>
      <c r="N341" s="7" t="e">
        <f t="shared" ca="1" si="38"/>
        <v>#N/A</v>
      </c>
      <c r="O341" s="7" t="e">
        <f t="shared" ca="1" si="38"/>
        <v>#N/A</v>
      </c>
      <c r="P341" s="7" t="e">
        <f t="shared" ca="1" si="38"/>
        <v>#N/A</v>
      </c>
      <c r="Q341" s="7" t="e">
        <f t="shared" ca="1" si="38"/>
        <v>#N/A</v>
      </c>
    </row>
    <row r="342" spans="7:17" ht="20.25" customHeight="1" x14ac:dyDescent="0.35">
      <c r="G342" s="7">
        <v>336</v>
      </c>
      <c r="H342" s="7">
        <f t="array" aca="1" ref="H342" ca="1">IF(INT(M$4/500*360)&gt;=$G342,H$5,NA())</f>
        <v>10</v>
      </c>
      <c r="I342" s="7">
        <f t="array" aca="1" ref="I342" ca="1">IF(INT(N$4/500*360)&gt;=$G342,I$5,NA())</f>
        <v>9.3000000000000007</v>
      </c>
      <c r="J342" s="7" t="e">
        <f t="array" aca="1" ref="J342" ca="1">IF(INT(O$4/500*360)&gt;=$G342,J$5,NA())</f>
        <v>#N/A</v>
      </c>
      <c r="K342" s="7" t="e">
        <f t="array" aca="1" ref="K342" ca="1">IF(INT(P$4/500*360)&gt;=$G342,K$5,NA())</f>
        <v>#N/A</v>
      </c>
      <c r="L342" s="7" t="e">
        <f t="array" aca="1" ref="L342" ca="1">IF(INT(Q$4/500*360)&gt;=$G342,L$5,NA())</f>
        <v>#N/A</v>
      </c>
      <c r="M342" s="7" t="e">
        <f t="shared" ca="1" si="38"/>
        <v>#N/A</v>
      </c>
      <c r="N342" s="7" t="e">
        <f t="shared" ca="1" si="38"/>
        <v>#N/A</v>
      </c>
      <c r="O342" s="7" t="e">
        <f t="shared" ca="1" si="38"/>
        <v>#N/A</v>
      </c>
      <c r="P342" s="7" t="e">
        <f t="shared" ca="1" si="38"/>
        <v>#N/A</v>
      </c>
      <c r="Q342" s="7" t="e">
        <f t="shared" ca="1" si="38"/>
        <v>#N/A</v>
      </c>
    </row>
    <row r="343" spans="7:17" ht="20.25" customHeight="1" x14ac:dyDescent="0.35">
      <c r="G343" s="7">
        <v>337</v>
      </c>
      <c r="H343" s="7">
        <f t="array" aca="1" ref="H343" ca="1">IF(INT(M$4/500*360)&gt;=$G343,H$5,NA())</f>
        <v>10</v>
      </c>
      <c r="I343" s="7">
        <f t="array" aca="1" ref="I343" ca="1">IF(INT(N$4/500*360)&gt;=$G343,I$5,NA())</f>
        <v>9.3000000000000007</v>
      </c>
      <c r="J343" s="7" t="e">
        <f t="array" aca="1" ref="J343" ca="1">IF(INT(O$4/500*360)&gt;=$G343,J$5,NA())</f>
        <v>#N/A</v>
      </c>
      <c r="K343" s="7" t="e">
        <f t="array" aca="1" ref="K343" ca="1">IF(INT(P$4/500*360)&gt;=$G343,K$5,NA())</f>
        <v>#N/A</v>
      </c>
      <c r="L343" s="7" t="e">
        <f t="array" aca="1" ref="L343" ca="1">IF(INT(Q$4/500*360)&gt;=$G343,L$5,NA())</f>
        <v>#N/A</v>
      </c>
      <c r="M343" s="7" t="e">
        <f t="shared" ca="1" si="38"/>
        <v>#N/A</v>
      </c>
      <c r="N343" s="7">
        <f t="shared" ca="1" si="38"/>
        <v>9.3000000000000007</v>
      </c>
      <c r="O343" s="7" t="e">
        <f t="shared" ca="1" si="38"/>
        <v>#N/A</v>
      </c>
      <c r="P343" s="7" t="e">
        <f t="shared" ca="1" si="38"/>
        <v>#N/A</v>
      </c>
      <c r="Q343" s="7" t="e">
        <f t="shared" ca="1" si="38"/>
        <v>#N/A</v>
      </c>
    </row>
    <row r="344" spans="7:17" ht="20.25" customHeight="1" x14ac:dyDescent="0.35">
      <c r="G344" s="7">
        <v>338</v>
      </c>
      <c r="H344" s="7">
        <f t="array" aca="1" ref="H344" ca="1">IF(INT(M$4/500*360)&gt;=$G344,H$5,NA())</f>
        <v>10</v>
      </c>
      <c r="I344" s="7" t="e">
        <f t="array" aca="1" ref="I344" ca="1">IF(INT(N$4/500*360)&gt;=$G344,I$5,NA())</f>
        <v>#N/A</v>
      </c>
      <c r="J344" s="7" t="e">
        <f t="array" aca="1" ref="J344" ca="1">IF(INT(O$4/500*360)&gt;=$G344,J$5,NA())</f>
        <v>#N/A</v>
      </c>
      <c r="K344" s="7" t="e">
        <f t="array" aca="1" ref="K344" ca="1">IF(INT(P$4/500*360)&gt;=$G344,K$5,NA())</f>
        <v>#N/A</v>
      </c>
      <c r="L344" s="7" t="e">
        <f t="array" aca="1" ref="L344" ca="1">IF(INT(Q$4/500*360)&gt;=$G344,L$5,NA())</f>
        <v>#N/A</v>
      </c>
      <c r="M344" s="7" t="e">
        <f t="shared" ca="1" si="38"/>
        <v>#N/A</v>
      </c>
      <c r="N344" s="7" t="e">
        <f t="shared" ca="1" si="38"/>
        <v>#N/A</v>
      </c>
      <c r="O344" s="7" t="e">
        <f t="shared" ca="1" si="38"/>
        <v>#N/A</v>
      </c>
      <c r="P344" s="7" t="e">
        <f t="shared" ca="1" si="38"/>
        <v>#N/A</v>
      </c>
      <c r="Q344" s="7" t="e">
        <f t="shared" ca="1" si="38"/>
        <v>#N/A</v>
      </c>
    </row>
    <row r="345" spans="7:17" ht="20.25" customHeight="1" x14ac:dyDescent="0.35">
      <c r="G345" s="7">
        <v>339</v>
      </c>
      <c r="H345" s="7">
        <f t="array" aca="1" ref="H345" ca="1">IF(INT(M$4/500*360)&gt;=$G345,H$5,NA())</f>
        <v>10</v>
      </c>
      <c r="I345" s="7" t="e">
        <f t="array" aca="1" ref="I345" ca="1">IF(INT(N$4/500*360)&gt;=$G345,I$5,NA())</f>
        <v>#N/A</v>
      </c>
      <c r="J345" s="7" t="e">
        <f t="array" aca="1" ref="J345" ca="1">IF(INT(O$4/500*360)&gt;=$G345,J$5,NA())</f>
        <v>#N/A</v>
      </c>
      <c r="K345" s="7" t="e">
        <f t="array" aca="1" ref="K345" ca="1">IF(INT(P$4/500*360)&gt;=$G345,K$5,NA())</f>
        <v>#N/A</v>
      </c>
      <c r="L345" s="7" t="e">
        <f t="array" aca="1" ref="L345" ca="1">IF(INT(Q$4/500*360)&gt;=$G345,L$5,NA())</f>
        <v>#N/A</v>
      </c>
      <c r="M345" s="7" t="e">
        <f t="shared" ca="1" si="38"/>
        <v>#N/A</v>
      </c>
      <c r="N345" s="7" t="e">
        <f t="shared" ca="1" si="38"/>
        <v>#N/A</v>
      </c>
      <c r="O345" s="7" t="e">
        <f t="shared" ca="1" si="38"/>
        <v>#N/A</v>
      </c>
      <c r="P345" s="7" t="e">
        <f t="shared" ca="1" si="38"/>
        <v>#N/A</v>
      </c>
      <c r="Q345" s="7" t="e">
        <f t="shared" ca="1" si="38"/>
        <v>#N/A</v>
      </c>
    </row>
    <row r="346" spans="7:17" ht="20.25" customHeight="1" x14ac:dyDescent="0.35">
      <c r="G346" s="7">
        <v>340</v>
      </c>
      <c r="H346" s="7">
        <f t="array" aca="1" ref="H346" ca="1">IF(INT(M$4/500*360)&gt;=$G346,H$5,NA())</f>
        <v>10</v>
      </c>
      <c r="I346" s="7" t="e">
        <f t="array" aca="1" ref="I346" ca="1">IF(INT(N$4/500*360)&gt;=$G346,I$5,NA())</f>
        <v>#N/A</v>
      </c>
      <c r="J346" s="7" t="e">
        <f t="array" aca="1" ref="J346" ca="1">IF(INT(O$4/500*360)&gt;=$G346,J$5,NA())</f>
        <v>#N/A</v>
      </c>
      <c r="K346" s="7" t="e">
        <f t="array" aca="1" ref="K346" ca="1">IF(INT(P$4/500*360)&gt;=$G346,K$5,NA())</f>
        <v>#N/A</v>
      </c>
      <c r="L346" s="7" t="e">
        <f t="array" aca="1" ref="L346" ca="1">IF(INT(Q$4/500*360)&gt;=$G346,L$5,NA())</f>
        <v>#N/A</v>
      </c>
      <c r="M346" s="7" t="e">
        <f t="shared" ca="1" si="38"/>
        <v>#N/A</v>
      </c>
      <c r="N346" s="7" t="e">
        <f t="shared" ca="1" si="38"/>
        <v>#N/A</v>
      </c>
      <c r="O346" s="7" t="e">
        <f t="shared" ca="1" si="38"/>
        <v>#N/A</v>
      </c>
      <c r="P346" s="7" t="e">
        <f t="shared" ca="1" si="38"/>
        <v>#N/A</v>
      </c>
      <c r="Q346" s="7" t="e">
        <f t="shared" ca="1" si="38"/>
        <v>#N/A</v>
      </c>
    </row>
    <row r="347" spans="7:17" ht="20.25" customHeight="1" x14ac:dyDescent="0.35">
      <c r="G347" s="7">
        <v>341</v>
      </c>
      <c r="H347" s="7">
        <f t="array" aca="1" ref="H347" ca="1">IF(INT(M$4/500*360)&gt;=$G347,H$5,NA())</f>
        <v>10</v>
      </c>
      <c r="I347" s="7" t="e">
        <f t="array" aca="1" ref="I347" ca="1">IF(INT(N$4/500*360)&gt;=$G347,I$5,NA())</f>
        <v>#N/A</v>
      </c>
      <c r="J347" s="7" t="e">
        <f t="array" aca="1" ref="J347" ca="1">IF(INT(O$4/500*360)&gt;=$G347,J$5,NA())</f>
        <v>#N/A</v>
      </c>
      <c r="K347" s="7" t="e">
        <f t="array" aca="1" ref="K347" ca="1">IF(INT(P$4/500*360)&gt;=$G347,K$5,NA())</f>
        <v>#N/A</v>
      </c>
      <c r="L347" s="7" t="e">
        <f t="array" aca="1" ref="L347" ca="1">IF(INT(Q$4/500*360)&gt;=$G347,L$5,NA())</f>
        <v>#N/A</v>
      </c>
      <c r="M347" s="7" t="e">
        <f t="shared" ref="M347:Q356" ca="1" si="39">IF(INT(M$4/500*360)=$G347,M$5,NA())</f>
        <v>#N/A</v>
      </c>
      <c r="N347" s="7" t="e">
        <f t="shared" ca="1" si="39"/>
        <v>#N/A</v>
      </c>
      <c r="O347" s="7" t="e">
        <f t="shared" ca="1" si="39"/>
        <v>#N/A</v>
      </c>
      <c r="P347" s="7" t="e">
        <f t="shared" ca="1" si="39"/>
        <v>#N/A</v>
      </c>
      <c r="Q347" s="7" t="e">
        <f t="shared" ca="1" si="39"/>
        <v>#N/A</v>
      </c>
    </row>
    <row r="348" spans="7:17" ht="20.25" customHeight="1" x14ac:dyDescent="0.35">
      <c r="G348" s="7">
        <v>342</v>
      </c>
      <c r="H348" s="7">
        <f t="array" aca="1" ref="H348" ca="1">IF(INT(M$4/500*360)&gt;=$G348,H$5,NA())</f>
        <v>10</v>
      </c>
      <c r="I348" s="7" t="e">
        <f t="array" aca="1" ref="I348" ca="1">IF(INT(N$4/500*360)&gt;=$G348,I$5,NA())</f>
        <v>#N/A</v>
      </c>
      <c r="J348" s="7" t="e">
        <f t="array" aca="1" ref="J348" ca="1">IF(INT(O$4/500*360)&gt;=$G348,J$5,NA())</f>
        <v>#N/A</v>
      </c>
      <c r="K348" s="7" t="e">
        <f t="array" aca="1" ref="K348" ca="1">IF(INT(P$4/500*360)&gt;=$G348,K$5,NA())</f>
        <v>#N/A</v>
      </c>
      <c r="L348" s="7" t="e">
        <f t="array" aca="1" ref="L348" ca="1">IF(INT(Q$4/500*360)&gt;=$G348,L$5,NA())</f>
        <v>#N/A</v>
      </c>
      <c r="M348" s="7" t="e">
        <f t="shared" ca="1" si="39"/>
        <v>#N/A</v>
      </c>
      <c r="N348" s="7" t="e">
        <f t="shared" ca="1" si="39"/>
        <v>#N/A</v>
      </c>
      <c r="O348" s="7" t="e">
        <f t="shared" ca="1" si="39"/>
        <v>#N/A</v>
      </c>
      <c r="P348" s="7" t="e">
        <f t="shared" ca="1" si="39"/>
        <v>#N/A</v>
      </c>
      <c r="Q348" s="7" t="e">
        <f t="shared" ca="1" si="39"/>
        <v>#N/A</v>
      </c>
    </row>
    <row r="349" spans="7:17" ht="20.25" customHeight="1" x14ac:dyDescent="0.35">
      <c r="G349" s="7">
        <v>343</v>
      </c>
      <c r="H349" s="7">
        <f t="array" aca="1" ref="H349" ca="1">IF(INT(M$4/500*360)&gt;=$G349,H$5,NA())</f>
        <v>10</v>
      </c>
      <c r="I349" s="7" t="e">
        <f t="array" aca="1" ref="I349" ca="1">IF(INT(N$4/500*360)&gt;=$G349,I$5,NA())</f>
        <v>#N/A</v>
      </c>
      <c r="J349" s="7" t="e">
        <f t="array" aca="1" ref="J349" ca="1">IF(INT(O$4/500*360)&gt;=$G349,J$5,NA())</f>
        <v>#N/A</v>
      </c>
      <c r="K349" s="7" t="e">
        <f t="array" aca="1" ref="K349" ca="1">IF(INT(P$4/500*360)&gt;=$G349,K$5,NA())</f>
        <v>#N/A</v>
      </c>
      <c r="L349" s="7" t="e">
        <f t="array" aca="1" ref="L349" ca="1">IF(INT(Q$4/500*360)&gt;=$G349,L$5,NA())</f>
        <v>#N/A</v>
      </c>
      <c r="M349" s="7" t="e">
        <f t="shared" ca="1" si="39"/>
        <v>#N/A</v>
      </c>
      <c r="N349" s="7" t="e">
        <f t="shared" ca="1" si="39"/>
        <v>#N/A</v>
      </c>
      <c r="O349" s="7" t="e">
        <f t="shared" ca="1" si="39"/>
        <v>#N/A</v>
      </c>
      <c r="P349" s="7" t="e">
        <f t="shared" ca="1" si="39"/>
        <v>#N/A</v>
      </c>
      <c r="Q349" s="7" t="e">
        <f t="shared" ca="1" si="39"/>
        <v>#N/A</v>
      </c>
    </row>
    <row r="350" spans="7:17" ht="20.25" customHeight="1" x14ac:dyDescent="0.35">
      <c r="G350" s="7">
        <v>344</v>
      </c>
      <c r="H350" s="7">
        <f t="array" aca="1" ref="H350" ca="1">IF(INT(M$4/500*360)&gt;=$G350,H$5,NA())</f>
        <v>10</v>
      </c>
      <c r="I350" s="7" t="e">
        <f t="array" aca="1" ref="I350" ca="1">IF(INT(N$4/500*360)&gt;=$G350,I$5,NA())</f>
        <v>#N/A</v>
      </c>
      <c r="J350" s="7" t="e">
        <f t="array" aca="1" ref="J350" ca="1">IF(INT(O$4/500*360)&gt;=$G350,J$5,NA())</f>
        <v>#N/A</v>
      </c>
      <c r="K350" s="7" t="e">
        <f t="array" aca="1" ref="K350" ca="1">IF(INT(P$4/500*360)&gt;=$G350,K$5,NA())</f>
        <v>#N/A</v>
      </c>
      <c r="L350" s="7" t="e">
        <f t="array" aca="1" ref="L350" ca="1">IF(INT(Q$4/500*360)&gt;=$G350,L$5,NA())</f>
        <v>#N/A</v>
      </c>
      <c r="M350" s="7" t="e">
        <f t="shared" ca="1" si="39"/>
        <v>#N/A</v>
      </c>
      <c r="N350" s="7" t="e">
        <f t="shared" ca="1" si="39"/>
        <v>#N/A</v>
      </c>
      <c r="O350" s="7" t="e">
        <f t="shared" ca="1" si="39"/>
        <v>#N/A</v>
      </c>
      <c r="P350" s="7" t="e">
        <f t="shared" ca="1" si="39"/>
        <v>#N/A</v>
      </c>
      <c r="Q350" s="7" t="e">
        <f t="shared" ca="1" si="39"/>
        <v>#N/A</v>
      </c>
    </row>
    <row r="351" spans="7:17" ht="20.25" customHeight="1" x14ac:dyDescent="0.35">
      <c r="G351" s="7">
        <v>345</v>
      </c>
      <c r="H351" s="7">
        <f t="array" aca="1" ref="H351" ca="1">IF(INT(M$4/500*360)&gt;=$G351,H$5,NA())</f>
        <v>10</v>
      </c>
      <c r="I351" s="7" t="e">
        <f t="array" aca="1" ref="I351" ca="1">IF(INT(N$4/500*360)&gt;=$G351,I$5,NA())</f>
        <v>#N/A</v>
      </c>
      <c r="J351" s="7" t="e">
        <f t="array" aca="1" ref="J351" ca="1">IF(INT(O$4/500*360)&gt;=$G351,J$5,NA())</f>
        <v>#N/A</v>
      </c>
      <c r="K351" s="7" t="e">
        <f t="array" aca="1" ref="K351" ca="1">IF(INT(P$4/500*360)&gt;=$G351,K$5,NA())</f>
        <v>#N/A</v>
      </c>
      <c r="L351" s="7" t="e">
        <f t="array" aca="1" ref="L351" ca="1">IF(INT(Q$4/500*360)&gt;=$G351,L$5,NA())</f>
        <v>#N/A</v>
      </c>
      <c r="M351" s="7" t="e">
        <f t="shared" ca="1" si="39"/>
        <v>#N/A</v>
      </c>
      <c r="N351" s="7" t="e">
        <f t="shared" ca="1" si="39"/>
        <v>#N/A</v>
      </c>
      <c r="O351" s="7" t="e">
        <f t="shared" ca="1" si="39"/>
        <v>#N/A</v>
      </c>
      <c r="P351" s="7" t="e">
        <f t="shared" ca="1" si="39"/>
        <v>#N/A</v>
      </c>
      <c r="Q351" s="7" t="e">
        <f t="shared" ca="1" si="39"/>
        <v>#N/A</v>
      </c>
    </row>
    <row r="352" spans="7:17" ht="20.25" customHeight="1" x14ac:dyDescent="0.35">
      <c r="G352" s="7">
        <v>346</v>
      </c>
      <c r="H352" s="7">
        <f t="array" aca="1" ref="H352" ca="1">IF(INT(M$4/500*360)&gt;=$G352,H$5,NA())</f>
        <v>10</v>
      </c>
      <c r="I352" s="7" t="e">
        <f t="array" aca="1" ref="I352" ca="1">IF(INT(N$4/500*360)&gt;=$G352,I$5,NA())</f>
        <v>#N/A</v>
      </c>
      <c r="J352" s="7" t="e">
        <f t="array" aca="1" ref="J352" ca="1">IF(INT(O$4/500*360)&gt;=$G352,J$5,NA())</f>
        <v>#N/A</v>
      </c>
      <c r="K352" s="7" t="e">
        <f t="array" aca="1" ref="K352" ca="1">IF(INT(P$4/500*360)&gt;=$G352,K$5,NA())</f>
        <v>#N/A</v>
      </c>
      <c r="L352" s="7" t="e">
        <f t="array" aca="1" ref="L352" ca="1">IF(INT(Q$4/500*360)&gt;=$G352,L$5,NA())</f>
        <v>#N/A</v>
      </c>
      <c r="M352" s="7" t="e">
        <f t="shared" ca="1" si="39"/>
        <v>#N/A</v>
      </c>
      <c r="N352" s="7" t="e">
        <f t="shared" ca="1" si="39"/>
        <v>#N/A</v>
      </c>
      <c r="O352" s="7" t="e">
        <f t="shared" ca="1" si="39"/>
        <v>#N/A</v>
      </c>
      <c r="P352" s="7" t="e">
        <f t="shared" ca="1" si="39"/>
        <v>#N/A</v>
      </c>
      <c r="Q352" s="7" t="e">
        <f t="shared" ca="1" si="39"/>
        <v>#N/A</v>
      </c>
    </row>
    <row r="353" spans="7:17" ht="20.25" customHeight="1" x14ac:dyDescent="0.35">
      <c r="G353" s="7">
        <v>347</v>
      </c>
      <c r="H353" s="7">
        <f t="array" aca="1" ref="H353" ca="1">IF(INT(M$4/500*360)&gt;=$G353,H$5,NA())</f>
        <v>10</v>
      </c>
      <c r="I353" s="7" t="e">
        <f t="array" aca="1" ref="I353" ca="1">IF(INT(N$4/500*360)&gt;=$G353,I$5,NA())</f>
        <v>#N/A</v>
      </c>
      <c r="J353" s="7" t="e">
        <f t="array" aca="1" ref="J353" ca="1">IF(INT(O$4/500*360)&gt;=$G353,J$5,NA())</f>
        <v>#N/A</v>
      </c>
      <c r="K353" s="7" t="e">
        <f t="array" aca="1" ref="K353" ca="1">IF(INT(P$4/500*360)&gt;=$G353,K$5,NA())</f>
        <v>#N/A</v>
      </c>
      <c r="L353" s="7" t="e">
        <f t="array" aca="1" ref="L353" ca="1">IF(INT(Q$4/500*360)&gt;=$G353,L$5,NA())</f>
        <v>#N/A</v>
      </c>
      <c r="M353" s="7" t="e">
        <f t="shared" ca="1" si="39"/>
        <v>#N/A</v>
      </c>
      <c r="N353" s="7" t="e">
        <f t="shared" ca="1" si="39"/>
        <v>#N/A</v>
      </c>
      <c r="O353" s="7" t="e">
        <f t="shared" ca="1" si="39"/>
        <v>#N/A</v>
      </c>
      <c r="P353" s="7" t="e">
        <f t="shared" ca="1" si="39"/>
        <v>#N/A</v>
      </c>
      <c r="Q353" s="7" t="e">
        <f t="shared" ca="1" si="39"/>
        <v>#N/A</v>
      </c>
    </row>
    <row r="354" spans="7:17" ht="20.25" customHeight="1" x14ac:dyDescent="0.35">
      <c r="G354" s="7">
        <v>348</v>
      </c>
      <c r="H354" s="7">
        <f t="array" aca="1" ref="H354" ca="1">IF(INT(M$4/500*360)&gt;=$G354,H$5,NA())</f>
        <v>10</v>
      </c>
      <c r="I354" s="7" t="e">
        <f t="array" aca="1" ref="I354" ca="1">IF(INT(N$4/500*360)&gt;=$G354,I$5,NA())</f>
        <v>#N/A</v>
      </c>
      <c r="J354" s="7" t="e">
        <f t="array" aca="1" ref="J354" ca="1">IF(INT(O$4/500*360)&gt;=$G354,J$5,NA())</f>
        <v>#N/A</v>
      </c>
      <c r="K354" s="7" t="e">
        <f t="array" aca="1" ref="K354" ca="1">IF(INT(P$4/500*360)&gt;=$G354,K$5,NA())</f>
        <v>#N/A</v>
      </c>
      <c r="L354" s="7" t="e">
        <f t="array" aca="1" ref="L354" ca="1">IF(INT(Q$4/500*360)&gt;=$G354,L$5,NA())</f>
        <v>#N/A</v>
      </c>
      <c r="M354" s="7">
        <f t="shared" ca="1" si="39"/>
        <v>10</v>
      </c>
      <c r="N354" s="7" t="e">
        <f t="shared" ca="1" si="39"/>
        <v>#N/A</v>
      </c>
      <c r="O354" s="7" t="e">
        <f t="shared" ca="1" si="39"/>
        <v>#N/A</v>
      </c>
      <c r="P354" s="7" t="e">
        <f t="shared" ca="1" si="39"/>
        <v>#N/A</v>
      </c>
      <c r="Q354" s="7" t="e">
        <f t="shared" ca="1" si="39"/>
        <v>#N/A</v>
      </c>
    </row>
    <row r="355" spans="7:17" ht="20.25" customHeight="1" x14ac:dyDescent="0.35">
      <c r="G355" s="7">
        <v>349</v>
      </c>
      <c r="H355" s="7" t="e">
        <f t="array" aca="1" ref="H355" ca="1">IF(INT(M$4/500*360)&gt;=$G355,H$5,NA())</f>
        <v>#N/A</v>
      </c>
      <c r="I355" s="7" t="e">
        <f t="array" aca="1" ref="I355" ca="1">IF(INT(N$4/500*360)&gt;=$G355,I$5,NA())</f>
        <v>#N/A</v>
      </c>
      <c r="J355" s="7" t="e">
        <f t="array" aca="1" ref="J355" ca="1">IF(INT(O$4/500*360)&gt;=$G355,J$5,NA())</f>
        <v>#N/A</v>
      </c>
      <c r="K355" s="7" t="e">
        <f t="array" aca="1" ref="K355" ca="1">IF(INT(P$4/500*360)&gt;=$G355,K$5,NA())</f>
        <v>#N/A</v>
      </c>
      <c r="L355" s="7" t="e">
        <f t="array" aca="1" ref="L355" ca="1">IF(INT(Q$4/500*360)&gt;=$G355,L$5,NA())</f>
        <v>#N/A</v>
      </c>
      <c r="M355" s="7" t="e">
        <f t="shared" ca="1" si="39"/>
        <v>#N/A</v>
      </c>
      <c r="N355" s="7" t="e">
        <f t="shared" ca="1" si="39"/>
        <v>#N/A</v>
      </c>
      <c r="O355" s="7" t="e">
        <f t="shared" ca="1" si="39"/>
        <v>#N/A</v>
      </c>
      <c r="P355" s="7" t="e">
        <f t="shared" ca="1" si="39"/>
        <v>#N/A</v>
      </c>
      <c r="Q355" s="7" t="e">
        <f t="shared" ca="1" si="39"/>
        <v>#N/A</v>
      </c>
    </row>
    <row r="356" spans="7:17" ht="20.25" customHeight="1" x14ac:dyDescent="0.35">
      <c r="G356" s="7">
        <v>350</v>
      </c>
      <c r="H356" s="7" t="e">
        <f t="array" aca="1" ref="H356" ca="1">IF(INT(M$4/500*360)&gt;=$G356,H$5,NA())</f>
        <v>#N/A</v>
      </c>
      <c r="I356" s="7" t="e">
        <f t="array" aca="1" ref="I356" ca="1">IF(INT(N$4/500*360)&gt;=$G356,I$5,NA())</f>
        <v>#N/A</v>
      </c>
      <c r="J356" s="7" t="e">
        <f t="array" aca="1" ref="J356" ca="1">IF(INT(O$4/500*360)&gt;=$G356,J$5,NA())</f>
        <v>#N/A</v>
      </c>
      <c r="K356" s="7" t="e">
        <f t="array" aca="1" ref="K356" ca="1">IF(INT(P$4/500*360)&gt;=$G356,K$5,NA())</f>
        <v>#N/A</v>
      </c>
      <c r="L356" s="7" t="e">
        <f t="array" aca="1" ref="L356" ca="1">IF(INT(Q$4/500*360)&gt;=$G356,L$5,NA())</f>
        <v>#N/A</v>
      </c>
      <c r="M356" s="7" t="e">
        <f t="shared" ca="1" si="39"/>
        <v>#N/A</v>
      </c>
      <c r="N356" s="7" t="e">
        <f t="shared" ca="1" si="39"/>
        <v>#N/A</v>
      </c>
      <c r="O356" s="7" t="e">
        <f t="shared" ca="1" si="39"/>
        <v>#N/A</v>
      </c>
      <c r="P356" s="7" t="e">
        <f t="shared" ca="1" si="39"/>
        <v>#N/A</v>
      </c>
      <c r="Q356" s="7" t="e">
        <f t="shared" ca="1" si="39"/>
        <v>#N/A</v>
      </c>
    </row>
    <row r="357" spans="7:17" ht="20.25" customHeight="1" x14ac:dyDescent="0.35">
      <c r="G357" s="7">
        <v>351</v>
      </c>
      <c r="H357" s="7" t="e">
        <f t="array" aca="1" ref="H357" ca="1">IF(INT(M$4/500*360)&gt;=$G357,H$5,NA())</f>
        <v>#N/A</v>
      </c>
      <c r="I357" s="7" t="e">
        <f t="array" aca="1" ref="I357" ca="1">IF(INT(N$4/500*360)&gt;=$G357,I$5,NA())</f>
        <v>#N/A</v>
      </c>
      <c r="J357" s="7" t="e">
        <f t="array" aca="1" ref="J357" ca="1">IF(INT(O$4/500*360)&gt;=$G357,J$5,NA())</f>
        <v>#N/A</v>
      </c>
      <c r="K357" s="7" t="e">
        <f t="array" aca="1" ref="K357" ca="1">IF(INT(P$4/500*360)&gt;=$G357,K$5,NA())</f>
        <v>#N/A</v>
      </c>
      <c r="L357" s="7" t="e">
        <f t="array" aca="1" ref="L357" ca="1">IF(INT(Q$4/500*360)&gt;=$G357,L$5,NA())</f>
        <v>#N/A</v>
      </c>
      <c r="M357" s="7" t="e">
        <f t="shared" ref="M357:Q366" ca="1" si="40">IF(INT(M$4/500*360)=$G357,M$5,NA())</f>
        <v>#N/A</v>
      </c>
      <c r="N357" s="7" t="e">
        <f t="shared" ca="1" si="40"/>
        <v>#N/A</v>
      </c>
      <c r="O357" s="7" t="e">
        <f t="shared" ca="1" si="40"/>
        <v>#N/A</v>
      </c>
      <c r="P357" s="7" t="e">
        <f t="shared" ca="1" si="40"/>
        <v>#N/A</v>
      </c>
      <c r="Q357" s="7" t="e">
        <f t="shared" ca="1" si="40"/>
        <v>#N/A</v>
      </c>
    </row>
    <row r="358" spans="7:17" ht="20.25" customHeight="1" x14ac:dyDescent="0.35">
      <c r="G358" s="7">
        <v>352</v>
      </c>
      <c r="H358" s="7" t="e">
        <f t="array" aca="1" ref="H358" ca="1">IF(INT(M$4/500*360)&gt;=$G358,H$5,NA())</f>
        <v>#N/A</v>
      </c>
      <c r="I358" s="7" t="e">
        <f t="array" aca="1" ref="I358" ca="1">IF(INT(N$4/500*360)&gt;=$G358,I$5,NA())</f>
        <v>#N/A</v>
      </c>
      <c r="J358" s="7" t="e">
        <f t="array" aca="1" ref="J358" ca="1">IF(INT(O$4/500*360)&gt;=$G358,J$5,NA())</f>
        <v>#N/A</v>
      </c>
      <c r="K358" s="7" t="e">
        <f t="array" aca="1" ref="K358" ca="1">IF(INT(P$4/500*360)&gt;=$G358,K$5,NA())</f>
        <v>#N/A</v>
      </c>
      <c r="L358" s="7" t="e">
        <f t="array" aca="1" ref="L358" ca="1">IF(INT(Q$4/500*360)&gt;=$G358,L$5,NA())</f>
        <v>#N/A</v>
      </c>
      <c r="M358" s="7" t="e">
        <f t="shared" ca="1" si="40"/>
        <v>#N/A</v>
      </c>
      <c r="N358" s="7" t="e">
        <f t="shared" ca="1" si="40"/>
        <v>#N/A</v>
      </c>
      <c r="O358" s="7" t="e">
        <f t="shared" ca="1" si="40"/>
        <v>#N/A</v>
      </c>
      <c r="P358" s="7" t="e">
        <f t="shared" ca="1" si="40"/>
        <v>#N/A</v>
      </c>
      <c r="Q358" s="7" t="e">
        <f t="shared" ca="1" si="40"/>
        <v>#N/A</v>
      </c>
    </row>
    <row r="359" spans="7:17" ht="20.25" customHeight="1" x14ac:dyDescent="0.35">
      <c r="G359" s="7">
        <v>353</v>
      </c>
      <c r="H359" s="7" t="e">
        <f t="array" aca="1" ref="H359" ca="1">IF(INT(M$4/500*360)&gt;=$G359,H$5,NA())</f>
        <v>#N/A</v>
      </c>
      <c r="I359" s="7" t="e">
        <f t="array" aca="1" ref="I359" ca="1">IF(INT(N$4/500*360)&gt;=$G359,I$5,NA())</f>
        <v>#N/A</v>
      </c>
      <c r="J359" s="7" t="e">
        <f t="array" aca="1" ref="J359" ca="1">IF(INT(O$4/500*360)&gt;=$G359,J$5,NA())</f>
        <v>#N/A</v>
      </c>
      <c r="K359" s="7" t="e">
        <f t="array" aca="1" ref="K359" ca="1">IF(INT(P$4/500*360)&gt;=$G359,K$5,NA())</f>
        <v>#N/A</v>
      </c>
      <c r="L359" s="7" t="e">
        <f t="array" aca="1" ref="L359" ca="1">IF(INT(Q$4/500*360)&gt;=$G359,L$5,NA())</f>
        <v>#N/A</v>
      </c>
      <c r="M359" s="7" t="e">
        <f t="shared" ca="1" si="40"/>
        <v>#N/A</v>
      </c>
      <c r="N359" s="7" t="e">
        <f t="shared" ca="1" si="40"/>
        <v>#N/A</v>
      </c>
      <c r="O359" s="7" t="e">
        <f t="shared" ca="1" si="40"/>
        <v>#N/A</v>
      </c>
      <c r="P359" s="7" t="e">
        <f t="shared" ca="1" si="40"/>
        <v>#N/A</v>
      </c>
      <c r="Q359" s="7" t="e">
        <f t="shared" ca="1" si="40"/>
        <v>#N/A</v>
      </c>
    </row>
    <row r="360" spans="7:17" ht="20.25" customHeight="1" x14ac:dyDescent="0.35">
      <c r="G360" s="7">
        <v>354</v>
      </c>
      <c r="H360" s="7" t="e">
        <f t="array" aca="1" ref="H360" ca="1">IF(INT(M$4/500*360)&gt;=$G360,H$5,NA())</f>
        <v>#N/A</v>
      </c>
      <c r="I360" s="7" t="e">
        <f t="array" aca="1" ref="I360" ca="1">IF(INT(N$4/500*360)&gt;=$G360,I$5,NA())</f>
        <v>#N/A</v>
      </c>
      <c r="J360" s="7" t="e">
        <f t="array" aca="1" ref="J360" ca="1">IF(INT(O$4/500*360)&gt;=$G360,J$5,NA())</f>
        <v>#N/A</v>
      </c>
      <c r="K360" s="7" t="e">
        <f t="array" aca="1" ref="K360" ca="1">IF(INT(P$4/500*360)&gt;=$G360,K$5,NA())</f>
        <v>#N/A</v>
      </c>
      <c r="L360" s="7" t="e">
        <f t="array" aca="1" ref="L360" ca="1">IF(INT(Q$4/500*360)&gt;=$G360,L$5,NA())</f>
        <v>#N/A</v>
      </c>
      <c r="M360" s="7" t="e">
        <f t="shared" ca="1" si="40"/>
        <v>#N/A</v>
      </c>
      <c r="N360" s="7" t="e">
        <f t="shared" ca="1" si="40"/>
        <v>#N/A</v>
      </c>
      <c r="O360" s="7" t="e">
        <f t="shared" ca="1" si="40"/>
        <v>#N/A</v>
      </c>
      <c r="P360" s="7" t="e">
        <f t="shared" ca="1" si="40"/>
        <v>#N/A</v>
      </c>
      <c r="Q360" s="7" t="e">
        <f t="shared" ca="1" si="40"/>
        <v>#N/A</v>
      </c>
    </row>
    <row r="361" spans="7:17" ht="20.25" customHeight="1" x14ac:dyDescent="0.35">
      <c r="G361" s="7">
        <v>355</v>
      </c>
      <c r="H361" s="7" t="e">
        <f t="array" aca="1" ref="H361" ca="1">IF(INT(M$4/500*360)&gt;=$G361,H$5,NA())</f>
        <v>#N/A</v>
      </c>
      <c r="I361" s="7" t="e">
        <f t="array" aca="1" ref="I361" ca="1">IF(INT(N$4/500*360)&gt;=$G361,I$5,NA())</f>
        <v>#N/A</v>
      </c>
      <c r="J361" s="7" t="e">
        <f t="array" aca="1" ref="J361" ca="1">IF(INT(O$4/500*360)&gt;=$G361,J$5,NA())</f>
        <v>#N/A</v>
      </c>
      <c r="K361" s="7" t="e">
        <f t="array" aca="1" ref="K361" ca="1">IF(INT(P$4/500*360)&gt;=$G361,K$5,NA())</f>
        <v>#N/A</v>
      </c>
      <c r="L361" s="7" t="e">
        <f t="array" aca="1" ref="L361" ca="1">IF(INT(Q$4/500*360)&gt;=$G361,L$5,NA())</f>
        <v>#N/A</v>
      </c>
      <c r="M361" s="7" t="e">
        <f t="shared" ca="1" si="40"/>
        <v>#N/A</v>
      </c>
      <c r="N361" s="7" t="e">
        <f t="shared" ca="1" si="40"/>
        <v>#N/A</v>
      </c>
      <c r="O361" s="7" t="e">
        <f t="shared" ca="1" si="40"/>
        <v>#N/A</v>
      </c>
      <c r="P361" s="7" t="e">
        <f t="shared" ca="1" si="40"/>
        <v>#N/A</v>
      </c>
      <c r="Q361" s="7" t="e">
        <f t="shared" ca="1" si="40"/>
        <v>#N/A</v>
      </c>
    </row>
    <row r="362" spans="7:17" ht="20.25" customHeight="1" x14ac:dyDescent="0.35">
      <c r="G362" s="7">
        <v>356</v>
      </c>
      <c r="H362" s="7" t="e">
        <f t="array" aca="1" ref="H362" ca="1">IF(INT(M$4/500*360)&gt;=$G362,H$5,NA())</f>
        <v>#N/A</v>
      </c>
      <c r="I362" s="7" t="e">
        <f t="array" aca="1" ref="I362" ca="1">IF(INT(N$4/500*360)&gt;=$G362,I$5,NA())</f>
        <v>#N/A</v>
      </c>
      <c r="J362" s="7" t="e">
        <f t="array" aca="1" ref="J362" ca="1">IF(INT(O$4/500*360)&gt;=$G362,J$5,NA())</f>
        <v>#N/A</v>
      </c>
      <c r="K362" s="7" t="e">
        <f t="array" aca="1" ref="K362" ca="1">IF(INT(P$4/500*360)&gt;=$G362,K$5,NA())</f>
        <v>#N/A</v>
      </c>
      <c r="L362" s="7" t="e">
        <f t="array" aca="1" ref="L362" ca="1">IF(INT(Q$4/500*360)&gt;=$G362,L$5,NA())</f>
        <v>#N/A</v>
      </c>
      <c r="M362" s="7" t="e">
        <f t="shared" ca="1" si="40"/>
        <v>#N/A</v>
      </c>
      <c r="N362" s="7" t="e">
        <f t="shared" ca="1" si="40"/>
        <v>#N/A</v>
      </c>
      <c r="O362" s="7" t="e">
        <f t="shared" ca="1" si="40"/>
        <v>#N/A</v>
      </c>
      <c r="P362" s="7" t="e">
        <f t="shared" ca="1" si="40"/>
        <v>#N/A</v>
      </c>
      <c r="Q362" s="7" t="e">
        <f t="shared" ca="1" si="40"/>
        <v>#N/A</v>
      </c>
    </row>
    <row r="363" spans="7:17" ht="20.25" customHeight="1" x14ac:dyDescent="0.35">
      <c r="G363" s="7">
        <v>357</v>
      </c>
      <c r="H363" s="7" t="e">
        <f t="array" aca="1" ref="H363" ca="1">IF(INT(M$4/500*360)&gt;=$G363,H$5,NA())</f>
        <v>#N/A</v>
      </c>
      <c r="I363" s="7" t="e">
        <f t="array" aca="1" ref="I363" ca="1">IF(INT(N$4/500*360)&gt;=$G363,I$5,NA())</f>
        <v>#N/A</v>
      </c>
      <c r="J363" s="7" t="e">
        <f t="array" aca="1" ref="J363" ca="1">IF(INT(O$4/500*360)&gt;=$G363,J$5,NA())</f>
        <v>#N/A</v>
      </c>
      <c r="K363" s="7" t="e">
        <f t="array" aca="1" ref="K363" ca="1">IF(INT(P$4/500*360)&gt;=$G363,K$5,NA())</f>
        <v>#N/A</v>
      </c>
      <c r="L363" s="7" t="e">
        <f t="array" aca="1" ref="L363" ca="1">IF(INT(Q$4/500*360)&gt;=$G363,L$5,NA())</f>
        <v>#N/A</v>
      </c>
      <c r="M363" s="7" t="e">
        <f t="shared" ca="1" si="40"/>
        <v>#N/A</v>
      </c>
      <c r="N363" s="7" t="e">
        <f t="shared" ca="1" si="40"/>
        <v>#N/A</v>
      </c>
      <c r="O363" s="7" t="e">
        <f t="shared" ca="1" si="40"/>
        <v>#N/A</v>
      </c>
      <c r="P363" s="7" t="e">
        <f t="shared" ca="1" si="40"/>
        <v>#N/A</v>
      </c>
      <c r="Q363" s="7" t="e">
        <f t="shared" ca="1" si="40"/>
        <v>#N/A</v>
      </c>
    </row>
    <row r="364" spans="7:17" ht="20.25" customHeight="1" x14ac:dyDescent="0.35">
      <c r="G364" s="7">
        <v>358</v>
      </c>
      <c r="H364" s="7" t="e">
        <f t="array" aca="1" ref="H364" ca="1">IF(INT(M$4/500*360)&gt;=$G364,H$5,NA())</f>
        <v>#N/A</v>
      </c>
      <c r="I364" s="7" t="e">
        <f t="array" aca="1" ref="I364" ca="1">IF(INT(N$4/500*360)&gt;=$G364,I$5,NA())</f>
        <v>#N/A</v>
      </c>
      <c r="J364" s="7" t="e">
        <f t="array" aca="1" ref="J364" ca="1">IF(INT(O$4/500*360)&gt;=$G364,J$5,NA())</f>
        <v>#N/A</v>
      </c>
      <c r="K364" s="7" t="e">
        <f t="array" aca="1" ref="K364" ca="1">IF(INT(P$4/500*360)&gt;=$G364,K$5,NA())</f>
        <v>#N/A</v>
      </c>
      <c r="L364" s="7" t="e">
        <f t="array" aca="1" ref="L364" ca="1">IF(INT(Q$4/500*360)&gt;=$G364,L$5,NA())</f>
        <v>#N/A</v>
      </c>
      <c r="M364" s="7" t="e">
        <f t="shared" ca="1" si="40"/>
        <v>#N/A</v>
      </c>
      <c r="N364" s="7" t="e">
        <f t="shared" ca="1" si="40"/>
        <v>#N/A</v>
      </c>
      <c r="O364" s="7" t="e">
        <f t="shared" ca="1" si="40"/>
        <v>#N/A</v>
      </c>
      <c r="P364" s="7" t="e">
        <f t="shared" ca="1" si="40"/>
        <v>#N/A</v>
      </c>
      <c r="Q364" s="7" t="e">
        <f t="shared" ca="1" si="40"/>
        <v>#N/A</v>
      </c>
    </row>
    <row r="365" spans="7:17" ht="20.25" customHeight="1" x14ac:dyDescent="0.35">
      <c r="G365" s="7">
        <v>359</v>
      </c>
      <c r="H365" s="7" t="e">
        <f t="array" aca="1" ref="H365" ca="1">IF(INT(M$4/500*360)&gt;=$G365,H$5,NA())</f>
        <v>#N/A</v>
      </c>
      <c r="I365" s="7" t="e">
        <f t="array" aca="1" ref="I365" ca="1">IF(INT(N$4/500*360)&gt;=$G365,I$5,NA())</f>
        <v>#N/A</v>
      </c>
      <c r="J365" s="7" t="e">
        <f t="array" aca="1" ref="J365" ca="1">IF(INT(O$4/500*360)&gt;=$G365,J$5,NA())</f>
        <v>#N/A</v>
      </c>
      <c r="K365" s="7" t="e">
        <f t="array" aca="1" ref="K365" ca="1">IF(INT(P$4/500*360)&gt;=$G365,K$5,NA())</f>
        <v>#N/A</v>
      </c>
      <c r="L365" s="7" t="e">
        <f t="array" aca="1" ref="L365" ca="1">IF(INT(Q$4/500*360)&gt;=$G365,L$5,NA())</f>
        <v>#N/A</v>
      </c>
      <c r="M365" s="7" t="e">
        <f t="shared" ca="1" si="40"/>
        <v>#N/A</v>
      </c>
      <c r="N365" s="7" t="e">
        <f t="shared" ca="1" si="40"/>
        <v>#N/A</v>
      </c>
      <c r="O365" s="7" t="e">
        <f t="shared" ca="1" si="40"/>
        <v>#N/A</v>
      </c>
      <c r="P365" s="7" t="e">
        <f t="shared" ca="1" si="40"/>
        <v>#N/A</v>
      </c>
      <c r="Q365" s="7" t="e">
        <f t="shared" ca="1" si="40"/>
        <v>#N/A</v>
      </c>
    </row>
    <row r="366" spans="7:17" ht="20.25" customHeight="1" x14ac:dyDescent="0.35">
      <c r="G366" s="7">
        <v>360</v>
      </c>
      <c r="H366" s="7" t="e">
        <f t="array" aca="1" ref="H366" ca="1">IF(INT(M$4/500*360)&gt;=$G366,H$5,NA())</f>
        <v>#N/A</v>
      </c>
      <c r="I366" s="7" t="e">
        <f t="array" aca="1" ref="I366" ca="1">IF(INT(N$4/500*360)&gt;=$G366,I$5,NA())</f>
        <v>#N/A</v>
      </c>
      <c r="J366" s="7" t="e">
        <f t="array" aca="1" ref="J366" ca="1">IF(INT(O$4/500*360)&gt;=$G366,J$5,NA())</f>
        <v>#N/A</v>
      </c>
      <c r="K366" s="7" t="e">
        <f t="array" aca="1" ref="K366" ca="1">IF(INT(P$4/500*360)&gt;=$G366,K$5,NA())</f>
        <v>#N/A</v>
      </c>
      <c r="L366" s="7" t="e">
        <f t="array" aca="1" ref="L366" ca="1">IF(INT(Q$4/500*360)&gt;=$G366,L$5,NA())</f>
        <v>#N/A</v>
      </c>
      <c r="M366" s="7" t="e">
        <f t="shared" ca="1" si="40"/>
        <v>#N/A</v>
      </c>
      <c r="N366" s="7" t="e">
        <f t="shared" ca="1" si="40"/>
        <v>#N/A</v>
      </c>
      <c r="O366" s="7" t="e">
        <f t="shared" ca="1" si="40"/>
        <v>#N/A</v>
      </c>
      <c r="P366" s="7" t="e">
        <f t="shared" ca="1" si="40"/>
        <v>#N/A</v>
      </c>
      <c r="Q366" s="7" t="e">
        <f t="shared" ca="1" si="40"/>
        <v>#N/A</v>
      </c>
    </row>
  </sheetData>
  <phoneticPr fontId="12" type="noConversion"/>
  <pageMargins left="0.69930555555555596" right="0.69930555555555596" top="0.75" bottom="0.75" header="0.3" footer="0.3"/>
  <pageSetup paperSize="9" orientation="portrait" horizontalDpi="180" verticalDpi="18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2016-11-05T15:17:00Z</dcterms:created>
  <dcterms:modified xsi:type="dcterms:W3CDTF">2021-03-16T01:57:03Z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
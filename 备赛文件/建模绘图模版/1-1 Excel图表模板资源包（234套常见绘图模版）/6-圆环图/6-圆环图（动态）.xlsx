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6-圆环图\"/>
    </mc:Choice>
  </mc:AlternateContent>
  <xr:revisionPtr revIDLastSave="0" documentId="13_ncr:1_{B3239906-E96E-4B4A-A958-25B6851EFBEA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动态圆环图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B19" i="1"/>
  <c r="D13" i="1"/>
  <c r="B18" i="1"/>
  <c r="E13" i="1"/>
  <c r="B17" i="1"/>
  <c r="F13" i="1"/>
  <c r="B16" i="1"/>
  <c r="H14" i="1"/>
  <c r="F14" i="1"/>
  <c r="E14" i="1"/>
  <c r="D14" i="1"/>
  <c r="C14" i="1"/>
  <c r="H13" i="1"/>
  <c r="B13" i="1"/>
  <c r="H12" i="1"/>
  <c r="H11" i="1"/>
  <c r="J4" i="1"/>
</calcChain>
</file>

<file path=xl/sharedStrings.xml><?xml version="1.0" encoding="utf-8"?>
<sst xmlns="http://schemas.openxmlformats.org/spreadsheetml/2006/main" count="23" uniqueCount="14">
  <si>
    <t>产品名称</t>
  </si>
  <si>
    <t>客户订单数量</t>
  </si>
  <si>
    <t>实际生产数量</t>
  </si>
  <si>
    <t>仓库库存数量</t>
  </si>
  <si>
    <t>返修数量</t>
  </si>
  <si>
    <t>作图思路</t>
  </si>
  <si>
    <t>一季度</t>
  </si>
  <si>
    <t>图表中的图例全部是在单元格中做好之后，复制区域粘贴为连接的图片来制作的</t>
  </si>
  <si>
    <t>二季度</t>
  </si>
  <si>
    <t>三季度</t>
  </si>
  <si>
    <t>四季度</t>
  </si>
  <si>
    <t>组合框链接单元格</t>
  </si>
  <si>
    <t>作图数据</t>
  </si>
  <si>
    <t>空白占位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</si>
</sst>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微软雅黑"/>
      <charset val="134"/>
    </font>
    <font>
      <sz val="22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8"/>
      <color theme="1"/>
      <name val="Agency FB"/>
      <family val="1"/>
    </font>
    <font>
      <b/>
      <sz val="36"/>
      <color theme="0" tint="-0.249977111117893"/>
      <name val="Agency FB"/>
      <family val="1"/>
    </font>
    <font>
      <b/>
      <sz val="28"/>
      <color theme="0" tint="-0.249977111117893"/>
      <name val="幼圆"/>
      <family val="3"/>
      <charset val="134"/>
    </font>
    <font>
      <b/>
      <sz val="36"/>
      <color theme="0" tint="-0.499984740745262"/>
      <name val="Agency FB"/>
      <family val="1"/>
    </font>
    <font>
      <b/>
      <sz val="28"/>
      <color theme="0" tint="-0.499984740745262"/>
      <name val="幼圆"/>
      <family val="3"/>
      <charset val="134"/>
    </font>
    <font>
      <b/>
      <sz val="36"/>
      <color rgb="FFABD050"/>
      <name val="Agency FB"/>
      <family val="1"/>
    </font>
    <font>
      <b/>
      <sz val="28"/>
      <color rgb="FFABD050"/>
      <name val="幼圆"/>
      <family val="3"/>
      <charset val="134"/>
    </font>
    <font>
      <b/>
      <sz val="36"/>
      <color rgb="FFC75F09"/>
      <name val="Agency FB"/>
      <family val="1"/>
    </font>
    <font>
      <b/>
      <sz val="28"/>
      <color rgb="FFC75F09"/>
      <name val="幼圆"/>
      <family val="3"/>
      <charset val="134"/>
    </font>
    <font>
      <b/>
      <sz val="18"/>
      <color theme="0"/>
      <name val="幼圆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75F09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1" applyAlignment="1">
      <alignment horizontal="center" vertical="center"/>
    </xf>
    <xf numFmtId="0" fontId="3" fillId="2" borderId="0" xfId="2" applyFon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4" fillId="0" borderId="0" xfId="2" applyFont="1" applyBorder="1" applyAlignment="1">
      <alignment horizontal="right" vertical="center"/>
    </xf>
    <xf numFmtId="0" fontId="5" fillId="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Fill="1" applyBorder="1" applyAlignment="1">
      <alignment horizontal="left" vertical="top"/>
    </xf>
    <xf numFmtId="0" fontId="9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top"/>
    </xf>
    <xf numFmtId="0" fontId="11" fillId="0" borderId="0" xfId="0" applyFont="1" applyBorder="1">
      <alignment vertical="center"/>
    </xf>
    <xf numFmtId="0" fontId="12" fillId="0" borderId="0" xfId="0" applyFont="1" applyFill="1" applyBorder="1" applyAlignment="1">
      <alignment horizontal="left" vertical="top"/>
    </xf>
    <xf numFmtId="0" fontId="13" fillId="0" borderId="0" xfId="0" applyFont="1" applyBorder="1">
      <alignment vertical="center"/>
    </xf>
    <xf numFmtId="0" fontId="14" fillId="0" borderId="0" xfId="0" applyFont="1" applyFill="1" applyBorder="1" applyAlignment="1">
      <alignment horizontal="left" vertical="top"/>
    </xf>
    <xf numFmtId="0" fontId="0" fillId="0" borderId="1" xfId="0" applyFill="1" applyBorder="1">
      <alignment vertical="center"/>
    </xf>
    <xf numFmtId="0" fontId="15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1" fillId="0" borderId="5" xfId="0" applyFont="1" applyFill="1" applyBorder="1" applyAlignment="1">
      <alignment horizontal="left"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648036642478499E-2"/>
          <c:y val="1.6375070763213401E-2"/>
          <c:w val="0.97816108280582603"/>
          <c:h val="0.93071297058017"/>
        </c:manualLayout>
      </c:layout>
      <c:doughnutChart>
        <c:varyColors val="1"/>
        <c:ser>
          <c:idx val="3"/>
          <c:order val="0"/>
          <c:tx>
            <c:strRef>
              <c:f>动态圆环图!$F$12</c:f>
              <c:strCache>
                <c:ptCount val="1"/>
                <c:pt idx="0">
                  <c:v>返修数量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13E-4775-951B-406C485F9763}"/>
              </c:ext>
            </c:extLst>
          </c:dPt>
          <c:dPt>
            <c:idx val="1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613E-4775-951B-406C485F9763}"/>
              </c:ext>
            </c:extLst>
          </c:dPt>
          <c:cat>
            <c:strRef>
              <c:f>动态圆环图!$B$13:$B$14</c:f>
              <c:strCache>
                <c:ptCount val="2"/>
                <c:pt idx="0">
                  <c:v>二季度</c:v>
                </c:pt>
                <c:pt idx="1">
                  <c:v>空白占位</c:v>
                </c:pt>
              </c:strCache>
            </c:strRef>
          </c:cat>
          <c:val>
            <c:numRef>
              <c:f>动态圆环图!$F$13:$F$14</c:f>
              <c:numCache>
                <c:formatCode>General</c:formatCode>
                <c:ptCount val="2"/>
                <c:pt idx="0">
                  <c:v>35</c:v>
                </c:pt>
                <c:pt idx="1">
                  <c:v>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3E-4775-951B-406C485F9763}"/>
            </c:ext>
          </c:extLst>
        </c:ser>
        <c:ser>
          <c:idx val="2"/>
          <c:order val="1"/>
          <c:tx>
            <c:strRef>
              <c:f>动态圆环图!$E$12</c:f>
              <c:strCache>
                <c:ptCount val="1"/>
                <c:pt idx="0">
                  <c:v>仓库库存数量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613E-4775-951B-406C485F9763}"/>
              </c:ext>
            </c:extLst>
          </c:dPt>
          <c:dPt>
            <c:idx val="1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8-613E-4775-951B-406C485F9763}"/>
              </c:ext>
            </c:extLst>
          </c:dPt>
          <c:cat>
            <c:strRef>
              <c:f>动态圆环图!$B$13:$B$14</c:f>
              <c:strCache>
                <c:ptCount val="2"/>
                <c:pt idx="0">
                  <c:v>二季度</c:v>
                </c:pt>
                <c:pt idx="1">
                  <c:v>空白占位</c:v>
                </c:pt>
              </c:strCache>
            </c:strRef>
          </c:cat>
          <c:val>
            <c:numRef>
              <c:f>动态圆环图!$E$13:$E$14</c:f>
              <c:numCache>
                <c:formatCode>General</c:formatCode>
                <c:ptCount val="2"/>
                <c:pt idx="0">
                  <c:v>98</c:v>
                </c:pt>
                <c:pt idx="1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3E-4775-951B-406C485F9763}"/>
            </c:ext>
          </c:extLst>
        </c:ser>
        <c:ser>
          <c:idx val="1"/>
          <c:order val="2"/>
          <c:tx>
            <c:strRef>
              <c:f>动态圆环图!$D$12</c:f>
              <c:strCache>
                <c:ptCount val="1"/>
                <c:pt idx="0">
                  <c:v>实际生产数量</c:v>
                </c:pt>
              </c:strCache>
            </c:strRef>
          </c:tx>
          <c:dPt>
            <c:idx val="0"/>
            <c:bubble3D val="0"/>
            <c:spPr>
              <a:solidFill>
                <a:srgbClr val="ABD050"/>
              </a:solidFill>
            </c:spPr>
            <c:extLst>
              <c:ext xmlns:c16="http://schemas.microsoft.com/office/drawing/2014/chart" uri="{C3380CC4-5D6E-409C-BE32-E72D297353CC}">
                <c16:uniqueId val="{0000000B-613E-4775-951B-406C485F9763}"/>
              </c:ext>
            </c:extLst>
          </c:dPt>
          <c:dPt>
            <c:idx val="1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D-613E-4775-951B-406C485F9763}"/>
              </c:ext>
            </c:extLst>
          </c:dPt>
          <c:cat>
            <c:strRef>
              <c:f>动态圆环图!$B$13:$B$14</c:f>
              <c:strCache>
                <c:ptCount val="2"/>
                <c:pt idx="0">
                  <c:v>二季度</c:v>
                </c:pt>
                <c:pt idx="1">
                  <c:v>空白占位</c:v>
                </c:pt>
              </c:strCache>
            </c:strRef>
          </c:cat>
          <c:val>
            <c:numRef>
              <c:f>动态圆环图!$D$13:$D$14</c:f>
              <c:numCache>
                <c:formatCode>General</c:formatCode>
                <c:ptCount val="2"/>
                <c:pt idx="0">
                  <c:v>371</c:v>
                </c:pt>
                <c:pt idx="1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3E-4775-951B-406C485F9763}"/>
            </c:ext>
          </c:extLst>
        </c:ser>
        <c:ser>
          <c:idx val="0"/>
          <c:order val="3"/>
          <c:tx>
            <c:strRef>
              <c:f>动态圆环图!$C$12</c:f>
              <c:strCache>
                <c:ptCount val="1"/>
                <c:pt idx="0">
                  <c:v>客户订单数量</c:v>
                </c:pt>
              </c:strCache>
            </c:strRef>
          </c:tx>
          <c:dPt>
            <c:idx val="0"/>
            <c:bubble3D val="0"/>
            <c:spPr>
              <a:solidFill>
                <a:srgbClr val="C75F09"/>
              </a:solidFill>
            </c:spPr>
            <c:extLst>
              <c:ext xmlns:c16="http://schemas.microsoft.com/office/drawing/2014/chart" uri="{C3380CC4-5D6E-409C-BE32-E72D297353CC}">
                <c16:uniqueId val="{00000010-613E-4775-951B-406C485F9763}"/>
              </c:ext>
            </c:extLst>
          </c:dPt>
          <c:dPt>
            <c:idx val="1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12-613E-4775-951B-406C485F9763}"/>
              </c:ext>
            </c:extLst>
          </c:dPt>
          <c:cat>
            <c:strRef>
              <c:f>动态圆环图!$B$13:$B$14</c:f>
              <c:strCache>
                <c:ptCount val="2"/>
                <c:pt idx="0">
                  <c:v>二季度</c:v>
                </c:pt>
                <c:pt idx="1">
                  <c:v>空白占位</c:v>
                </c:pt>
              </c:strCache>
            </c:strRef>
          </c:cat>
          <c:val>
            <c:numRef>
              <c:f>动态圆环图!$C$13:$C$14</c:f>
              <c:numCache>
                <c:formatCode>General</c:formatCode>
                <c:ptCount val="2"/>
                <c:pt idx="0">
                  <c:v>403</c:v>
                </c:pt>
                <c:pt idx="1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13E-4775-951B-406C485F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25"/>
      </c:doughnutChart>
      <c:spPr>
        <a:noFill/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4" dropStyle="combo" dx="16" fmlaLink="$C$10" fmlaRange="$B$5:$B$8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3</xdr:row>
      <xdr:rowOff>257175</xdr:rowOff>
    </xdr:from>
    <xdr:to>
      <xdr:col>17</xdr:col>
      <xdr:colOff>152400</xdr:colOff>
      <xdr:row>14</xdr:row>
      <xdr:rowOff>90126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543675" y="971550"/>
          <a:ext cx="5524500" cy="2757126"/>
          <a:chOff x="5753100" y="257175"/>
          <a:chExt cx="5524500" cy="290000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Drop Down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8086725" y="447528"/>
                <a:ext cx="828675" cy="26048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5753100" y="695325"/>
          <a:ext cx="2333625" cy="2428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9077325" y="257175"/>
            <a:ext cx="1857375" cy="0"/>
          </a:xfrm>
          <a:prstGeom prst="line">
            <a:avLst/>
          </a:prstGeom>
          <a:ln w="38100"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0" name="图片 9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H$11:$H$14" spid="_x0000_s1048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6953251" y="2133599"/>
                <a:ext cx="265518" cy="895351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 xmlns:r="http://schemas.openxmlformats.org/officeDocument/2006/relationships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13" name="图片 12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B$16:$E$19" spid="_x0000_s1049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>
              <a:xfrm>
                <a:off x="7962901" y="1028701"/>
                <a:ext cx="3314699" cy="2128475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S33"/>
  <sheetViews>
    <sheetView showGridLines="0" tabSelected="1" topLeftCell="C19" workbookViewId="0">
      <selection activeCell="X22" sqref="X22"/>
    </sheetView>
  </sheetViews>
  <sheetFormatPr defaultColWidth="9" defaultRowHeight="30.75" x14ac:dyDescent="0.45"/>
  <cols>
    <col min="2" max="2" width="15" style="1" customWidth="1"/>
    <col min="3" max="3" width="13.75" style="1" customWidth="1"/>
    <col min="4" max="4" width="12.5" style="1" customWidth="1"/>
    <col min="5" max="5" width="13.375" style="1" customWidth="1"/>
    <col min="6" max="6" width="9.5" style="1" customWidth="1"/>
    <col min="7" max="7" width="2.75" style="1" customWidth="1"/>
    <col min="8" max="8" width="8.625" customWidth="1"/>
    <col min="9" max="9" width="1.875" customWidth="1"/>
    <col min="10" max="10" width="10.75" style="2" customWidth="1"/>
    <col min="11" max="11" width="1.375" style="2" customWidth="1"/>
    <col min="12" max="12" width="17.875" style="3" customWidth="1"/>
    <col min="13" max="13" width="11" customWidth="1"/>
    <col min="17" max="17" width="2" customWidth="1"/>
    <col min="18" max="18" width="3" customWidth="1"/>
  </cols>
  <sheetData>
    <row r="1" spans="2:19" ht="18.75" customHeight="1" x14ac:dyDescent="0.45">
      <c r="C1" s="4"/>
    </row>
    <row r="2" spans="2:19" ht="18.75" customHeight="1" x14ac:dyDescent="0.45">
      <c r="C2" s="4"/>
    </row>
    <row r="3" spans="2:19" ht="18.75" customHeight="1" x14ac:dyDescent="0.45"/>
    <row r="4" spans="2:19" ht="34.5" customHeight="1" x14ac:dyDescent="0.45">
      <c r="B4" s="5" t="s">
        <v>0</v>
      </c>
      <c r="C4" s="5" t="s">
        <v>1</v>
      </c>
      <c r="D4" s="34" t="s">
        <v>2</v>
      </c>
      <c r="E4" s="34" t="s">
        <v>3</v>
      </c>
      <c r="F4" s="34" t="s">
        <v>4</v>
      </c>
      <c r="G4" s="6"/>
      <c r="H4" s="6"/>
      <c r="I4" s="20"/>
      <c r="J4" s="21" t="str">
        <f>B13&amp;"订单与生产数据统计"</f>
        <v>二季度订单与生产数据统计</v>
      </c>
      <c r="K4" s="22"/>
      <c r="L4" s="22"/>
      <c r="M4" s="22"/>
      <c r="N4" s="23"/>
      <c r="O4" s="23"/>
      <c r="P4" s="24"/>
      <c r="Q4" s="31"/>
      <c r="S4" t="s">
        <v>5</v>
      </c>
    </row>
    <row r="5" spans="2:19" ht="15" x14ac:dyDescent="0.45">
      <c r="B5" s="7" t="s">
        <v>6</v>
      </c>
      <c r="C5" s="7">
        <v>433</v>
      </c>
      <c r="D5" s="35">
        <v>350</v>
      </c>
      <c r="E5" s="35">
        <v>132</v>
      </c>
      <c r="F5" s="35">
        <v>56</v>
      </c>
      <c r="G5" s="6"/>
      <c r="H5" s="6"/>
      <c r="I5" s="25"/>
      <c r="J5" s="26"/>
      <c r="K5" s="26"/>
      <c r="L5" s="26"/>
      <c r="M5" s="26"/>
      <c r="N5" s="26"/>
      <c r="O5" s="26"/>
      <c r="P5" s="27"/>
      <c r="Q5" s="32"/>
      <c r="S5" t="s">
        <v>7</v>
      </c>
    </row>
    <row r="6" spans="2:19" ht="15" x14ac:dyDescent="0.45">
      <c r="B6" s="7" t="s">
        <v>8</v>
      </c>
      <c r="C6" s="7">
        <v>403</v>
      </c>
      <c r="D6" s="35">
        <v>371</v>
      </c>
      <c r="E6" s="35">
        <v>98</v>
      </c>
      <c r="F6" s="35">
        <v>35</v>
      </c>
      <c r="G6" s="6"/>
      <c r="H6" s="6"/>
      <c r="I6" s="25"/>
      <c r="J6" s="26"/>
      <c r="K6" s="26"/>
      <c r="L6" s="26"/>
      <c r="M6" s="26"/>
      <c r="N6" s="26"/>
      <c r="O6" s="26"/>
      <c r="P6" s="27"/>
      <c r="Q6" s="32"/>
    </row>
    <row r="7" spans="2:19" ht="15" x14ac:dyDescent="0.45">
      <c r="B7" s="7" t="s">
        <v>9</v>
      </c>
      <c r="C7" s="7">
        <v>444</v>
      </c>
      <c r="D7" s="35">
        <v>326</v>
      </c>
      <c r="E7" s="35">
        <v>107</v>
      </c>
      <c r="F7" s="35">
        <v>27</v>
      </c>
      <c r="G7" s="6"/>
      <c r="H7" s="6"/>
      <c r="I7" s="25"/>
      <c r="J7" s="26"/>
      <c r="K7" s="26"/>
      <c r="L7" s="26"/>
      <c r="M7" s="26"/>
      <c r="N7" s="26"/>
      <c r="O7" s="26"/>
      <c r="P7" s="27"/>
      <c r="Q7" s="32"/>
    </row>
    <row r="8" spans="2:19" ht="15" x14ac:dyDescent="0.45">
      <c r="B8" s="7" t="s">
        <v>10</v>
      </c>
      <c r="C8" s="7">
        <v>590</v>
      </c>
      <c r="D8" s="35">
        <v>317</v>
      </c>
      <c r="E8" s="35">
        <v>111</v>
      </c>
      <c r="F8" s="35">
        <v>25</v>
      </c>
      <c r="G8" s="6"/>
      <c r="H8" s="6"/>
      <c r="I8" s="25"/>
      <c r="J8" s="26"/>
      <c r="K8" s="26"/>
      <c r="L8" s="26"/>
      <c r="M8" s="26"/>
      <c r="N8" s="26"/>
      <c r="O8" s="26"/>
      <c r="P8" s="27"/>
      <c r="Q8" s="32"/>
    </row>
    <row r="9" spans="2:19" ht="13.9" x14ac:dyDescent="0.45">
      <c r="B9" s="6"/>
      <c r="C9" s="6"/>
      <c r="D9" s="6"/>
      <c r="E9" s="6"/>
      <c r="F9" s="6"/>
      <c r="G9" s="6"/>
      <c r="H9" s="2"/>
      <c r="I9" s="25"/>
      <c r="J9" s="26"/>
      <c r="K9" s="26"/>
      <c r="L9" s="26"/>
      <c r="M9" s="26"/>
      <c r="N9" s="26"/>
      <c r="O9" s="26"/>
      <c r="P9" s="27"/>
      <c r="Q9" s="32"/>
    </row>
    <row r="10" spans="2:19" ht="13.9" x14ac:dyDescent="0.45">
      <c r="B10" s="6" t="s">
        <v>11</v>
      </c>
      <c r="C10" s="8">
        <v>2</v>
      </c>
      <c r="D10" s="6"/>
      <c r="E10" s="6"/>
      <c r="F10" s="6"/>
      <c r="G10" s="6"/>
      <c r="H10" s="2"/>
      <c r="I10" s="25"/>
      <c r="J10" s="26"/>
      <c r="K10" s="26"/>
      <c r="L10" s="26"/>
      <c r="M10" s="26"/>
      <c r="N10" s="26"/>
      <c r="O10" s="26"/>
      <c r="P10" s="27"/>
      <c r="Q10" s="32"/>
    </row>
    <row r="11" spans="2:19" ht="27" customHeight="1" x14ac:dyDescent="0.45">
      <c r="B11" s="9" t="s">
        <v>12</v>
      </c>
      <c r="C11" s="6"/>
      <c r="D11" s="6"/>
      <c r="E11" s="6"/>
      <c r="F11" s="6"/>
      <c r="G11" s="6"/>
      <c r="H11" s="10">
        <f>F13</f>
        <v>35</v>
      </c>
      <c r="I11" s="25"/>
      <c r="J11" s="26"/>
      <c r="K11" s="26"/>
      <c r="L11" s="26"/>
      <c r="M11" s="26"/>
      <c r="N11" s="26"/>
      <c r="O11" s="26"/>
      <c r="P11" s="27"/>
      <c r="Q11" s="32"/>
    </row>
    <row r="12" spans="2:19" ht="27" customHeight="1" x14ac:dyDescent="0.45">
      <c r="B12" s="5" t="s">
        <v>0</v>
      </c>
      <c r="C12" s="5" t="s">
        <v>1</v>
      </c>
      <c r="D12" s="34" t="s">
        <v>2</v>
      </c>
      <c r="E12" s="34" t="s">
        <v>3</v>
      </c>
      <c r="F12" s="34" t="s">
        <v>4</v>
      </c>
      <c r="G12" s="6"/>
      <c r="H12" s="10">
        <f>E13</f>
        <v>98</v>
      </c>
      <c r="I12" s="25"/>
      <c r="J12" s="26"/>
      <c r="K12" s="26"/>
      <c r="L12" s="26"/>
      <c r="M12" s="26"/>
      <c r="N12" s="26"/>
      <c r="O12" s="26"/>
      <c r="P12" s="27"/>
      <c r="Q12" s="32"/>
    </row>
    <row r="13" spans="2:19" ht="27" customHeight="1" x14ac:dyDescent="0.45">
      <c r="B13" s="7" t="str">
        <f>INDEX(B5:B8,$C10)</f>
        <v>二季度</v>
      </c>
      <c r="C13" s="7">
        <f>INDEX(C5:C8,$C10)</f>
        <v>403</v>
      </c>
      <c r="D13" s="35">
        <f>INDEX(D5:D8,$C10)</f>
        <v>371</v>
      </c>
      <c r="E13" s="35">
        <f>INDEX(E5:E8,$C10)</f>
        <v>98</v>
      </c>
      <c r="F13" s="35">
        <f>INDEX(F5:F8,$C10)</f>
        <v>35</v>
      </c>
      <c r="G13" s="6"/>
      <c r="H13" s="10">
        <f>D13</f>
        <v>371</v>
      </c>
      <c r="I13" s="25"/>
      <c r="J13" s="27"/>
      <c r="K13" s="27"/>
      <c r="M13" s="27"/>
      <c r="N13" s="27"/>
      <c r="O13" s="27"/>
      <c r="P13" s="27"/>
      <c r="Q13" s="32"/>
    </row>
    <row r="14" spans="2:19" ht="27" customHeight="1" x14ac:dyDescent="0.45">
      <c r="B14" s="7" t="s">
        <v>13</v>
      </c>
      <c r="C14" s="7">
        <f>650-C13</f>
        <v>247</v>
      </c>
      <c r="D14" s="35">
        <f>650-D13</f>
        <v>279</v>
      </c>
      <c r="E14" s="35">
        <f>650-E13</f>
        <v>552</v>
      </c>
      <c r="F14" s="35">
        <f>650-F13</f>
        <v>615</v>
      </c>
      <c r="G14" s="6"/>
      <c r="H14" s="10">
        <f>C13</f>
        <v>403</v>
      </c>
      <c r="I14" s="25"/>
      <c r="J14" s="27"/>
      <c r="K14" s="27"/>
      <c r="M14" s="27"/>
      <c r="N14" s="27"/>
      <c r="O14" s="27"/>
      <c r="P14" s="27"/>
      <c r="Q14" s="32"/>
    </row>
    <row r="15" spans="2:19" ht="11.25" customHeight="1" x14ac:dyDescent="0.45">
      <c r="B15" s="6"/>
      <c r="C15" s="6"/>
      <c r="D15" s="6"/>
      <c r="E15" s="6"/>
      <c r="F15" s="6"/>
      <c r="G15" s="6"/>
      <c r="H15" s="11"/>
      <c r="I15" s="28"/>
      <c r="J15" s="29"/>
      <c r="K15" s="29"/>
      <c r="L15" s="30"/>
      <c r="M15" s="29"/>
      <c r="N15" s="29"/>
      <c r="O15" s="29"/>
      <c r="P15" s="29"/>
      <c r="Q15" s="33"/>
    </row>
    <row r="16" spans="2:19" ht="47.25" customHeight="1" x14ac:dyDescent="0.45">
      <c r="B16" s="12">
        <f>F13</f>
        <v>35</v>
      </c>
      <c r="C16" s="13" t="s">
        <v>4</v>
      </c>
      <c r="D16" s="6"/>
      <c r="E16" s="6"/>
      <c r="F16" s="6"/>
      <c r="G16" s="6"/>
      <c r="H16" s="2"/>
    </row>
    <row r="17" spans="2:8" ht="47.25" customHeight="1" x14ac:dyDescent="0.45">
      <c r="B17" s="14">
        <f>E13</f>
        <v>98</v>
      </c>
      <c r="C17" s="15" t="s">
        <v>3</v>
      </c>
      <c r="D17" s="6"/>
      <c r="E17" s="6"/>
      <c r="F17" s="6"/>
      <c r="G17" s="6"/>
      <c r="H17" s="2"/>
    </row>
    <row r="18" spans="2:8" ht="47.25" customHeight="1" x14ac:dyDescent="0.45">
      <c r="B18" s="16">
        <f>D13</f>
        <v>371</v>
      </c>
      <c r="C18" s="17" t="s">
        <v>2</v>
      </c>
      <c r="D18" s="6"/>
      <c r="E18" s="6"/>
      <c r="F18" s="6"/>
      <c r="G18" s="6"/>
      <c r="H18" s="2"/>
    </row>
    <row r="19" spans="2:8" ht="47.25" customHeight="1" x14ac:dyDescent="0.45">
      <c r="B19" s="18">
        <f>C13</f>
        <v>403</v>
      </c>
      <c r="C19" s="19" t="s">
        <v>1</v>
      </c>
      <c r="D19" s="6"/>
      <c r="E19" s="6"/>
      <c r="F19" s="6"/>
      <c r="G19" s="6"/>
      <c r="H19" s="2"/>
    </row>
    <row r="20" spans="2:8" x14ac:dyDescent="0.45">
      <c r="B20" s="6"/>
      <c r="C20" s="6"/>
      <c r="D20" s="6"/>
      <c r="E20" s="6"/>
      <c r="F20" s="6"/>
      <c r="G20" s="6"/>
      <c r="H20" s="2"/>
    </row>
    <row r="21" spans="2:8" ht="22.5" customHeight="1" x14ac:dyDescent="0.45"/>
    <row r="22" spans="2:8" ht="22.5" customHeight="1" x14ac:dyDescent="0.45"/>
    <row r="23" spans="2:8" ht="22.5" customHeight="1" x14ac:dyDescent="0.45"/>
    <row r="24" spans="2:8" ht="22.5" customHeight="1" x14ac:dyDescent="0.45"/>
    <row r="25" spans="2:8" ht="22.5" customHeight="1" x14ac:dyDescent="0.45"/>
    <row r="26" spans="2:8" ht="22.5" customHeight="1" x14ac:dyDescent="0.45"/>
    <row r="27" spans="2:8" ht="22.5" customHeight="1" x14ac:dyDescent="0.45"/>
    <row r="28" spans="2:8" ht="22.5" customHeight="1" x14ac:dyDescent="0.45"/>
    <row r="29" spans="2:8" ht="22.5" customHeight="1" x14ac:dyDescent="0.45"/>
    <row r="30" spans="2:8" ht="22.5" customHeight="1" x14ac:dyDescent="0.45"/>
    <row r="31" spans="2:8" ht="22.5" customHeight="1" x14ac:dyDescent="0.45"/>
    <row r="32" spans="2:8" ht="22.5" customHeight="1" x14ac:dyDescent="0.45"/>
    <row r="33" ht="22.5" customHeight="1" x14ac:dyDescent="0.45"/>
  </sheetData>
  <phoneticPr fontId="17" type="noConversion"/>
  <pageMargins left="0.69930555555555596" right="0.69930555555555596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Pict="0">
                <anchor moveWithCells="1">
                  <from>
                    <xdr:col>12</xdr:col>
                    <xdr:colOff>9525</xdr:colOff>
                    <xdr:row>4</xdr:row>
                    <xdr:rowOff>0</xdr:rowOff>
                  </from>
                  <to>
                    <xdr:col>13</xdr:col>
                    <xdr:colOff>0</xdr:colOff>
                    <xdr:row>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动态圆环图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2016-03-05T07:05:00Z</dcterms:created>
  <dcterms:modified xsi:type="dcterms:W3CDTF">2021-03-16T01:55:42Z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
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4437315B-2F9D-4152-AE0B-BEBD226E4F4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C17" i="1"/>
  <c r="D17" i="1"/>
  <c r="E17" i="1"/>
  <c r="F17" i="1"/>
</calcChain>
</file>

<file path=xl/sharedStrings.xml><?xml version="1.0" encoding="utf-8"?>
<sst xmlns="http://schemas.openxmlformats.org/spreadsheetml/2006/main" count="20" uniqueCount="20">
  <si>
    <t>销售人员</t>
  </si>
  <si>
    <t>张雷</t>
  </si>
  <si>
    <t>李红</t>
  </si>
  <si>
    <t>张威</t>
  </si>
  <si>
    <t>龚明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</si>
  <si>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</si>
  <si>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</si>
  <si>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</si>
  <si>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</si>
  <si>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</si>
  <si>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</si>
  <si>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</si>
  <si>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</si>
  <si>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</si>
  <si>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</si>
  <si>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</si>
  <si>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</si>
  <si>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</si>
  <si>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目标任务</t>
  </si>
  <si>
    <t>任务达成百分比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</si>
</sst>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12"/>
      <name val="华文细黑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销售人员业绩分布图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609865470852019"/>
          <c:y val="0.32546015179049731"/>
          <c:w val="0.49103139013452912"/>
          <c:h val="0.57480462292031387"/>
        </c:manualLayout>
      </c:layout>
      <c:doughnutChart>
        <c:varyColors val="1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>
              <a:outerShdw blurRad="254000" sx="102000" sy="102000" rotWithShape="0">
                <a:schemeClr val="accent1">
                  <a:alpha val="20000"/>
                </a:scheme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rotWithShape="0">
                  <a:schemeClr val="accent1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F08-4D3A-848B-6E07BDC927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rotWithShape="0">
                  <a:schemeClr val="accent2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08-4D3A-848B-6E07BDC927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rotWithShape="0">
                  <a:schemeClr val="accent3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F08-4D3A-848B-6E07BDC927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rotWithShape="0">
                  <a:schemeClr val="accent4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08-4D3A-848B-6E07BDC92708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sx="1000" sy="1000" rotWithShape="0">
                  <a:srgbClr val="FFFFFF"/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李红</c:v>
                </c:pt>
                <c:pt idx="2">
                  <c:v>张威</c:v>
                </c:pt>
                <c:pt idx="3">
                  <c:v>龚明</c:v>
                </c:pt>
              </c:strCache>
            </c:strRef>
          </c:cat>
          <c:val>
            <c:numRef>
              <c:f>Sheet1!$C$15:$F$15</c:f>
              <c:numCache>
                <c:formatCode>General</c:formatCode>
                <c:ptCount val="4"/>
                <c:pt idx="0">
                  <c:v>61887</c:v>
                </c:pt>
                <c:pt idx="1">
                  <c:v>70072</c:v>
                </c:pt>
                <c:pt idx="2">
                  <c:v>49069</c:v>
                </c:pt>
                <c:pt idx="3">
                  <c:v>82272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8-4D3A-848B-6E07BDC92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547274705881061"/>
          <c:y val="0.44225778463565329"/>
          <c:w val="0.1132289474779014"/>
          <c:h val="0.236220775176313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黑体" pitchFamily="49" charset="-122"/>
          <a:ea typeface="黑体" pitchFamily="49" charset="-122"/>
          <a:cs typeface="华文细黑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销售人员各月业绩分布图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张雷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  <a:effectLst>
              <a:outerShdw blurRad="57150" dist="19050" dir="5400000" rotWithShape="0">
                <a:schemeClr val="accent1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3625</c:v>
                </c:pt>
                <c:pt idx="1">
                  <c:v>4958</c:v>
                </c:pt>
                <c:pt idx="2">
                  <c:v>2610</c:v>
                </c:pt>
                <c:pt idx="3">
                  <c:v>5165</c:v>
                </c:pt>
                <c:pt idx="4">
                  <c:v>4956</c:v>
                </c:pt>
                <c:pt idx="5">
                  <c:v>6169</c:v>
                </c:pt>
                <c:pt idx="6">
                  <c:v>9443</c:v>
                </c:pt>
                <c:pt idx="7">
                  <c:v>5800</c:v>
                </c:pt>
                <c:pt idx="8">
                  <c:v>6559</c:v>
                </c:pt>
                <c:pt idx="9">
                  <c:v>5447</c:v>
                </c:pt>
                <c:pt idx="10">
                  <c:v>3539</c:v>
                </c:pt>
                <c:pt idx="11">
                  <c:v>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E-4915-9125-608BF85F0FEF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李红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  <a:effectLst>
              <a:outerShdw blurRad="57150" dist="19050" dir="5400000" rotWithShape="0">
                <a:schemeClr val="accent2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2563</c:v>
                </c:pt>
                <c:pt idx="1">
                  <c:v>7299</c:v>
                </c:pt>
                <c:pt idx="2">
                  <c:v>2280</c:v>
                </c:pt>
                <c:pt idx="3">
                  <c:v>3785</c:v>
                </c:pt>
                <c:pt idx="4">
                  <c:v>9454</c:v>
                </c:pt>
                <c:pt idx="5">
                  <c:v>3627</c:v>
                </c:pt>
                <c:pt idx="6">
                  <c:v>3870</c:v>
                </c:pt>
                <c:pt idx="7">
                  <c:v>4971</c:v>
                </c:pt>
                <c:pt idx="8">
                  <c:v>7851</c:v>
                </c:pt>
                <c:pt idx="9">
                  <c:v>9204</c:v>
                </c:pt>
                <c:pt idx="10">
                  <c:v>5783</c:v>
                </c:pt>
                <c:pt idx="11">
                  <c:v>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E-4915-9125-608BF85F0FEF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张威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solid"/>
              <a:round/>
            </a:ln>
            <a:effectLst>
              <a:outerShdw blurRad="57150" dist="19050" dir="5400000" rotWithShape="0">
                <a:schemeClr val="accent3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Sheet1!$E$3:$E$14</c:f>
              <c:numCache>
                <c:formatCode>General</c:formatCode>
                <c:ptCount val="12"/>
                <c:pt idx="0">
                  <c:v>3925</c:v>
                </c:pt>
                <c:pt idx="1">
                  <c:v>4558</c:v>
                </c:pt>
                <c:pt idx="2">
                  <c:v>5152</c:v>
                </c:pt>
                <c:pt idx="3">
                  <c:v>5133</c:v>
                </c:pt>
                <c:pt idx="4">
                  <c:v>2088</c:v>
                </c:pt>
                <c:pt idx="5">
                  <c:v>2779</c:v>
                </c:pt>
                <c:pt idx="6">
                  <c:v>4468</c:v>
                </c:pt>
                <c:pt idx="7">
                  <c:v>2785</c:v>
                </c:pt>
                <c:pt idx="8">
                  <c:v>2703</c:v>
                </c:pt>
                <c:pt idx="9">
                  <c:v>2792</c:v>
                </c:pt>
                <c:pt idx="10">
                  <c:v>4968</c:v>
                </c:pt>
                <c:pt idx="11">
                  <c:v>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6E-4915-9125-608BF85F0FEF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龚明</c:v>
                </c:pt>
              </c:strCache>
            </c:strRef>
          </c:tx>
          <c:spPr>
            <a:ln w="34925" cap="rnd">
              <a:solidFill>
                <a:schemeClr val="accent4"/>
              </a:solidFill>
              <a:prstDash val="solid"/>
              <a:round/>
            </a:ln>
            <a:effectLst>
              <a:outerShdw blurRad="57150" dist="19050" dir="5400000" rotWithShape="0">
                <a:schemeClr val="accent4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Sheet1!$F$3:$F$14</c:f>
              <c:numCache>
                <c:formatCode>General</c:formatCode>
                <c:ptCount val="12"/>
                <c:pt idx="0">
                  <c:v>3689</c:v>
                </c:pt>
                <c:pt idx="1">
                  <c:v>6320</c:v>
                </c:pt>
                <c:pt idx="2">
                  <c:v>3824</c:v>
                </c:pt>
                <c:pt idx="3">
                  <c:v>7408</c:v>
                </c:pt>
                <c:pt idx="4">
                  <c:v>5880</c:v>
                </c:pt>
                <c:pt idx="5">
                  <c:v>5113</c:v>
                </c:pt>
                <c:pt idx="6">
                  <c:v>7132</c:v>
                </c:pt>
                <c:pt idx="7">
                  <c:v>8185</c:v>
                </c:pt>
                <c:pt idx="8">
                  <c:v>9206</c:v>
                </c:pt>
                <c:pt idx="9">
                  <c:v>9932</c:v>
                </c:pt>
                <c:pt idx="10">
                  <c:v>6166</c:v>
                </c:pt>
                <c:pt idx="11">
                  <c:v>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6E-4915-9125-608BF85F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55728"/>
        <c:axId val="1"/>
      </c:lineChart>
      <c:catAx>
        <c:axId val="68275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C0C0C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C0C0C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6827557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515029894714755"/>
          <c:y val="0.90993788819875776"/>
          <c:w val="0.42338105328440745"/>
          <c:h val="5.90062111801242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C0C0C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9525" cap="flat" cmpd="sng" algn="ctr">
      <a:noFill/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销售人员任务完成率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李红</c:v>
                </c:pt>
                <c:pt idx="2">
                  <c:v>张威</c:v>
                </c:pt>
                <c:pt idx="3">
                  <c:v>龚明</c:v>
                </c:pt>
              </c:strCache>
            </c:strRef>
          </c:cat>
          <c:val>
            <c:numRef>
              <c:f>Sheet1!$C$17:$F$17</c:f>
              <c:numCache>
                <c:formatCode>0.00%</c:formatCode>
                <c:ptCount val="4"/>
                <c:pt idx="0">
                  <c:v>1.03145</c:v>
                </c:pt>
                <c:pt idx="1">
                  <c:v>1.1678666666666666</c:v>
                </c:pt>
                <c:pt idx="2">
                  <c:v>0.81781666666666664</c:v>
                </c:pt>
                <c:pt idx="3">
                  <c:v>1.3712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3-4816-9C07-F22A4D25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82761304"/>
        <c:axId val="1"/>
      </c:barChart>
      <c:catAx>
        <c:axId val="68276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6827613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</xdr:row>
      <xdr:rowOff>28575</xdr:rowOff>
    </xdr:from>
    <xdr:to>
      <xdr:col>12</xdr:col>
      <xdr:colOff>200025</xdr:colOff>
      <xdr:row>17</xdr:row>
      <xdr:rowOff>0</xdr:rowOff>
    </xdr:to>
    <xdr:graphicFrame macro="">
      <xdr:nvGraphicFramePr>
        <xdr:cNvPr id="1073" name="图表 1">
          <a:extLst>
            <a:ext uri="{FF2B5EF4-FFF2-40B4-BE49-F238E27FC236}">
              <a16:creationId xmlns:a16="http://schemas.microsoft.com/office/drawing/2014/main" id="{E2893BFC-8051-4448-BD79-7346026F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61913</xdr:rowOff>
    </xdr:from>
    <xdr:to>
      <xdr:col>6</xdr:col>
      <xdr:colOff>28575</xdr:colOff>
      <xdr:row>32</xdr:row>
      <xdr:rowOff>128588</xdr:rowOff>
    </xdr:to>
    <xdr:graphicFrame macro="">
      <xdr:nvGraphicFramePr>
        <xdr:cNvPr id="1074" name="图表 4">
          <a:extLst>
            <a:ext uri="{FF2B5EF4-FFF2-40B4-BE49-F238E27FC236}">
              <a16:creationId xmlns:a16="http://schemas.microsoft.com/office/drawing/2014/main" id="{7B474EF1-65BE-42B6-B3EA-1BA9CB65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17</xdr:row>
      <xdr:rowOff>19050</xdr:rowOff>
    </xdr:from>
    <xdr:to>
      <xdr:col>12</xdr:col>
      <xdr:colOff>219075</xdr:colOff>
      <xdr:row>32</xdr:row>
      <xdr:rowOff>71438</xdr:rowOff>
    </xdr:to>
    <xdr:graphicFrame macro="">
      <xdr:nvGraphicFramePr>
        <xdr:cNvPr id="1075" name="图表 1">
          <a:extLst>
            <a:ext uri="{FF2B5EF4-FFF2-40B4-BE49-F238E27FC236}">
              <a16:creationId xmlns:a16="http://schemas.microsoft.com/office/drawing/2014/main" id="{1FB18E43-EEF4-4EFA-9D0E-A05025908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showGridLines="0" tabSelected="1" zoomScale="85" zoomScaleNormal="85" zoomScaleSheetLayoutView="100" workbookViewId="0">
      <selection activeCell="O27" sqref="O27"/>
    </sheetView>
  </sheetViews>
  <sheetFormatPr defaultColWidth="9" defaultRowHeight="15.75" x14ac:dyDescent="0.4"/>
  <cols>
    <col min="1" max="1" width="2.375" customWidth="1"/>
    <col min="2" max="6" width="15.75" customWidth="1"/>
  </cols>
  <sheetData>
    <row r="2" spans="2:6" ht="18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8" x14ac:dyDescent="0.4">
      <c r="B3" s="2" t="s">
        <v>5</v>
      </c>
      <c r="C3" s="2">
        <v>3625</v>
      </c>
      <c r="D3" s="2">
        <v>2563</v>
      </c>
      <c r="E3" s="2">
        <v>3925</v>
      </c>
      <c r="F3" s="2">
        <v>3689</v>
      </c>
    </row>
    <row r="4" spans="2:6" ht="18" x14ac:dyDescent="0.4">
      <c r="B4" s="2" t="s">
        <v>6</v>
      </c>
      <c r="C4" s="2">
        <v>4958</v>
      </c>
      <c r="D4" s="2">
        <v>7299</v>
      </c>
      <c r="E4" s="2">
        <v>4558</v>
      </c>
      <c r="F4" s="2">
        <v>6320</v>
      </c>
    </row>
    <row r="5" spans="2:6" ht="18" x14ac:dyDescent="0.4">
      <c r="B5" s="2" t="s">
        <v>7</v>
      </c>
      <c r="C5" s="2">
        <v>2610</v>
      </c>
      <c r="D5" s="2">
        <v>2280</v>
      </c>
      <c r="E5" s="2">
        <v>5152</v>
      </c>
      <c r="F5" s="2">
        <v>3824</v>
      </c>
    </row>
    <row r="6" spans="2:6" ht="18" x14ac:dyDescent="0.4">
      <c r="B6" s="2" t="s">
        <v>8</v>
      </c>
      <c r="C6" s="2">
        <v>5165</v>
      </c>
      <c r="D6" s="2">
        <v>3785</v>
      </c>
      <c r="E6" s="2">
        <v>5133</v>
      </c>
      <c r="F6" s="2">
        <v>7408</v>
      </c>
    </row>
    <row r="7" spans="2:6" ht="18" x14ac:dyDescent="0.4">
      <c r="B7" s="2" t="s">
        <v>9</v>
      </c>
      <c r="C7" s="2">
        <v>4956</v>
      </c>
      <c r="D7" s="2">
        <v>9454</v>
      </c>
      <c r="E7" s="2">
        <v>2088</v>
      </c>
      <c r="F7" s="2">
        <v>5880</v>
      </c>
    </row>
    <row r="8" spans="2:6" ht="18" x14ac:dyDescent="0.4">
      <c r="B8" s="2" t="s">
        <v>10</v>
      </c>
      <c r="C8" s="2">
        <v>6169</v>
      </c>
      <c r="D8" s="2">
        <v>3627</v>
      </c>
      <c r="E8" s="2">
        <v>2779</v>
      </c>
      <c r="F8" s="2">
        <v>5113</v>
      </c>
    </row>
    <row r="9" spans="2:6" ht="18" x14ac:dyDescent="0.4">
      <c r="B9" s="2" t="s">
        <v>11</v>
      </c>
      <c r="C9" s="2">
        <v>9443</v>
      </c>
      <c r="D9" s="2">
        <v>3870</v>
      </c>
      <c r="E9" s="2">
        <v>4468</v>
      </c>
      <c r="F9" s="2">
        <v>7132</v>
      </c>
    </row>
    <row r="10" spans="2:6" ht="18" x14ac:dyDescent="0.4">
      <c r="B10" s="2" t="s">
        <v>12</v>
      </c>
      <c r="C10" s="2">
        <v>5800</v>
      </c>
      <c r="D10" s="2">
        <v>4971</v>
      </c>
      <c r="E10" s="2">
        <v>2785</v>
      </c>
      <c r="F10" s="2">
        <v>8185</v>
      </c>
    </row>
    <row r="11" spans="2:6" ht="18" x14ac:dyDescent="0.4">
      <c r="B11" s="2" t="s">
        <v>13</v>
      </c>
      <c r="C11" s="2">
        <v>6559</v>
      </c>
      <c r="D11" s="2">
        <v>7851</v>
      </c>
      <c r="E11" s="2">
        <v>2703</v>
      </c>
      <c r="F11" s="2">
        <v>9206</v>
      </c>
    </row>
    <row r="12" spans="2:6" ht="18" x14ac:dyDescent="0.4">
      <c r="B12" s="2" t="s">
        <v>14</v>
      </c>
      <c r="C12" s="2">
        <v>5447</v>
      </c>
      <c r="D12" s="2">
        <v>9204</v>
      </c>
      <c r="E12" s="2">
        <v>2792</v>
      </c>
      <c r="F12" s="2">
        <v>9932</v>
      </c>
    </row>
    <row r="13" spans="2:6" ht="18" x14ac:dyDescent="0.4">
      <c r="B13" s="2" t="s">
        <v>15</v>
      </c>
      <c r="C13" s="2">
        <v>3539</v>
      </c>
      <c r="D13" s="2">
        <v>5783</v>
      </c>
      <c r="E13" s="2">
        <v>4968</v>
      </c>
      <c r="F13" s="2">
        <v>6166</v>
      </c>
    </row>
    <row r="14" spans="2:6" ht="18" x14ac:dyDescent="0.4">
      <c r="B14" s="2" t="s">
        <v>16</v>
      </c>
      <c r="C14" s="2">
        <v>3616</v>
      </c>
      <c r="D14" s="2">
        <v>9385</v>
      </c>
      <c r="E14" s="2">
        <v>7718</v>
      </c>
      <c r="F14" s="2">
        <v>9417</v>
      </c>
    </row>
    <row r="15" spans="2:6" ht="18" x14ac:dyDescent="0.4">
      <c r="B15" s="3" t="s">
        <v>17</v>
      </c>
      <c r="C15" s="3">
        <f>SUM(C3:C14)</f>
        <v>61887</v>
      </c>
      <c r="D15" s="3">
        <f>SUM(D3:D14)</f>
        <v>70072</v>
      </c>
      <c r="E15" s="3">
        <f>SUM(E3:E14)</f>
        <v>49069</v>
      </c>
      <c r="F15" s="3">
        <f>SUM(F3:F14)</f>
        <v>82272</v>
      </c>
    </row>
    <row r="16" spans="2:6" ht="18" x14ac:dyDescent="0.4">
      <c r="B16" s="4" t="s">
        <v>18</v>
      </c>
      <c r="C16" s="4">
        <v>60000</v>
      </c>
      <c r="D16" s="4">
        <v>60000</v>
      </c>
      <c r="E16" s="4">
        <v>60000</v>
      </c>
      <c r="F16" s="4">
        <v>60000</v>
      </c>
    </row>
    <row r="17" spans="2:6" ht="18" x14ac:dyDescent="0.4">
      <c r="B17" s="5" t="s">
        <v>19</v>
      </c>
      <c r="C17" s="6">
        <f>C15/C16</f>
        <v>1.03145</v>
      </c>
      <c r="D17" s="6">
        <f>D15/D16</f>
        <v>1.1678666666666666</v>
      </c>
      <c r="E17" s="6">
        <f>E15/E16</f>
        <v>0.81781666666666664</v>
      </c>
      <c r="F17" s="6">
        <f>F15/F16</f>
        <v>1.3712</v>
      </c>
    </row>
  </sheetData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SheetLayoutView="100" workbookViewId="0"/>
  </sheetViews>
  <sheetFormatPr defaultColWidth="9" defaultRowHeight="15.75" x14ac:dyDescent="0.4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/>
  </sheetViews>
  <sheetFormatPr defaultColWidth="9" defaultRowHeight="15.75" x14ac:dyDescent="0.4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</dc:creator>
  <cp:keywords/>
  <dc:description/>
  <cp:lastModifiedBy>Windows 用户</cp:lastModifiedBy>
  <cp:revision>1</cp:revision>
  <dcterms:created xsi:type="dcterms:W3CDTF">2016-03-22T11:01:25Z</dcterms:created>
  <dcterms:modified xsi:type="dcterms:W3CDTF">2021-03-16T02:25:38Z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
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_xlnm.Print_Area" localSheetId="0">Sheet1!$A$1:$L$30</definedName>
  </definedNames>
  <calcPr calcId="162913" concurrentCalc="0"/>
</workbook>
</file>

<file path=xl/calcChain.xml><?xml version="1.0" encoding="utf-8"?>
<calcChain xmlns="http://schemas.openxmlformats.org/spreadsheetml/2006/main">
  <c r="E15" i="1" l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L1" i="1"/>
  <c r="I1" i="1"/>
</calcChain>
</file>

<file path=xl/sharedStrings.xml><?xml version="1.0" encoding="utf-8"?>
<sst xmlns="http://schemas.openxmlformats.org/spreadsheetml/2006/main" count="20" uniqueCount="19">
  <si>
    <t xml:space="preserve">     年度销售业绩分析报表</t>
  </si>
  <si>
    <t>总业绩累计</t>
  </si>
  <si>
    <t>不达标月份个数</t>
  </si>
  <si>
    <t>月份</t>
  </si>
  <si>
    <t>业绩</t>
  </si>
  <si>
    <t>目标</t>
  </si>
  <si>
    <t>差距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</si>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</sst>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6"/>
      <color theme="0"/>
      <name val="微软雅黑"/>
      <family val="2"/>
      <charset val="134"/>
    </font>
    <font>
      <sz val="11"/>
      <color rgb="FFF8F8F8"/>
      <name val="微软雅黑"/>
      <family val="2"/>
      <charset val="134"/>
    </font>
    <font>
      <sz val="10"/>
      <color rgb="FF595959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48BA0"/>
        <bgColor indexed="64"/>
      </patternFill>
    </fill>
    <fill>
      <patternFill patternType="solid">
        <fgColor rgb="FF29CD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29CD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6" fillId="5" borderId="0" xfId="0" applyNumberFormat="1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916DA1"/>
      <color rgb="FFEA4D3C"/>
      <color rgb="FF19BD9B"/>
      <color rgb="FF29CDA8"/>
      <color rgb="FFBABFCD"/>
      <color rgb="FFCCCCCC"/>
      <color rgb="FFFF3300"/>
      <color rgb="FFEEEEEE"/>
      <color rgb="FF29CD80"/>
      <color rgb="FF848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054977664756303"/>
          <c:y val="2.5181748727705299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0" baseline="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总业绩累计</c:v>
                </c:pt>
              </c:strCache>
            </c:strRef>
          </c:tx>
          <c:spPr>
            <a:ln w="28575" cap="rnd">
              <a:solidFill>
                <a:srgbClr val="29CD8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 w="28575" cmpd="dbl">
                <a:noFill/>
                <a:prstDash val="dash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Sheet1!$E$4:$E$15</c:f>
              <c:numCache>
                <c:formatCode>General</c:formatCode>
                <c:ptCount val="12"/>
                <c:pt idx="0">
                  <c:v>4506</c:v>
                </c:pt>
                <c:pt idx="1">
                  <c:v>16568</c:v>
                </c:pt>
                <c:pt idx="2">
                  <c:v>27421</c:v>
                </c:pt>
                <c:pt idx="3">
                  <c:v>35195</c:v>
                </c:pt>
                <c:pt idx="4">
                  <c:v>43195</c:v>
                </c:pt>
                <c:pt idx="5">
                  <c:v>53694</c:v>
                </c:pt>
                <c:pt idx="6">
                  <c:v>64988</c:v>
                </c:pt>
                <c:pt idx="7">
                  <c:v>74898</c:v>
                </c:pt>
                <c:pt idx="8">
                  <c:v>93898</c:v>
                </c:pt>
                <c:pt idx="9">
                  <c:v>104168</c:v>
                </c:pt>
                <c:pt idx="10">
                  <c:v>117168</c:v>
                </c:pt>
                <c:pt idx="11">
                  <c:v>135168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091-4CD8-8DFE-C4DE6F68D1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948352"/>
        <c:axId val="148163584"/>
      </c:lineChart>
      <c:catAx>
        <c:axId val="13294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0" spc="1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8163584"/>
        <c:crosses val="autoZero"/>
        <c:auto val="0"/>
        <c:lblAlgn val="ctr"/>
        <c:lblOffset val="100"/>
        <c:noMultiLvlLbl val="0"/>
      </c:catAx>
      <c:valAx>
        <c:axId val="14816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94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000" b="0" i="0" u="none" strike="noStrike" kern="1200" spc="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000" b="0" i="0" u="none" strike="noStrike" kern="1200" cap="none" spc="0" normalizeH="0" baseline="0">
                <a:solidFill>
                  <a:sysClr val="windowText" lastClr="000000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各月业绩与目标对比</a:t>
            </a:r>
          </a:p>
        </c:rich>
      </c:tx>
      <c:layout>
        <c:manualLayout>
          <c:xMode val="edge"/>
          <c:yMode val="edge"/>
          <c:x val="0.38584263164484001"/>
          <c:y val="3.40869161574251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业绩</c:v>
                </c:pt>
              </c:strCache>
            </c:strRef>
          </c:tx>
          <c:spPr>
            <a:solidFill>
              <a:srgbClr val="BABFC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040E-4169-8574-632D3D89D99B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040E-4169-8574-632D3D89D99B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040E-4169-8574-632D3D89D99B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040E-4169-8574-632D3D89D99B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040E-4169-8574-632D3D89D99B}"/>
              </c:ext>
            </c:extLst>
          </c:dPt>
          <c:dPt>
            <c:idx val="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B-040E-4169-8574-632D3D89D99B}"/>
              </c:ext>
            </c:extLst>
          </c:dPt>
          <c:dPt>
            <c:idx val="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D-040E-4169-8574-632D3D89D99B}"/>
              </c:ext>
            </c:extLst>
          </c:dPt>
          <c:dPt>
            <c:idx val="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F-040E-4169-8574-632D3D89D99B}"/>
              </c:ext>
            </c:extLst>
          </c:dPt>
          <c:dPt>
            <c:idx val="8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1-040E-4169-8574-632D3D89D99B}"/>
              </c:ext>
            </c:extLst>
          </c:dPt>
          <c:dPt>
            <c:idx val="9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3-040E-4169-8574-632D3D89D99B}"/>
              </c:ext>
            </c:extLst>
          </c:dPt>
          <c:dPt>
            <c:idx val="1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5-040E-4169-8574-632D3D89D99B}"/>
              </c:ext>
            </c:extLst>
          </c:dPt>
          <c:dPt>
            <c:idx val="1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7-040E-4169-8574-632D3D89D99B}"/>
              </c:ext>
            </c:extLst>
          </c:dPt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2"/>
                <c:pt idx="0">
                  <c:v>4506</c:v>
                </c:pt>
                <c:pt idx="1">
                  <c:v>12062</c:v>
                </c:pt>
                <c:pt idx="2">
                  <c:v>10853</c:v>
                </c:pt>
                <c:pt idx="3">
                  <c:v>7774</c:v>
                </c:pt>
                <c:pt idx="4">
                  <c:v>8000</c:v>
                </c:pt>
                <c:pt idx="5">
                  <c:v>10499</c:v>
                </c:pt>
                <c:pt idx="6">
                  <c:v>11294</c:v>
                </c:pt>
                <c:pt idx="7">
                  <c:v>9910</c:v>
                </c:pt>
                <c:pt idx="8">
                  <c:v>19000</c:v>
                </c:pt>
                <c:pt idx="9">
                  <c:v>10270</c:v>
                </c:pt>
                <c:pt idx="10">
                  <c:v>13000</c:v>
                </c:pt>
                <c:pt idx="11">
                  <c:v>18000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040E-4169-8574-632D3D89D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829568"/>
        <c:axId val="132831488"/>
      </c:barChart>
      <c:lineChart>
        <c:grouping val="stacke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目标</c:v>
                </c:pt>
              </c:strCache>
            </c:strRef>
          </c:tx>
          <c:spPr>
            <a:ln w="19050" cap="rnd" cmpd="sng" algn="ctr">
              <a:solidFill>
                <a:srgbClr val="29CD8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6350" cap="flat" cmpd="sng" algn="ctr">
                <a:noFill/>
                <a:prstDash val="solid"/>
                <a:round/>
              </a:ln>
              <a:effectLst/>
            </c:spPr>
          </c:marker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6000</c:v>
                </c:pt>
                <c:pt idx="1">
                  <c:v>7900</c:v>
                </c:pt>
                <c:pt idx="2">
                  <c:v>1100</c:v>
                </c:pt>
                <c:pt idx="3">
                  <c:v>8000</c:v>
                </c:pt>
                <c:pt idx="4">
                  <c:v>9000</c:v>
                </c:pt>
                <c:pt idx="5">
                  <c:v>9500</c:v>
                </c:pt>
                <c:pt idx="6">
                  <c:v>15000</c:v>
                </c:pt>
                <c:pt idx="7">
                  <c:v>14000</c:v>
                </c:pt>
                <c:pt idx="8">
                  <c:v>8000</c:v>
                </c:pt>
                <c:pt idx="9">
                  <c:v>10000</c:v>
                </c:pt>
                <c:pt idx="10">
                  <c:v>12000</c:v>
                </c:pt>
                <c:pt idx="11">
                  <c:v>9000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19-040E-4169-8574-632D3D89D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29568"/>
        <c:axId val="132831488"/>
      </c:lineChart>
      <c:catAx>
        <c:axId val="132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800" b="0" i="0" u="none" strike="noStrike" kern="0" spc="1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831488"/>
        <c:crosses val="autoZero"/>
        <c:auto val="0"/>
        <c:lblAlgn val="ctr"/>
        <c:lblOffset val="100"/>
        <c:noMultiLvlLbl val="0"/>
      </c:catAx>
      <c:valAx>
        <c:axId val="13283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82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>
              <a:lumMod val="6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000" b="0" i="0" u="none" strike="noStrike" kern="1200" cap="all" spc="120" normalizeH="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000" b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各月份业绩与目标差距及趋势</a:t>
            </a:r>
          </a:p>
        </c:rich>
      </c:tx>
      <c:layout>
        <c:manualLayout>
          <c:xMode val="edge"/>
          <c:yMode val="edge"/>
          <c:x val="0.313915733156934"/>
          <c:y val="3.88856137306599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3111732219415699E-2"/>
          <c:y val="0.16726278140122"/>
          <c:w val="0.93383157907612502"/>
          <c:h val="0.783294761203449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BABFC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B0E-412C-9B7F-C6EB70DB2112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B0E-412C-9B7F-C6EB70DB2112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5B0E-412C-9B7F-C6EB70DB2112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5B0E-412C-9B7F-C6EB70DB2112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5B0E-412C-9B7F-C6EB70DB2112}"/>
              </c:ext>
            </c:extLst>
          </c:dPt>
          <c:dPt>
            <c:idx val="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5B0E-412C-9B7F-C6EB70DB2112}"/>
              </c:ext>
            </c:extLst>
          </c:dPt>
          <c:dPt>
            <c:idx val="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5B0E-412C-9B7F-C6EB70DB2112}"/>
              </c:ext>
            </c:extLst>
          </c:dPt>
          <c:dPt>
            <c:idx val="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5B0E-412C-9B7F-C6EB70DB2112}"/>
              </c:ext>
            </c:extLst>
          </c:dPt>
          <c:dPt>
            <c:idx val="8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8-5B0E-412C-9B7F-C6EB70DB2112}"/>
              </c:ext>
            </c:extLst>
          </c:dPt>
          <c:dPt>
            <c:idx val="9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5B0E-412C-9B7F-C6EB70DB2112}"/>
              </c:ext>
            </c:extLst>
          </c:dPt>
          <c:dPt>
            <c:idx val="1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A-5B0E-412C-9B7F-C6EB70DB2112}"/>
              </c:ext>
            </c:extLst>
          </c:dPt>
          <c:dPt>
            <c:idx val="1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B-5B0E-412C-9B7F-C6EB70DB2112}"/>
              </c:ext>
            </c:extLst>
          </c:dPt>
          <c:trendline>
            <c:spPr>
              <a:ln w="19050" cap="rnd">
                <a:solidFill>
                  <a:srgbClr val="29CD8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Sheet1!$A$4:$A$15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Sheet1!$D$4:$D$15</c:f>
              <c:numCache>
                <c:formatCode>General</c:formatCode>
                <c:ptCount val="12"/>
                <c:pt idx="0">
                  <c:v>-1494</c:v>
                </c:pt>
                <c:pt idx="1">
                  <c:v>4162</c:v>
                </c:pt>
                <c:pt idx="2">
                  <c:v>9753</c:v>
                </c:pt>
                <c:pt idx="3">
                  <c:v>-226</c:v>
                </c:pt>
                <c:pt idx="4">
                  <c:v>-1000</c:v>
                </c:pt>
                <c:pt idx="5">
                  <c:v>999</c:v>
                </c:pt>
                <c:pt idx="6">
                  <c:v>-3706</c:v>
                </c:pt>
                <c:pt idx="7">
                  <c:v>-4090</c:v>
                </c:pt>
                <c:pt idx="8">
                  <c:v>11000</c:v>
                </c:pt>
                <c:pt idx="9">
                  <c:v>270</c:v>
                </c:pt>
                <c:pt idx="10">
                  <c:v>1000</c:v>
                </c:pt>
                <c:pt idx="11">
                  <c:v>9000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Sheet1!$D$3</c15:sqref>
                        </c15:formulaRef>
                      </c:ext>
                    </c:extLst>
                    <c:strCache>
                      <c:ptCount val="1"/>
                      <c:pt idx="0">
                        <c:v>差距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5B0E-412C-9B7F-C6EB70DB2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133670016"/>
        <c:axId val="133671552"/>
      </c:barChart>
      <c:catAx>
        <c:axId val="13367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0" cap="all" spc="10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671552"/>
        <c:crosses val="autoZero"/>
        <c:auto val="0"/>
        <c:lblAlgn val="ctr"/>
        <c:lblOffset val="100"/>
        <c:noMultiLvlLbl val="0"/>
      </c:catAx>
      <c:valAx>
        <c:axId val="1336715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367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50801</xdr:colOff>
      <xdr:row>2</xdr:row>
      <xdr:rowOff>0</xdr:rowOff>
    </xdr:from>
    <xdr:to>
      <xdr:col>11</xdr:col>
      <xdr:colOff>485776</xdr:colOff>
      <xdr:row>15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10160</xdr:colOff>
      <xdr:row>15</xdr:row>
      <xdr:rowOff>49696</xdr:rowOff>
    </xdr:from>
    <xdr:to>
      <xdr:col>5</xdr:col>
      <xdr:colOff>0</xdr:colOff>
      <xdr:row>29</xdr:row>
      <xdr:rowOff>128795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43543</xdr:colOff>
      <xdr:row>15</xdr:row>
      <xdr:rowOff>41413</xdr:rowOff>
    </xdr:from>
    <xdr:to>
      <xdr:col>11</xdr:col>
      <xdr:colOff>495300</xdr:colOff>
      <xdr:row>29</xdr:row>
      <xdr:rowOff>136417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showGridLines="0" tabSelected="1" topLeftCell="G1" zoomScale="110" zoomScaleNormal="110" workbookViewId="0">
      <selection activeCell="T27" sqref="T27"/>
    </sheetView>
  </sheetViews>
  <sheetFormatPr defaultColWidth="9" defaultRowHeight="16.5" x14ac:dyDescent="0.15"/>
  <cols>
    <col min="1" max="5" width="13.625" style="2" customWidth="1"/>
    <col min="6" max="6" width="20.625" style="2" customWidth="1"/>
    <col min="7" max="8" width="8.625" style="2" customWidth="1"/>
    <col min="9" max="9" width="9.875" style="2"/>
    <col min="10" max="11" width="8.625" style="2" customWidth="1"/>
    <col min="12" max="12" width="6.5" style="2" customWidth="1"/>
    <col min="13" max="16384" width="9" style="2"/>
  </cols>
  <sheetData>
    <row r="1" spans="1:12" ht="27.75" customHeight="1" x14ac:dyDescent="0.15">
      <c r="A1" s="14" t="s">
        <v>0</v>
      </c>
      <c r="B1" s="14"/>
      <c r="C1" s="14"/>
      <c r="D1" s="14"/>
      <c r="E1" s="14"/>
      <c r="F1" s="3"/>
      <c r="G1" s="15" t="s">
        <v>1</v>
      </c>
      <c r="H1" s="15"/>
      <c r="I1" s="13">
        <f>E15</f>
        <v>135168</v>
      </c>
      <c r="J1" s="15" t="s">
        <v>2</v>
      </c>
      <c r="K1" s="15"/>
      <c r="L1" s="13">
        <f>COUNTIF(D4:D15,"&lt;0")</f>
        <v>5</v>
      </c>
    </row>
    <row r="2" spans="1:12" s="1" customFormat="1" ht="6" customHeight="1" x14ac:dyDescent="0.15">
      <c r="A2" s="4"/>
      <c r="B2" s="4"/>
      <c r="C2" s="4"/>
      <c r="D2" s="4"/>
      <c r="E2" s="4"/>
      <c r="G2" s="5"/>
      <c r="H2" s="5"/>
      <c r="I2" s="5"/>
      <c r="J2" s="5"/>
      <c r="K2" s="5"/>
      <c r="L2" s="5"/>
    </row>
    <row r="3" spans="1:12" ht="14.1" customHeight="1" x14ac:dyDescent="0.15">
      <c r="A3" s="6" t="s">
        <v>3</v>
      </c>
      <c r="B3" s="6" t="s">
        <v>4</v>
      </c>
      <c r="C3" s="6" t="s">
        <v>5</v>
      </c>
      <c r="D3" s="6" t="s">
        <v>6</v>
      </c>
      <c r="E3" s="6" t="s">
        <v>1</v>
      </c>
    </row>
    <row r="4" spans="1:12" ht="14.1" customHeight="1" x14ac:dyDescent="0.15">
      <c r="A4" s="7" t="s">
        <v>7</v>
      </c>
      <c r="B4" s="8">
        <v>4506</v>
      </c>
      <c r="C4" s="8">
        <v>6000</v>
      </c>
      <c r="D4" s="8">
        <f t="shared" ref="D4:D15" si="0">B4-C4</f>
        <v>-1494</v>
      </c>
      <c r="E4" s="8">
        <f>SUM($B$4:B4)</f>
        <v>4506</v>
      </c>
    </row>
    <row r="5" spans="1:12" ht="14.1" customHeight="1" x14ac:dyDescent="0.15">
      <c r="A5" s="9" t="s">
        <v>8</v>
      </c>
      <c r="B5" s="10">
        <v>12062</v>
      </c>
      <c r="C5" s="10">
        <v>7900</v>
      </c>
      <c r="D5" s="10">
        <f t="shared" si="0"/>
        <v>4162</v>
      </c>
      <c r="E5" s="10">
        <f>SUM($B$4:B5)</f>
        <v>16568</v>
      </c>
    </row>
    <row r="6" spans="1:12" ht="14.1" customHeight="1" x14ac:dyDescent="0.15">
      <c r="A6" s="7" t="s">
        <v>9</v>
      </c>
      <c r="B6" s="8">
        <v>10853</v>
      </c>
      <c r="C6" s="8">
        <v>1100</v>
      </c>
      <c r="D6" s="8">
        <f t="shared" si="0"/>
        <v>9753</v>
      </c>
      <c r="E6" s="8">
        <f>SUM($B$4:B6)</f>
        <v>27421</v>
      </c>
    </row>
    <row r="7" spans="1:12" ht="14.1" customHeight="1" x14ac:dyDescent="0.15">
      <c r="A7" s="11" t="s">
        <v>10</v>
      </c>
      <c r="B7" s="12">
        <v>7774</v>
      </c>
      <c r="C7" s="12">
        <v>8000</v>
      </c>
      <c r="D7" s="12">
        <f t="shared" si="0"/>
        <v>-226</v>
      </c>
      <c r="E7" s="12">
        <f>SUM($B$4:B7)</f>
        <v>35195</v>
      </c>
    </row>
    <row r="8" spans="1:12" ht="14.1" customHeight="1" x14ac:dyDescent="0.15">
      <c r="A8" s="7" t="s">
        <v>11</v>
      </c>
      <c r="B8" s="8">
        <v>8000</v>
      </c>
      <c r="C8" s="8">
        <v>9000</v>
      </c>
      <c r="D8" s="8">
        <f t="shared" si="0"/>
        <v>-1000</v>
      </c>
      <c r="E8" s="8">
        <f>SUM($B$4:B8)</f>
        <v>43195</v>
      </c>
    </row>
    <row r="9" spans="1:12" ht="14.1" customHeight="1" x14ac:dyDescent="0.15">
      <c r="A9" s="11" t="s">
        <v>12</v>
      </c>
      <c r="B9" s="12">
        <v>10499</v>
      </c>
      <c r="C9" s="12">
        <v>9500</v>
      </c>
      <c r="D9" s="12">
        <f t="shared" si="0"/>
        <v>999</v>
      </c>
      <c r="E9" s="12">
        <f>SUM($B$4:B9)</f>
        <v>53694</v>
      </c>
    </row>
    <row r="10" spans="1:12" ht="14.1" customHeight="1" x14ac:dyDescent="0.15">
      <c r="A10" s="7" t="s">
        <v>13</v>
      </c>
      <c r="B10" s="8">
        <v>11294</v>
      </c>
      <c r="C10" s="8">
        <v>15000</v>
      </c>
      <c r="D10" s="8">
        <f t="shared" si="0"/>
        <v>-3706</v>
      </c>
      <c r="E10" s="8">
        <f>SUM($B$4:B10)</f>
        <v>64988</v>
      </c>
    </row>
    <row r="11" spans="1:12" ht="14.1" customHeight="1" x14ac:dyDescent="0.15">
      <c r="A11" s="11" t="s">
        <v>14</v>
      </c>
      <c r="B11" s="12">
        <v>9910</v>
      </c>
      <c r="C11" s="12">
        <v>14000</v>
      </c>
      <c r="D11" s="12">
        <f t="shared" si="0"/>
        <v>-4090</v>
      </c>
      <c r="E11" s="12">
        <f>SUM($B$4:B11)</f>
        <v>74898</v>
      </c>
    </row>
    <row r="12" spans="1:12" ht="14.1" customHeight="1" x14ac:dyDescent="0.15">
      <c r="A12" s="7" t="s">
        <v>15</v>
      </c>
      <c r="B12" s="8">
        <v>19000</v>
      </c>
      <c r="C12" s="8">
        <v>8000</v>
      </c>
      <c r="D12" s="8">
        <f t="shared" si="0"/>
        <v>11000</v>
      </c>
      <c r="E12" s="8">
        <f>SUM($B$4:B12)</f>
        <v>93898</v>
      </c>
    </row>
    <row r="13" spans="1:12" ht="14.1" customHeight="1" x14ac:dyDescent="0.15">
      <c r="A13" s="11" t="s">
        <v>16</v>
      </c>
      <c r="B13" s="12">
        <v>10270</v>
      </c>
      <c r="C13" s="12">
        <v>10000</v>
      </c>
      <c r="D13" s="12">
        <f t="shared" si="0"/>
        <v>270</v>
      </c>
      <c r="E13" s="12">
        <f>SUM($B$4:B13)</f>
        <v>104168</v>
      </c>
    </row>
    <row r="14" spans="1:12" ht="14.1" customHeight="1" x14ac:dyDescent="0.15">
      <c r="A14" s="7" t="s">
        <v>17</v>
      </c>
      <c r="B14" s="8">
        <v>13000</v>
      </c>
      <c r="C14" s="8">
        <v>12000</v>
      </c>
      <c r="D14" s="8">
        <f t="shared" si="0"/>
        <v>1000</v>
      </c>
      <c r="E14" s="8">
        <f>SUM($B$4:B14)</f>
        <v>117168</v>
      </c>
    </row>
    <row r="15" spans="1:12" ht="14.1" customHeight="1" x14ac:dyDescent="0.15">
      <c r="A15" s="11" t="s">
        <v>18</v>
      </c>
      <c r="B15" s="12">
        <v>18000</v>
      </c>
      <c r="C15" s="12">
        <v>9000</v>
      </c>
      <c r="D15" s="12">
        <f t="shared" si="0"/>
        <v>9000</v>
      </c>
      <c r="E15" s="12">
        <f>SUM($B$4:B15)</f>
        <v>135168</v>
      </c>
    </row>
  </sheetData>
  <mergeCells count="3">
    <mergeCell ref="A1:E1"/>
    <mergeCell ref="G1:H1"/>
    <mergeCell ref="J1:K1"/>
  </mergeCells>
  <phoneticPr fontId="7" type="noConversion"/>
  <printOptions horizontalCentered="1" verticalCentered="1"/>
  <pageMargins left="0.39305555555555599" right="0.39305555555555599" top="0.59027777777777801" bottom="0.59027777777777801" header="0.51180555555555596" footer="0.51180555555555596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cp:lastPrinted>2017-02-16T07:17:00Z</cp:lastPrinted>
  <dcterms:created xsi:type="dcterms:W3CDTF">2016-01-03T07:23:00Z</dcterms:created>
  <dcterms:modified xsi:type="dcterms:W3CDTF">2019-05-15T09:52:48Z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年度销售业绩分析报告.xlsx</vt:lpwstr>
  </property>
  <property fmtid="{D5CDD505-2E9C-101B-9397-08002B2CF9AE}" pid="4" name="fileid">
    <vt:lpwstr>719236</vt:lpwstr>
  </property>
</Properties>
</file>
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0-折线柱形图\"/>
    </mc:Choice>
  </mc:AlternateContent>
  <xr:revisionPtr revIDLastSave="0" documentId="13_ncr:1_{15203C1B-0349-4B81-B41E-D689B6A9CCA9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10" i="1"/>
  <c r="L30" i="1"/>
  <c r="L29" i="1"/>
  <c r="L28" i="1"/>
  <c r="L27" i="1"/>
  <c r="L26" i="1"/>
  <c r="L25" i="1"/>
  <c r="E25" i="1"/>
  <c r="L24" i="1"/>
  <c r="E24" i="1"/>
  <c r="L23" i="1"/>
  <c r="E23" i="1"/>
  <c r="L22" i="1"/>
  <c r="E22" i="1"/>
  <c r="L21" i="1"/>
  <c r="E21" i="1"/>
  <c r="L20" i="1"/>
  <c r="E20" i="1"/>
  <c r="L19" i="1"/>
  <c r="E19" i="1"/>
  <c r="L18" i="1"/>
  <c r="E18" i="1"/>
  <c r="C6" i="1"/>
  <c r="E5" i="1"/>
  <c r="C5" i="1"/>
  <c r="C9" i="1"/>
  <c r="C11" i="1"/>
  <c r="E6" i="1"/>
  <c r="E7" i="1"/>
  <c r="E8" i="1"/>
  <c r="E9" i="1"/>
  <c r="E10" i="1"/>
  <c r="E11" i="1"/>
  <c r="E12" i="1"/>
  <c r="E13" i="1"/>
  <c r="E14" i="1"/>
  <c r="E15" i="1"/>
  <c r="E16" i="1"/>
  <c r="E17" i="1"/>
  <c r="C7" i="1"/>
  <c r="C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F5" i="1" a="1"/>
  <c r="F6" i="1"/>
  <c r="F7" i="1"/>
  <c r="F8" i="1"/>
  <c r="F9" i="1"/>
  <c r="F10" i="1"/>
  <c r="F11" i="1"/>
  <c r="F12" i="1"/>
  <c r="F13" i="1"/>
  <c r="F14" i="1"/>
  <c r="F15" i="1"/>
  <c r="F16" i="1"/>
  <c r="F17" i="1"/>
  <c r="F5" i="1"/>
</calcChain>
</file>

<file path=xl/sharedStrings.xml><?xml version="1.0" encoding="utf-8"?>
<sst xmlns="http://schemas.openxmlformats.org/spreadsheetml/2006/main" count="13" uniqueCount="13">
  <si>
    <t>数据个数</t>
  </si>
  <si>
    <t>Order</t>
  </si>
  <si>
    <t>X axis</t>
  </si>
  <si>
    <t>Colume data</t>
  </si>
  <si>
    <t>line data</t>
  </si>
  <si>
    <t>Data</t>
  </si>
  <si>
    <t>最大值</t>
  </si>
  <si>
    <t>最小值</t>
  </si>
  <si>
    <t>平均值</t>
  </si>
  <si>
    <t>标准偏差</t>
  </si>
  <si>
    <t>区间</t>
  </si>
  <si>
    <t>组数</t>
  </si>
  <si>
    <t>组距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</si>
</sst>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);[Red]\(0\)"/>
    <numFmt numFmtId="177" formatCode="0.00_);[Red]\(0.00\)"/>
    <numFmt numFmtId="178" formatCode="_ * #,##0_ ;_ * \-#,##0_ ;_ * &quot;-&quot;??_ ;_ @_ "/>
    <numFmt numFmtId="179" formatCode="_(* #,##0.00_);_(* \(#,##0.00\);_(* &quot;-&quot;??_);_(@_)"/>
    <numFmt numFmtId="180" formatCode="[=0]&quot;-&quot;;General"/>
    <numFmt numFmtId="181" formatCode="[=0]&quot;-&quot;;0%"/>
    <numFmt numFmtId="182" formatCode="0.0_);[Red]\(0.0\)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8"/>
      <color rgb="FFC0000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17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0" fontId="8" fillId="0" borderId="0"/>
    <xf numFmtId="179" fontId="8" fillId="0" borderId="0" applyFont="0" applyFill="0" applyBorder="0" applyAlignment="0" applyProtection="0"/>
  </cellStyleXfs>
  <cellXfs count="15">
    <xf numFmtId="0" fontId="0" fillId="0" borderId="0" xfId="0">
      <alignment vertical="center"/>
    </xf>
    <xf numFmtId="0" fontId="1" fillId="0" borderId="0" xfId="0" applyFont="1" applyBorder="1">
      <alignment vertical="center"/>
    </xf>
    <xf numFmtId="177" fontId="1" fillId="0" borderId="0" xfId="0" applyNumberFormat="1" applyFont="1" applyBorder="1">
      <alignment vertical="center"/>
    </xf>
    <xf numFmtId="0" fontId="2" fillId="0" borderId="0" xfId="2" applyFont="1" applyBorder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77" fontId="4" fillId="2" borderId="0" xfId="0" applyNumberFormat="1" applyFont="1" applyFill="1" applyBorder="1" applyAlignment="1">
      <alignment horizontal="center" vertical="center"/>
    </xf>
    <xf numFmtId="9" fontId="3" fillId="2" borderId="0" xfId="4" applyFont="1" applyFill="1" applyBorder="1" applyAlignment="1">
      <alignment horizontal="center"/>
    </xf>
    <xf numFmtId="178" fontId="1" fillId="0" borderId="0" xfId="1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181" fontId="1" fillId="0" borderId="0" xfId="3" applyNumberFormat="1" applyFont="1" applyBorder="1" applyAlignment="1">
      <alignment horizontal="center" vertical="center"/>
    </xf>
    <xf numFmtId="182" fontId="5" fillId="0" borderId="0" xfId="1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top" wrapText="1"/>
    </xf>
  </cellXfs>
  <cellStyles count="7">
    <cellStyle name="百分比" xfId="3" builtinId="5"/>
    <cellStyle name="百分比 2" xfId="4" xr:uid="{00000000-0005-0000-0000-000001000000}"/>
    <cellStyle name="常规" xfId="0" builtinId="0"/>
    <cellStyle name="常规 2" xfId="5" xr:uid="{00000000-0005-0000-0000-000003000000}"/>
    <cellStyle name="超链接" xfId="2" builtinId="8"/>
    <cellStyle name="千位分隔" xfId="1" builtinId="3"/>
    <cellStyle name="千位分隔 2" xfId="6" xr:uid="{00000000-0005-0000-0000-000006000000}"/>
  </cellStyles>
  <dxfs count="0"/>
  <tableStyles count="0" defaultTableStyle="TableStyleMedium2" defaultPivotStyle="PivotStyleLight16"/>
  <colors>
    <mruColors>
      <color rgb="FF009999"/>
      <color rgb="FF00FFCC"/>
      <color rgb="FFCCFFFF"/>
      <color rgb="FFCFCFC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12251709277"/>
          <c:y val="0.1160698390962"/>
          <c:w val="0.75707754123327198"/>
          <c:h val="0.760478070675947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案例!$F$4</c:f>
              <c:strCache>
                <c:ptCount val="1"/>
                <c:pt idx="0">
                  <c:v>Colume data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</c:spPr>
          <c:invertIfNegative val="0"/>
          <c:cat>
            <c:numRef>
              <c:f>案例!$E$5:$E$17</c:f>
              <c:numCache>
                <c:formatCode>0_);[Red]\(0\)</c:formatCode>
                <c:ptCount val="13"/>
                <c:pt idx="0">
                  <c:v>2</c:v>
                </c:pt>
                <c:pt idx="1">
                  <c:v>3.957890020745122</c:v>
                </c:pt>
                <c:pt idx="2">
                  <c:v>5.9157800414902439</c:v>
                </c:pt>
                <c:pt idx="3">
                  <c:v>7.8736700622353659</c:v>
                </c:pt>
                <c:pt idx="4">
                  <c:v>9.8315600829804879</c:v>
                </c:pt>
                <c:pt idx="5">
                  <c:v>11.78945010372561</c:v>
                </c:pt>
                <c:pt idx="6">
                  <c:v>13.747340124470732</c:v>
                </c:pt>
                <c:pt idx="7">
                  <c:v>15.705230145215854</c:v>
                </c:pt>
                <c:pt idx="8">
                  <c:v>17.663120165960976</c:v>
                </c:pt>
                <c:pt idx="9">
                  <c:v>19.621010186706098</c:v>
                </c:pt>
                <c:pt idx="10">
                  <c:v>21.57890020745122</c:v>
                </c:pt>
                <c:pt idx="11">
                  <c:v>23.536790228196342</c:v>
                </c:pt>
                <c:pt idx="12">
                  <c:v>25.494680248941464</c:v>
                </c:pt>
              </c:numCache>
            </c:numRef>
          </c:cat>
          <c:val>
            <c:numRef>
              <c:f>案例!$F$5:$F$17</c:f>
              <c:numCache>
                <c:formatCode>[=0]"-";General</c:formatCode>
                <c:ptCount val="13"/>
                <c:pt idx="0">
                  <c:v>1</c:v>
                </c:pt>
                <c:pt idx="1">
                  <c:v>10</c:v>
                </c:pt>
                <c:pt idx="2">
                  <c:v>19</c:v>
                </c:pt>
                <c:pt idx="3">
                  <c:v>25</c:v>
                </c:pt>
                <c:pt idx="4">
                  <c:v>24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C-44E5-9219-9BC685B91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7911296"/>
        <c:axId val="7912832"/>
      </c:barChart>
      <c:lineChart>
        <c:grouping val="standard"/>
        <c:varyColors val="0"/>
        <c:ser>
          <c:idx val="1"/>
          <c:order val="1"/>
          <c:tx>
            <c:strRef>
              <c:f>案例!$G$4</c:f>
              <c:strCache>
                <c:ptCount val="1"/>
                <c:pt idx="0">
                  <c:v>line data</c:v>
                </c:pt>
              </c:strCache>
            </c:strRef>
          </c:tx>
          <c:spPr>
            <a:ln w="28575" cap="rnd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案例!$E$5:$E$17</c:f>
              <c:numCache>
                <c:formatCode>0_);[Red]\(0\)</c:formatCode>
                <c:ptCount val="13"/>
                <c:pt idx="0">
                  <c:v>2</c:v>
                </c:pt>
                <c:pt idx="1">
                  <c:v>3.957890020745122</c:v>
                </c:pt>
                <c:pt idx="2">
                  <c:v>5.9157800414902439</c:v>
                </c:pt>
                <c:pt idx="3">
                  <c:v>7.8736700622353659</c:v>
                </c:pt>
                <c:pt idx="4">
                  <c:v>9.8315600829804879</c:v>
                </c:pt>
                <c:pt idx="5">
                  <c:v>11.78945010372561</c:v>
                </c:pt>
                <c:pt idx="6">
                  <c:v>13.747340124470732</c:v>
                </c:pt>
                <c:pt idx="7">
                  <c:v>15.705230145215854</c:v>
                </c:pt>
                <c:pt idx="8">
                  <c:v>17.663120165960976</c:v>
                </c:pt>
                <c:pt idx="9">
                  <c:v>19.621010186706098</c:v>
                </c:pt>
                <c:pt idx="10">
                  <c:v>21.57890020745122</c:v>
                </c:pt>
                <c:pt idx="11">
                  <c:v>23.536790228196342</c:v>
                </c:pt>
                <c:pt idx="12">
                  <c:v>25.494680248941464</c:v>
                </c:pt>
              </c:numCache>
            </c:numRef>
          </c:cat>
          <c:val>
            <c:numRef>
              <c:f>案例!$G$5:$G$17</c:f>
              <c:numCache>
                <c:formatCode>[=0]"-";0%</c:formatCode>
                <c:ptCount val="13"/>
                <c:pt idx="0">
                  <c:v>2.3903183155566554E-2</c:v>
                </c:pt>
                <c:pt idx="1">
                  <c:v>3.7063538297781959E-2</c:v>
                </c:pt>
                <c:pt idx="2">
                  <c:v>5.1187767567866076E-2</c:v>
                </c:pt>
                <c:pt idx="3">
                  <c:v>6.2967097590004392E-2</c:v>
                </c:pt>
                <c:pt idx="4">
                  <c:v>6.8990506845530111E-2</c:v>
                </c:pt>
                <c:pt idx="5">
                  <c:v>6.7327605608222846E-2</c:v>
                </c:pt>
                <c:pt idx="6">
                  <c:v>5.8522810985578086E-2</c:v>
                </c:pt>
                <c:pt idx="7">
                  <c:v>4.5309092162892479E-2</c:v>
                </c:pt>
                <c:pt idx="8">
                  <c:v>3.1244509917125164E-2</c:v>
                </c:pt>
                <c:pt idx="9">
                  <c:v>1.9190674863529419E-2</c:v>
                </c:pt>
                <c:pt idx="10">
                  <c:v>1.0498686127683773E-2</c:v>
                </c:pt>
                <c:pt idx="11">
                  <c:v>5.1157325410382259E-3</c:v>
                </c:pt>
                <c:pt idx="12">
                  <c:v>2.2202858108733574E-3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BC-44E5-9219-9BC685B91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9104"/>
        <c:axId val="7920640"/>
      </c:lineChart>
      <c:catAx>
        <c:axId val="7911296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ln w="22225" cap="flat" cmpd="sng" algn="ctr">
            <a:solidFill>
              <a:schemeClr val="bg1">
                <a:lumMod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7912832"/>
        <c:crosses val="autoZero"/>
        <c:auto val="1"/>
        <c:lblAlgn val="ctr"/>
        <c:lblOffset val="100"/>
        <c:noMultiLvlLbl val="0"/>
      </c:catAx>
      <c:valAx>
        <c:axId val="791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rgbClr val="009999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 altLang="zh-CN">
                    <a:solidFill>
                      <a:srgbClr val="009999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Frequency</a:t>
                </a:r>
                <a:endParaRPr lang="zh-CN" altLang="en-US">
                  <a:solidFill>
                    <a:srgbClr val="009999"/>
                  </a:solidFill>
                  <a:latin typeface="Arial" panose="020B0604020202020204" pitchFamily="7" charset="0"/>
                  <a:cs typeface="Arial" panose="020B0604020202020204" pitchFamily="7" charset="0"/>
                </a:endParaRPr>
              </a:p>
            </c:rich>
          </c:tx>
          <c:layout>
            <c:manualLayout>
              <c:xMode val="edge"/>
              <c:yMode val="edge"/>
              <c:x val="3.91142542367389E-2"/>
              <c:y val="0.39665654836623698"/>
            </c:manualLayout>
          </c:layout>
          <c:overlay val="0"/>
        </c:title>
        <c:numFmt formatCode="[=0]&quot;-&quot;;General" sourceLinked="1"/>
        <c:majorTickMark val="out"/>
        <c:minorTickMark val="none"/>
        <c:tickLblPos val="nextTo"/>
        <c:spPr>
          <a:ln w="19050" cap="flat" cmpd="sng" algn="ctr">
            <a:solidFill>
              <a:schemeClr val="bg1">
                <a:lumMod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009999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7911296"/>
        <c:crosses val="autoZero"/>
        <c:crossBetween val="between"/>
      </c:valAx>
      <c:catAx>
        <c:axId val="7919104"/>
        <c:scaling>
          <c:orientation val="minMax"/>
        </c:scaling>
        <c:delete val="1"/>
        <c:axPos val="t"/>
        <c:numFmt formatCode="0_);[Red]\(0\)" sourceLinked="1"/>
        <c:majorTickMark val="out"/>
        <c:minorTickMark val="none"/>
        <c:tickLblPos val="nextTo"/>
        <c:crossAx val="7920640"/>
        <c:crosses val="max"/>
        <c:auto val="1"/>
        <c:lblAlgn val="ctr"/>
        <c:lblOffset val="100"/>
        <c:noMultiLvlLbl val="0"/>
      </c:catAx>
      <c:valAx>
        <c:axId val="7920640"/>
        <c:scaling>
          <c:orientation val="minMax"/>
          <c:max val="0.1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 altLang="zh-CN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Distribution</a:t>
                </a:r>
                <a:endParaRPr lang="zh-CN" altLang="en-US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7" charset="0"/>
                  <a:cs typeface="Arial" panose="020B0604020202020204" pitchFamily="7" charset="0"/>
                </a:endParaRPr>
              </a:p>
            </c:rich>
          </c:tx>
          <c:layout>
            <c:manualLayout>
              <c:xMode val="edge"/>
              <c:yMode val="edge"/>
              <c:x val="0.93989890152619804"/>
              <c:y val="0.38595123435657502"/>
            </c:manualLayout>
          </c:layout>
          <c:overlay val="0"/>
        </c:title>
        <c:numFmt formatCode="[=0]&quot;-&quot;;0%" sourceLinked="1"/>
        <c:majorTickMark val="out"/>
        <c:minorTickMark val="none"/>
        <c:tickLblPos val="nextTo"/>
        <c:spPr>
          <a:ln w="19050" cap="flat" cmpd="sng" algn="ctr">
            <a:solidFill>
              <a:schemeClr val="bg1">
                <a:lumMod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7919104"/>
        <c:crosses val="max"/>
        <c:crossBetween val="between"/>
        <c:majorUnit val="0.05"/>
      </c:valAx>
    </c:plotArea>
    <c:plotVisOnly val="1"/>
    <c:dispBlanksAs val="gap"/>
    <c:showDLblsOverMax val="0"/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2</xdr:row>
      <xdr:rowOff>57149</xdr:rowOff>
    </xdr:from>
    <xdr:to>
      <xdr:col>17</xdr:col>
      <xdr:colOff>466725</xdr:colOff>
      <xdr:row>20</xdr:row>
      <xdr:rowOff>47624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L142"/>
  <sheetViews>
    <sheetView showGridLines="0" tabSelected="1" topLeftCell="I1" workbookViewId="0">
      <selection activeCell="T21" sqref="T21"/>
    </sheetView>
  </sheetViews>
  <sheetFormatPr defaultColWidth="9" defaultRowHeight="13.9" x14ac:dyDescent="0.3"/>
  <cols>
    <col min="1" max="1" width="1.3984375" style="1" customWidth="1"/>
    <col min="2" max="2" width="13" style="1" customWidth="1"/>
    <col min="3" max="3" width="11.265625" style="1" customWidth="1"/>
    <col min="4" max="4" width="5.46484375" style="1" customWidth="1"/>
    <col min="5" max="7" width="13" style="1" customWidth="1"/>
    <col min="8" max="8" width="13" style="2" customWidth="1"/>
    <col min="9" max="9" width="9" style="1"/>
    <col min="10" max="10" width="8.46484375" style="1" customWidth="1"/>
    <col min="11" max="11" width="9" style="1"/>
    <col min="12" max="12" width="5.46484375" style="1" customWidth="1"/>
    <col min="13" max="13" width="6.73046875" style="1" customWidth="1"/>
    <col min="14" max="14" width="10.59765625" style="1" customWidth="1"/>
    <col min="15" max="16384" width="9" style="1"/>
  </cols>
  <sheetData>
    <row r="1" spans="2:8" ht="15" x14ac:dyDescent="0.3">
      <c r="B1" s="3"/>
    </row>
    <row r="2" spans="2:8" ht="15" x14ac:dyDescent="0.3">
      <c r="B2" s="3"/>
    </row>
    <row r="4" spans="2:8" ht="14.65" x14ac:dyDescent="0.3">
      <c r="B4" s="4" t="s">
        <v>0</v>
      </c>
      <c r="C4" s="5">
        <f>COUNT(H:H)</f>
        <v>138</v>
      </c>
      <c r="D4" s="5" t="s">
        <v>1</v>
      </c>
      <c r="E4" s="5" t="s">
        <v>2</v>
      </c>
      <c r="F4" s="5" t="s">
        <v>3</v>
      </c>
      <c r="G4" s="5" t="s">
        <v>4</v>
      </c>
      <c r="H4" s="6" t="s">
        <v>5</v>
      </c>
    </row>
    <row r="5" spans="2:8" ht="14.65" x14ac:dyDescent="0.45">
      <c r="B5" s="7" t="s">
        <v>6</v>
      </c>
      <c r="C5" s="8">
        <f>MAX(H:H)</f>
        <v>25</v>
      </c>
      <c r="D5" s="9">
        <v>1</v>
      </c>
      <c r="E5" s="10">
        <f>C6</f>
        <v>2</v>
      </c>
      <c r="F5" s="11">
        <f t="array" ref="F5:F17">FREQUENCY(H:H,E5:E17)</f>
        <v>1</v>
      </c>
      <c r="G5" s="12">
        <f t="shared" ref="G5:G17" si="0">_xlfn.NORM.DIST(E5,$C$7,$C$8,0)</f>
        <v>2.3903183155566554E-2</v>
      </c>
      <c r="H5" s="13">
        <v>5.5</v>
      </c>
    </row>
    <row r="6" spans="2:8" ht="14.65" x14ac:dyDescent="0.45">
      <c r="B6" s="7" t="s">
        <v>7</v>
      </c>
      <c r="C6" s="8">
        <f>MIN(H:H)</f>
        <v>2</v>
      </c>
      <c r="D6" s="9">
        <v>2</v>
      </c>
      <c r="E6" s="10">
        <f t="shared" ref="E6:E17" si="1">E5+$C$11</f>
        <v>3.957890020745122</v>
      </c>
      <c r="F6" s="11">
        <v>10</v>
      </c>
      <c r="G6" s="12">
        <f t="shared" si="0"/>
        <v>3.7063538297781959E-2</v>
      </c>
      <c r="H6" s="13">
        <v>12.6666666666667</v>
      </c>
    </row>
    <row r="7" spans="2:8" ht="14.65" x14ac:dyDescent="0.45">
      <c r="B7" s="7" t="s">
        <v>8</v>
      </c>
      <c r="C7" s="8">
        <f>AVERAGE(H:H)</f>
        <v>10.397826086956522</v>
      </c>
      <c r="D7" s="9">
        <v>3</v>
      </c>
      <c r="E7" s="10">
        <f t="shared" si="1"/>
        <v>5.9157800414902439</v>
      </c>
      <c r="F7" s="11">
        <v>19</v>
      </c>
      <c r="G7" s="12">
        <f t="shared" si="0"/>
        <v>5.1187767567866076E-2</v>
      </c>
      <c r="H7" s="13">
        <v>4.4000000000000004</v>
      </c>
    </row>
    <row r="8" spans="2:8" ht="14.65" x14ac:dyDescent="0.45">
      <c r="B8" s="7" t="s">
        <v>9</v>
      </c>
      <c r="C8" s="8">
        <f>STDEV(H:H)</f>
        <v>5.7546394506663283</v>
      </c>
      <c r="D8" s="9">
        <v>4</v>
      </c>
      <c r="E8" s="10">
        <f t="shared" si="1"/>
        <v>7.8736700622353659</v>
      </c>
      <c r="F8" s="11">
        <v>25</v>
      </c>
      <c r="G8" s="12">
        <f t="shared" si="0"/>
        <v>6.2967097590004392E-2</v>
      </c>
      <c r="H8" s="13">
        <v>3.2</v>
      </c>
    </row>
    <row r="9" spans="2:8" ht="14.65" x14ac:dyDescent="0.45">
      <c r="B9" s="7" t="s">
        <v>10</v>
      </c>
      <c r="C9" s="8">
        <f>C5-C6</f>
        <v>23</v>
      </c>
      <c r="D9" s="9">
        <v>5</v>
      </c>
      <c r="E9" s="10">
        <f t="shared" si="1"/>
        <v>9.8315600829804879</v>
      </c>
      <c r="F9" s="11">
        <v>24</v>
      </c>
      <c r="G9" s="12">
        <f t="shared" si="0"/>
        <v>6.8990506845530111E-2</v>
      </c>
      <c r="H9" s="13">
        <v>8.5</v>
      </c>
    </row>
    <row r="10" spans="2:8" ht="14.65" x14ac:dyDescent="0.45">
      <c r="B10" s="7" t="s">
        <v>11</v>
      </c>
      <c r="C10" s="8">
        <f>SQRT(C4)+1</f>
        <v>12.74734012447073</v>
      </c>
      <c r="D10" s="9">
        <v>6</v>
      </c>
      <c r="E10" s="10">
        <f t="shared" si="1"/>
        <v>11.78945010372561</v>
      </c>
      <c r="F10" s="11">
        <v>12</v>
      </c>
      <c r="G10" s="12">
        <f t="shared" si="0"/>
        <v>6.7327605608222846E-2</v>
      </c>
      <c r="H10" s="13">
        <v>4.4000000000000004</v>
      </c>
    </row>
    <row r="11" spans="2:8" ht="14.65" x14ac:dyDescent="0.45">
      <c r="B11" s="7" t="s">
        <v>12</v>
      </c>
      <c r="C11" s="8">
        <f>C9/SQRT(C4)</f>
        <v>1.9578900207451218</v>
      </c>
      <c r="D11" s="9">
        <v>7</v>
      </c>
      <c r="E11" s="10">
        <f t="shared" si="1"/>
        <v>13.747340124470732</v>
      </c>
      <c r="F11" s="11">
        <v>12</v>
      </c>
      <c r="G11" s="12">
        <f t="shared" si="0"/>
        <v>5.8522810985578086E-2</v>
      </c>
      <c r="H11" s="13">
        <v>15</v>
      </c>
    </row>
    <row r="12" spans="2:8" ht="12.75" customHeight="1" x14ac:dyDescent="0.3">
      <c r="B12" s="14"/>
      <c r="C12" s="14"/>
      <c r="D12" s="9">
        <v>8</v>
      </c>
      <c r="E12" s="10">
        <f t="shared" si="1"/>
        <v>15.705230145215854</v>
      </c>
      <c r="F12" s="11">
        <v>13</v>
      </c>
      <c r="G12" s="12">
        <f t="shared" si="0"/>
        <v>4.5309092162892479E-2</v>
      </c>
      <c r="H12" s="13">
        <v>25</v>
      </c>
    </row>
    <row r="13" spans="2:8" ht="12.75" customHeight="1" x14ac:dyDescent="0.3">
      <c r="B13" s="14"/>
      <c r="C13" s="14"/>
      <c r="D13" s="9">
        <v>9</v>
      </c>
      <c r="E13" s="10">
        <f t="shared" si="1"/>
        <v>17.663120165960976</v>
      </c>
      <c r="F13" s="11">
        <v>6</v>
      </c>
      <c r="G13" s="12">
        <f t="shared" si="0"/>
        <v>3.1244509917125164E-2</v>
      </c>
      <c r="H13" s="13">
        <v>16</v>
      </c>
    </row>
    <row r="14" spans="2:8" ht="12.75" customHeight="1" x14ac:dyDescent="0.3">
      <c r="B14" s="14"/>
      <c r="C14" s="14"/>
      <c r="D14" s="9">
        <v>10</v>
      </c>
      <c r="E14" s="10">
        <f t="shared" si="1"/>
        <v>19.621010186706098</v>
      </c>
      <c r="F14" s="11">
        <v>3</v>
      </c>
      <c r="G14" s="12">
        <f t="shared" si="0"/>
        <v>1.9190674863529419E-2</v>
      </c>
      <c r="H14" s="13">
        <v>6.6</v>
      </c>
    </row>
    <row r="15" spans="2:8" ht="12.75" customHeight="1" x14ac:dyDescent="0.3">
      <c r="B15" s="14"/>
      <c r="C15" s="14"/>
      <c r="D15" s="9">
        <v>11</v>
      </c>
      <c r="E15" s="10">
        <f t="shared" si="1"/>
        <v>21.57890020745122</v>
      </c>
      <c r="F15" s="11">
        <v>2</v>
      </c>
      <c r="G15" s="12">
        <f t="shared" si="0"/>
        <v>1.0498686127683773E-2</v>
      </c>
      <c r="H15" s="13">
        <v>4.25</v>
      </c>
    </row>
    <row r="16" spans="2:8" ht="12.75" customHeight="1" x14ac:dyDescent="0.3">
      <c r="B16" s="14"/>
      <c r="C16" s="14"/>
      <c r="D16" s="9">
        <v>12</v>
      </c>
      <c r="E16" s="10">
        <f t="shared" si="1"/>
        <v>23.536790228196342</v>
      </c>
      <c r="F16" s="11">
        <v>4</v>
      </c>
      <c r="G16" s="12">
        <f t="shared" si="0"/>
        <v>5.1157325410382259E-3</v>
      </c>
      <c r="H16" s="13">
        <v>10</v>
      </c>
    </row>
    <row r="17" spans="2:12" ht="12.75" customHeight="1" x14ac:dyDescent="0.3">
      <c r="B17" s="14"/>
      <c r="C17" s="14"/>
      <c r="D17" s="9">
        <v>13</v>
      </c>
      <c r="E17" s="10">
        <f t="shared" si="1"/>
        <v>25.494680248941464</v>
      </c>
      <c r="F17" s="11">
        <v>7</v>
      </c>
      <c r="G17" s="12">
        <f t="shared" si="0"/>
        <v>2.2202858108733574E-3</v>
      </c>
      <c r="H17" s="13">
        <v>8.75</v>
      </c>
    </row>
    <row r="18" spans="2:12" ht="14.65" x14ac:dyDescent="0.3">
      <c r="B18" s="14"/>
      <c r="C18" s="14"/>
      <c r="D18" s="9"/>
      <c r="E18" s="9" t="str">
        <f t="shared" ref="E18:E25" si="2">IF(ROW(17:17)&lt;$C$10,ROW(17:17),"")</f>
        <v/>
      </c>
      <c r="F18" s="9"/>
      <c r="G18" s="9"/>
      <c r="H18" s="13">
        <v>9.5</v>
      </c>
      <c r="L18" s="1" t="str">
        <f t="shared" ref="L18:L30" si="3">IF(ROW(16:16)&lt;$C$10,ROW(16:16),"")</f>
        <v/>
      </c>
    </row>
    <row r="19" spans="2:12" ht="14.65" x14ac:dyDescent="0.3">
      <c r="B19" s="9"/>
      <c r="C19" s="9"/>
      <c r="D19" s="9"/>
      <c r="E19" s="9" t="str">
        <f t="shared" si="2"/>
        <v/>
      </c>
      <c r="F19" s="9"/>
      <c r="G19" s="9"/>
      <c r="H19" s="13">
        <v>22.5</v>
      </c>
      <c r="L19" s="1" t="str">
        <f t="shared" si="3"/>
        <v/>
      </c>
    </row>
    <row r="20" spans="2:12" ht="14.65" x14ac:dyDescent="0.3">
      <c r="B20" s="9"/>
      <c r="C20" s="9"/>
      <c r="D20" s="9"/>
      <c r="E20" s="9" t="str">
        <f t="shared" si="2"/>
        <v/>
      </c>
      <c r="F20" s="9"/>
      <c r="G20" s="9"/>
      <c r="H20" s="13">
        <v>9.1999999999999993</v>
      </c>
      <c r="L20" s="1" t="str">
        <f t="shared" si="3"/>
        <v/>
      </c>
    </row>
    <row r="21" spans="2:12" ht="14.65" x14ac:dyDescent="0.3">
      <c r="B21" s="9"/>
      <c r="C21" s="9"/>
      <c r="D21" s="9"/>
      <c r="E21" s="9" t="str">
        <f t="shared" si="2"/>
        <v/>
      </c>
      <c r="F21" s="9"/>
      <c r="G21" s="9"/>
      <c r="H21" s="13">
        <v>14.5</v>
      </c>
      <c r="L21" s="1" t="str">
        <f t="shared" si="3"/>
        <v/>
      </c>
    </row>
    <row r="22" spans="2:12" ht="14.65" x14ac:dyDescent="0.3">
      <c r="B22" s="9"/>
      <c r="C22" s="9"/>
      <c r="D22" s="9"/>
      <c r="E22" s="9" t="str">
        <f t="shared" si="2"/>
        <v/>
      </c>
      <c r="F22" s="9"/>
      <c r="G22" s="9"/>
      <c r="H22" s="13">
        <v>5.25</v>
      </c>
      <c r="L22" s="1" t="str">
        <f t="shared" si="3"/>
        <v/>
      </c>
    </row>
    <row r="23" spans="2:12" ht="14.65" x14ac:dyDescent="0.3">
      <c r="B23" s="9"/>
      <c r="C23" s="9"/>
      <c r="D23" s="9"/>
      <c r="E23" s="9" t="str">
        <f t="shared" si="2"/>
        <v/>
      </c>
      <c r="F23" s="9"/>
      <c r="G23" s="9"/>
      <c r="H23" s="13">
        <v>24</v>
      </c>
      <c r="L23" s="1" t="str">
        <f t="shared" si="3"/>
        <v/>
      </c>
    </row>
    <row r="24" spans="2:12" ht="14.65" x14ac:dyDescent="0.3">
      <c r="B24" s="9"/>
      <c r="C24" s="9"/>
      <c r="D24" s="9"/>
      <c r="E24" s="9" t="str">
        <f t="shared" si="2"/>
        <v/>
      </c>
      <c r="F24" s="9"/>
      <c r="G24" s="9"/>
      <c r="H24" s="13">
        <v>7.25</v>
      </c>
      <c r="L24" s="1" t="str">
        <f t="shared" si="3"/>
        <v/>
      </c>
    </row>
    <row r="25" spans="2:12" ht="14.65" x14ac:dyDescent="0.3">
      <c r="B25" s="9"/>
      <c r="C25" s="9"/>
      <c r="D25" s="9"/>
      <c r="E25" s="9" t="str">
        <f t="shared" si="2"/>
        <v/>
      </c>
      <c r="F25" s="9"/>
      <c r="G25" s="9"/>
      <c r="H25" s="13">
        <v>7</v>
      </c>
      <c r="L25" s="1" t="str">
        <f t="shared" si="3"/>
        <v/>
      </c>
    </row>
    <row r="26" spans="2:12" ht="14.65" x14ac:dyDescent="0.3">
      <c r="B26" s="9"/>
      <c r="C26" s="9"/>
      <c r="D26" s="9"/>
      <c r="E26" s="9"/>
      <c r="F26" s="9"/>
      <c r="G26" s="9"/>
      <c r="H26" s="13">
        <v>2</v>
      </c>
      <c r="L26" s="1" t="str">
        <f t="shared" si="3"/>
        <v/>
      </c>
    </row>
    <row r="27" spans="2:12" ht="14.65" x14ac:dyDescent="0.3">
      <c r="B27" s="9"/>
      <c r="C27" s="9"/>
      <c r="D27" s="9"/>
      <c r="E27" s="9"/>
      <c r="F27" s="9"/>
      <c r="G27" s="9"/>
      <c r="H27" s="13">
        <v>3.6666666666666701</v>
      </c>
      <c r="L27" s="1" t="str">
        <f t="shared" si="3"/>
        <v/>
      </c>
    </row>
    <row r="28" spans="2:12" ht="14.65" x14ac:dyDescent="0.3">
      <c r="C28" s="9"/>
      <c r="D28" s="9"/>
      <c r="E28" s="9"/>
      <c r="F28" s="9"/>
      <c r="G28" s="9"/>
      <c r="H28" s="13">
        <v>7.8</v>
      </c>
      <c r="L28" s="1" t="str">
        <f t="shared" si="3"/>
        <v/>
      </c>
    </row>
    <row r="29" spans="2:12" ht="14.65" x14ac:dyDescent="0.3">
      <c r="C29" s="9"/>
      <c r="D29" s="9"/>
      <c r="E29" s="9"/>
      <c r="F29" s="9"/>
      <c r="G29" s="9"/>
      <c r="H29" s="13">
        <v>14.5</v>
      </c>
      <c r="L29" s="1" t="str">
        <f t="shared" si="3"/>
        <v/>
      </c>
    </row>
    <row r="30" spans="2:12" ht="14.65" x14ac:dyDescent="0.3">
      <c r="C30" s="9"/>
      <c r="D30" s="9"/>
      <c r="E30" s="9"/>
      <c r="F30" s="9"/>
      <c r="G30" s="9"/>
      <c r="H30" s="13">
        <v>12</v>
      </c>
      <c r="L30" s="1" t="str">
        <f t="shared" si="3"/>
        <v/>
      </c>
    </row>
    <row r="31" spans="2:12" ht="14.65" x14ac:dyDescent="0.3">
      <c r="C31" s="9"/>
      <c r="D31" s="9"/>
      <c r="E31" s="9"/>
      <c r="F31" s="9"/>
      <c r="G31" s="9"/>
      <c r="H31" s="13">
        <v>24</v>
      </c>
    </row>
    <row r="32" spans="2:12" ht="14.65" x14ac:dyDescent="0.3">
      <c r="C32" s="9"/>
      <c r="D32" s="9"/>
      <c r="E32" s="9"/>
      <c r="F32" s="9"/>
      <c r="G32" s="9"/>
      <c r="H32" s="13">
        <v>6.4</v>
      </c>
    </row>
    <row r="33" spans="3:8" ht="14.65" x14ac:dyDescent="0.3">
      <c r="C33" s="9"/>
      <c r="D33" s="9"/>
      <c r="E33" s="9"/>
      <c r="F33" s="9"/>
      <c r="G33" s="9"/>
      <c r="H33" s="13">
        <v>6</v>
      </c>
    </row>
    <row r="34" spans="3:8" ht="14.65" x14ac:dyDescent="0.3">
      <c r="C34" s="9"/>
      <c r="D34" s="9"/>
      <c r="E34" s="9"/>
      <c r="F34" s="9"/>
      <c r="G34" s="9"/>
      <c r="H34" s="13">
        <v>7</v>
      </c>
    </row>
    <row r="35" spans="3:8" ht="14.65" x14ac:dyDescent="0.3">
      <c r="C35" s="9"/>
      <c r="D35" s="9"/>
      <c r="E35" s="9"/>
      <c r="F35" s="9"/>
      <c r="G35" s="9"/>
      <c r="H35" s="13">
        <v>6</v>
      </c>
    </row>
    <row r="36" spans="3:8" ht="14.65" x14ac:dyDescent="0.3">
      <c r="C36" s="9"/>
      <c r="D36" s="9"/>
      <c r="E36" s="9"/>
      <c r="F36" s="9"/>
      <c r="G36" s="9"/>
      <c r="H36" s="13">
        <v>12.3333333333333</v>
      </c>
    </row>
    <row r="37" spans="3:8" ht="14.65" x14ac:dyDescent="0.3">
      <c r="C37" s="9"/>
      <c r="D37" s="9"/>
      <c r="E37" s="9"/>
      <c r="F37" s="9"/>
      <c r="G37" s="9"/>
      <c r="H37" s="13">
        <v>8</v>
      </c>
    </row>
    <row r="38" spans="3:8" ht="14.65" x14ac:dyDescent="0.3">
      <c r="C38" s="9"/>
      <c r="D38" s="9"/>
      <c r="E38" s="9"/>
      <c r="F38" s="9"/>
      <c r="G38" s="9"/>
      <c r="H38" s="13">
        <v>12</v>
      </c>
    </row>
    <row r="39" spans="3:8" ht="14.65" x14ac:dyDescent="0.3">
      <c r="C39" s="9"/>
      <c r="D39" s="9"/>
      <c r="E39" s="9"/>
      <c r="F39" s="9"/>
      <c r="G39" s="9"/>
      <c r="H39" s="13">
        <v>12</v>
      </c>
    </row>
    <row r="40" spans="3:8" ht="14.65" x14ac:dyDescent="0.3">
      <c r="C40" s="9"/>
      <c r="D40" s="9"/>
      <c r="E40" s="9"/>
      <c r="F40" s="9"/>
      <c r="G40" s="9"/>
      <c r="H40" s="13">
        <v>4</v>
      </c>
    </row>
    <row r="41" spans="3:8" ht="14.65" x14ac:dyDescent="0.3">
      <c r="C41" s="9"/>
      <c r="D41" s="9"/>
      <c r="E41" s="9"/>
      <c r="F41" s="9"/>
      <c r="G41" s="9"/>
      <c r="H41" s="13">
        <v>11.75</v>
      </c>
    </row>
    <row r="42" spans="3:8" ht="14.65" x14ac:dyDescent="0.3">
      <c r="C42" s="9"/>
      <c r="D42" s="9"/>
      <c r="E42" s="9"/>
      <c r="F42" s="9"/>
      <c r="G42" s="9"/>
      <c r="H42" s="13">
        <v>10.75</v>
      </c>
    </row>
    <row r="43" spans="3:8" ht="14.65" x14ac:dyDescent="0.3">
      <c r="C43" s="9"/>
      <c r="D43" s="9"/>
      <c r="E43" s="9"/>
      <c r="F43" s="9"/>
      <c r="G43" s="9"/>
      <c r="H43" s="13">
        <v>6.8</v>
      </c>
    </row>
    <row r="44" spans="3:8" ht="14.65" x14ac:dyDescent="0.3">
      <c r="C44" s="9"/>
      <c r="D44" s="9"/>
      <c r="E44" s="9"/>
      <c r="F44" s="9"/>
      <c r="G44" s="9"/>
      <c r="H44" s="13">
        <v>3</v>
      </c>
    </row>
    <row r="45" spans="3:8" ht="14.65" x14ac:dyDescent="0.3">
      <c r="C45" s="9"/>
      <c r="D45" s="9"/>
      <c r="E45" s="9"/>
      <c r="F45" s="9"/>
      <c r="G45" s="9"/>
      <c r="H45" s="13">
        <v>5.3333333333333304</v>
      </c>
    </row>
    <row r="46" spans="3:8" ht="14.65" x14ac:dyDescent="0.3">
      <c r="C46" s="9"/>
      <c r="D46" s="9"/>
      <c r="E46" s="9"/>
      <c r="F46" s="9"/>
      <c r="G46" s="9"/>
      <c r="H46" s="13">
        <v>16.3333333333333</v>
      </c>
    </row>
    <row r="47" spans="3:8" ht="14.65" x14ac:dyDescent="0.3">
      <c r="C47" s="9"/>
      <c r="D47" s="9"/>
      <c r="E47" s="9"/>
      <c r="F47" s="9"/>
      <c r="G47" s="9"/>
      <c r="H47" s="13">
        <v>5.2</v>
      </c>
    </row>
    <row r="48" spans="3:8" ht="14.65" x14ac:dyDescent="0.3">
      <c r="C48" s="9"/>
      <c r="D48" s="9"/>
      <c r="E48" s="9"/>
      <c r="F48" s="9"/>
      <c r="G48" s="9"/>
      <c r="H48" s="13">
        <v>10</v>
      </c>
    </row>
    <row r="49" spans="3:8" ht="14.65" x14ac:dyDescent="0.3">
      <c r="C49" s="9"/>
      <c r="D49" s="9"/>
      <c r="E49" s="9"/>
      <c r="F49" s="9"/>
      <c r="G49" s="9"/>
      <c r="H49" s="13">
        <v>10.3333333333333</v>
      </c>
    </row>
    <row r="50" spans="3:8" ht="14.65" x14ac:dyDescent="0.3">
      <c r="C50" s="9"/>
      <c r="D50" s="9"/>
      <c r="E50" s="9"/>
      <c r="F50" s="9"/>
      <c r="G50" s="9"/>
      <c r="H50" s="13">
        <v>18</v>
      </c>
    </row>
    <row r="51" spans="3:8" ht="14.65" x14ac:dyDescent="0.3">
      <c r="C51" s="9"/>
      <c r="D51" s="9"/>
      <c r="E51" s="9"/>
      <c r="F51" s="9"/>
      <c r="G51" s="9"/>
      <c r="H51" s="13">
        <v>9.75</v>
      </c>
    </row>
    <row r="52" spans="3:8" ht="14.65" x14ac:dyDescent="0.3">
      <c r="C52" s="9"/>
      <c r="D52" s="9"/>
      <c r="E52" s="9"/>
      <c r="F52" s="9"/>
      <c r="G52" s="9"/>
      <c r="H52" s="13">
        <v>5.3333333333333304</v>
      </c>
    </row>
    <row r="53" spans="3:8" ht="14.65" x14ac:dyDescent="0.3">
      <c r="C53" s="9"/>
      <c r="D53" s="9"/>
      <c r="E53" s="9"/>
      <c r="F53" s="9"/>
      <c r="G53" s="9"/>
      <c r="H53" s="13">
        <v>12.25</v>
      </c>
    </row>
    <row r="54" spans="3:8" ht="14.65" x14ac:dyDescent="0.3">
      <c r="C54" s="9"/>
      <c r="D54" s="9"/>
      <c r="E54" s="9"/>
      <c r="F54" s="9"/>
      <c r="G54" s="9"/>
      <c r="H54" s="13">
        <v>8.6</v>
      </c>
    </row>
    <row r="55" spans="3:8" ht="14.65" x14ac:dyDescent="0.3">
      <c r="C55" s="9"/>
      <c r="D55" s="9"/>
      <c r="E55" s="9"/>
      <c r="F55" s="9"/>
      <c r="G55" s="9"/>
      <c r="H55" s="13">
        <v>3.5</v>
      </c>
    </row>
    <row r="56" spans="3:8" ht="14.65" x14ac:dyDescent="0.3">
      <c r="C56" s="9"/>
      <c r="D56" s="9"/>
      <c r="E56" s="9"/>
      <c r="F56" s="9"/>
      <c r="G56" s="9"/>
      <c r="H56" s="13">
        <v>15.3333333333333</v>
      </c>
    </row>
    <row r="57" spans="3:8" ht="14.65" x14ac:dyDescent="0.3">
      <c r="C57" s="9"/>
      <c r="D57" s="9"/>
      <c r="E57" s="9"/>
      <c r="F57" s="9"/>
      <c r="G57" s="9"/>
      <c r="H57" s="13">
        <v>6</v>
      </c>
    </row>
    <row r="58" spans="3:8" ht="14.65" x14ac:dyDescent="0.3">
      <c r="C58" s="9"/>
      <c r="D58" s="9"/>
      <c r="E58" s="9"/>
      <c r="F58" s="9"/>
      <c r="G58" s="9"/>
      <c r="H58" s="13">
        <v>14</v>
      </c>
    </row>
    <row r="59" spans="3:8" ht="14.65" x14ac:dyDescent="0.3">
      <c r="C59" s="9"/>
      <c r="D59" s="9"/>
      <c r="E59" s="9"/>
      <c r="F59" s="9"/>
      <c r="G59" s="9"/>
      <c r="H59" s="13">
        <v>16.5</v>
      </c>
    </row>
    <row r="60" spans="3:8" ht="14.65" x14ac:dyDescent="0.3">
      <c r="C60" s="9"/>
      <c r="D60" s="9"/>
      <c r="E60" s="9"/>
      <c r="F60" s="9"/>
      <c r="G60" s="9"/>
      <c r="H60" s="13">
        <v>8</v>
      </c>
    </row>
    <row r="61" spans="3:8" ht="14.65" x14ac:dyDescent="0.3">
      <c r="C61" s="9"/>
      <c r="D61" s="9"/>
      <c r="E61" s="9"/>
      <c r="F61" s="9"/>
      <c r="G61" s="9"/>
      <c r="H61" s="13">
        <v>17</v>
      </c>
    </row>
    <row r="62" spans="3:8" ht="14.65" x14ac:dyDescent="0.3">
      <c r="C62" s="9"/>
      <c r="D62" s="9"/>
      <c r="E62" s="9"/>
      <c r="F62" s="9"/>
      <c r="G62" s="9"/>
      <c r="H62" s="13">
        <v>8.6</v>
      </c>
    </row>
    <row r="63" spans="3:8" ht="14.65" x14ac:dyDescent="0.3">
      <c r="C63" s="9"/>
      <c r="D63" s="9"/>
      <c r="E63" s="9"/>
      <c r="F63" s="9"/>
      <c r="G63" s="9"/>
      <c r="H63" s="13">
        <v>9.75</v>
      </c>
    </row>
    <row r="64" spans="3:8" ht="14.65" x14ac:dyDescent="0.3">
      <c r="C64" s="9"/>
      <c r="D64" s="9"/>
      <c r="E64" s="9"/>
      <c r="F64" s="9"/>
      <c r="G64" s="9"/>
      <c r="H64" s="13">
        <v>18</v>
      </c>
    </row>
    <row r="65" spans="3:8" ht="14.65" x14ac:dyDescent="0.3">
      <c r="C65" s="9"/>
      <c r="D65" s="9"/>
      <c r="E65" s="9"/>
      <c r="F65" s="9"/>
      <c r="G65" s="9"/>
      <c r="H65" s="13">
        <v>6.4</v>
      </c>
    </row>
    <row r="66" spans="3:8" ht="14.65" x14ac:dyDescent="0.3">
      <c r="C66" s="9"/>
      <c r="D66" s="9"/>
      <c r="E66" s="9"/>
      <c r="F66" s="9"/>
      <c r="G66" s="9"/>
      <c r="H66" s="13">
        <v>15</v>
      </c>
    </row>
    <row r="67" spans="3:8" ht="14.65" x14ac:dyDescent="0.3">
      <c r="C67" s="9"/>
      <c r="D67" s="9"/>
      <c r="E67" s="9"/>
      <c r="F67" s="9"/>
      <c r="G67" s="9"/>
      <c r="H67" s="13">
        <v>3.2</v>
      </c>
    </row>
    <row r="68" spans="3:8" ht="14.65" x14ac:dyDescent="0.3">
      <c r="C68" s="9"/>
      <c r="D68" s="9"/>
      <c r="E68" s="9"/>
      <c r="F68" s="9"/>
      <c r="G68" s="9"/>
      <c r="H68" s="13">
        <v>11</v>
      </c>
    </row>
    <row r="69" spans="3:8" ht="14.65" x14ac:dyDescent="0.3">
      <c r="C69" s="9"/>
      <c r="D69" s="9"/>
      <c r="E69" s="9"/>
      <c r="F69" s="9"/>
      <c r="G69" s="9"/>
      <c r="H69" s="13">
        <v>13</v>
      </c>
    </row>
    <row r="70" spans="3:8" ht="14.65" x14ac:dyDescent="0.3">
      <c r="C70" s="9"/>
      <c r="D70" s="9"/>
      <c r="E70" s="9"/>
      <c r="F70" s="9"/>
      <c r="G70" s="9"/>
      <c r="H70" s="13">
        <v>2.8</v>
      </c>
    </row>
    <row r="71" spans="3:8" ht="14.65" x14ac:dyDescent="0.3">
      <c r="C71" s="9"/>
      <c r="D71" s="9"/>
      <c r="E71" s="9"/>
      <c r="F71" s="9"/>
      <c r="G71" s="9"/>
      <c r="H71" s="13">
        <v>7.4</v>
      </c>
    </row>
    <row r="72" spans="3:8" ht="14.65" x14ac:dyDescent="0.3">
      <c r="C72" s="9"/>
      <c r="D72" s="9"/>
      <c r="E72" s="9"/>
      <c r="F72" s="9"/>
      <c r="G72" s="9"/>
      <c r="H72" s="13">
        <v>5.75</v>
      </c>
    </row>
    <row r="73" spans="3:8" ht="14.65" x14ac:dyDescent="0.3">
      <c r="C73" s="9"/>
      <c r="D73" s="9"/>
      <c r="E73" s="9"/>
      <c r="F73" s="9"/>
      <c r="G73" s="9"/>
      <c r="H73" s="13">
        <v>14</v>
      </c>
    </row>
    <row r="74" spans="3:8" ht="14.65" x14ac:dyDescent="0.3">
      <c r="C74" s="9"/>
      <c r="D74" s="9"/>
      <c r="E74" s="9"/>
      <c r="F74" s="9"/>
      <c r="G74" s="9"/>
      <c r="H74" s="13">
        <v>7.8</v>
      </c>
    </row>
    <row r="75" spans="3:8" ht="14.65" x14ac:dyDescent="0.3">
      <c r="C75" s="9"/>
      <c r="D75" s="9"/>
      <c r="E75" s="9"/>
      <c r="F75" s="9"/>
      <c r="G75" s="9"/>
      <c r="H75" s="13">
        <v>19</v>
      </c>
    </row>
    <row r="76" spans="3:8" ht="14.65" x14ac:dyDescent="0.3">
      <c r="C76" s="9"/>
      <c r="D76" s="9"/>
      <c r="E76" s="9"/>
      <c r="F76" s="9"/>
      <c r="G76" s="9"/>
      <c r="H76" s="13">
        <v>6.3333333333333304</v>
      </c>
    </row>
    <row r="77" spans="3:8" ht="14.65" x14ac:dyDescent="0.3">
      <c r="C77" s="9"/>
      <c r="D77" s="9"/>
      <c r="E77" s="9"/>
      <c r="F77" s="9"/>
      <c r="G77" s="9"/>
      <c r="H77" s="13">
        <v>25</v>
      </c>
    </row>
    <row r="78" spans="3:8" ht="14.65" x14ac:dyDescent="0.3">
      <c r="C78" s="9"/>
      <c r="D78" s="9"/>
      <c r="E78" s="9"/>
      <c r="F78" s="9"/>
      <c r="G78" s="9"/>
      <c r="H78" s="13">
        <v>8.5</v>
      </c>
    </row>
    <row r="79" spans="3:8" ht="14.65" x14ac:dyDescent="0.3">
      <c r="C79" s="9"/>
      <c r="D79" s="9"/>
      <c r="E79" s="9"/>
      <c r="F79" s="9"/>
      <c r="G79" s="9"/>
      <c r="H79" s="13">
        <v>6.4</v>
      </c>
    </row>
    <row r="80" spans="3:8" ht="14.65" x14ac:dyDescent="0.3">
      <c r="C80" s="9"/>
      <c r="D80" s="9"/>
      <c r="E80" s="9"/>
      <c r="F80" s="9"/>
      <c r="G80" s="9"/>
      <c r="H80" s="13">
        <v>4.5999999999999996</v>
      </c>
    </row>
    <row r="81" spans="3:8" ht="14.65" x14ac:dyDescent="0.3">
      <c r="C81" s="9"/>
      <c r="D81" s="9"/>
      <c r="E81" s="9"/>
      <c r="F81" s="9"/>
      <c r="G81" s="9"/>
      <c r="H81" s="13">
        <v>13.3333333333333</v>
      </c>
    </row>
    <row r="82" spans="3:8" ht="14.65" x14ac:dyDescent="0.3">
      <c r="C82" s="9"/>
      <c r="D82" s="9"/>
      <c r="E82" s="9"/>
      <c r="F82" s="9"/>
      <c r="G82" s="9"/>
      <c r="H82" s="13">
        <v>15.5</v>
      </c>
    </row>
    <row r="83" spans="3:8" ht="14.65" x14ac:dyDescent="0.3">
      <c r="C83" s="9"/>
      <c r="D83" s="9"/>
      <c r="E83" s="9"/>
      <c r="F83" s="9"/>
      <c r="G83" s="9"/>
      <c r="H83" s="13">
        <v>12.5</v>
      </c>
    </row>
    <row r="84" spans="3:8" ht="14.65" x14ac:dyDescent="0.3">
      <c r="C84" s="9"/>
      <c r="D84" s="9"/>
      <c r="E84" s="9"/>
      <c r="F84" s="9"/>
      <c r="G84" s="9"/>
      <c r="H84" s="13">
        <v>22</v>
      </c>
    </row>
    <row r="85" spans="3:8" ht="14.65" x14ac:dyDescent="0.3">
      <c r="C85" s="9"/>
      <c r="D85" s="9"/>
      <c r="E85" s="9"/>
      <c r="F85" s="9"/>
      <c r="G85" s="9"/>
      <c r="H85" s="13">
        <v>4.4000000000000004</v>
      </c>
    </row>
    <row r="86" spans="3:8" ht="14.65" x14ac:dyDescent="0.3">
      <c r="C86" s="9"/>
      <c r="D86" s="9"/>
      <c r="E86" s="9"/>
      <c r="F86" s="9"/>
      <c r="G86" s="9"/>
      <c r="H86" s="13">
        <v>6</v>
      </c>
    </row>
    <row r="87" spans="3:8" ht="14.65" x14ac:dyDescent="0.3">
      <c r="C87" s="9"/>
      <c r="D87" s="9"/>
      <c r="E87" s="9"/>
      <c r="F87" s="9"/>
      <c r="G87" s="9"/>
      <c r="H87" s="13">
        <v>11.3333333333333</v>
      </c>
    </row>
    <row r="88" spans="3:8" ht="14.65" x14ac:dyDescent="0.3">
      <c r="C88" s="9"/>
      <c r="D88" s="9"/>
      <c r="E88" s="9"/>
      <c r="F88" s="9"/>
      <c r="G88" s="9"/>
      <c r="H88" s="13">
        <v>8.3333333333333304</v>
      </c>
    </row>
    <row r="89" spans="3:8" ht="14.65" x14ac:dyDescent="0.3">
      <c r="C89" s="9"/>
      <c r="D89" s="9"/>
      <c r="E89" s="9"/>
      <c r="F89" s="9"/>
      <c r="G89" s="9"/>
      <c r="H89" s="13">
        <v>9.5</v>
      </c>
    </row>
    <row r="90" spans="3:8" ht="14.65" x14ac:dyDescent="0.3">
      <c r="C90" s="9"/>
      <c r="D90" s="9"/>
      <c r="E90" s="9"/>
      <c r="F90" s="9"/>
      <c r="G90" s="9"/>
      <c r="H90" s="13">
        <v>5</v>
      </c>
    </row>
    <row r="91" spans="3:8" ht="14.65" x14ac:dyDescent="0.3">
      <c r="C91" s="9"/>
      <c r="D91" s="9"/>
      <c r="E91" s="9"/>
      <c r="F91" s="9"/>
      <c r="G91" s="9"/>
      <c r="H91" s="13">
        <v>8</v>
      </c>
    </row>
    <row r="92" spans="3:8" ht="14.65" x14ac:dyDescent="0.3">
      <c r="C92" s="9"/>
      <c r="D92" s="9"/>
      <c r="E92" s="9"/>
      <c r="F92" s="9"/>
      <c r="G92" s="9"/>
      <c r="H92" s="13">
        <v>6.25</v>
      </c>
    </row>
    <row r="93" spans="3:8" ht="14.65" x14ac:dyDescent="0.3">
      <c r="C93" s="9"/>
      <c r="D93" s="9"/>
      <c r="E93" s="9"/>
      <c r="F93" s="9"/>
      <c r="G93" s="9"/>
      <c r="H93" s="13">
        <v>5</v>
      </c>
    </row>
    <row r="94" spans="3:8" ht="14.65" x14ac:dyDescent="0.3">
      <c r="C94" s="9"/>
      <c r="D94" s="9"/>
      <c r="E94" s="9"/>
      <c r="F94" s="9"/>
      <c r="G94" s="9"/>
      <c r="H94" s="13">
        <v>2.8</v>
      </c>
    </row>
    <row r="95" spans="3:8" ht="14.65" x14ac:dyDescent="0.3">
      <c r="C95" s="9"/>
      <c r="D95" s="9"/>
      <c r="E95" s="9"/>
      <c r="F95" s="9"/>
      <c r="G95" s="9"/>
      <c r="H95" s="13">
        <v>12</v>
      </c>
    </row>
    <row r="96" spans="3:8" ht="14.65" x14ac:dyDescent="0.3">
      <c r="C96" s="9"/>
      <c r="D96" s="9"/>
      <c r="E96" s="9"/>
      <c r="F96" s="9"/>
      <c r="G96" s="9"/>
      <c r="H96" s="13">
        <v>15</v>
      </c>
    </row>
    <row r="97" spans="3:8" ht="14.65" x14ac:dyDescent="0.3">
      <c r="C97" s="9"/>
      <c r="D97" s="9"/>
      <c r="E97" s="9"/>
      <c r="F97" s="9"/>
      <c r="G97" s="9"/>
      <c r="H97" s="13">
        <v>6.75</v>
      </c>
    </row>
    <row r="98" spans="3:8" ht="14.65" x14ac:dyDescent="0.3">
      <c r="C98" s="9"/>
      <c r="D98" s="9"/>
      <c r="E98" s="9"/>
      <c r="F98" s="9"/>
      <c r="G98" s="9"/>
      <c r="H98" s="13">
        <v>8.6</v>
      </c>
    </row>
    <row r="99" spans="3:8" ht="14.65" x14ac:dyDescent="0.3">
      <c r="C99" s="9"/>
      <c r="D99" s="9"/>
      <c r="E99" s="9"/>
      <c r="F99" s="9"/>
      <c r="G99" s="9"/>
      <c r="H99" s="13">
        <v>4.25</v>
      </c>
    </row>
    <row r="100" spans="3:8" ht="14.65" x14ac:dyDescent="0.3">
      <c r="C100" s="9"/>
      <c r="D100" s="9"/>
      <c r="E100" s="9"/>
      <c r="F100" s="9"/>
      <c r="G100" s="9"/>
      <c r="H100" s="13">
        <v>9.6666666666666696</v>
      </c>
    </row>
    <row r="101" spans="3:8" ht="14.65" x14ac:dyDescent="0.3">
      <c r="C101" s="9"/>
      <c r="D101" s="9"/>
      <c r="E101" s="9"/>
      <c r="F101" s="9"/>
      <c r="G101" s="9"/>
      <c r="H101" s="13">
        <v>6.2</v>
      </c>
    </row>
    <row r="102" spans="3:8" ht="14.65" x14ac:dyDescent="0.3">
      <c r="C102" s="9"/>
      <c r="D102" s="9"/>
      <c r="E102" s="9"/>
      <c r="F102" s="9"/>
      <c r="G102" s="9"/>
      <c r="H102" s="13">
        <v>22.5</v>
      </c>
    </row>
    <row r="103" spans="3:8" ht="14.65" x14ac:dyDescent="0.3">
      <c r="C103" s="9"/>
      <c r="D103" s="9"/>
      <c r="E103" s="9"/>
      <c r="F103" s="9"/>
      <c r="G103" s="9"/>
      <c r="H103" s="13">
        <v>6</v>
      </c>
    </row>
    <row r="104" spans="3:8" ht="14.65" x14ac:dyDescent="0.3">
      <c r="C104" s="9"/>
      <c r="D104" s="9"/>
      <c r="E104" s="9"/>
      <c r="F104" s="9"/>
      <c r="G104" s="9"/>
      <c r="H104" s="13">
        <v>3</v>
      </c>
    </row>
    <row r="105" spans="3:8" ht="14.65" x14ac:dyDescent="0.3">
      <c r="C105" s="9"/>
      <c r="D105" s="9"/>
      <c r="E105" s="9"/>
      <c r="F105" s="9"/>
      <c r="G105" s="9"/>
      <c r="H105" s="13">
        <v>21.5</v>
      </c>
    </row>
    <row r="106" spans="3:8" ht="14.65" x14ac:dyDescent="0.3">
      <c r="C106" s="9"/>
      <c r="D106" s="9"/>
      <c r="E106" s="9"/>
      <c r="F106" s="9"/>
      <c r="G106" s="9"/>
      <c r="H106" s="13">
        <v>4.3333333333333304</v>
      </c>
    </row>
    <row r="107" spans="3:8" ht="14.65" x14ac:dyDescent="0.3">
      <c r="C107" s="9"/>
      <c r="D107" s="9"/>
      <c r="E107" s="9"/>
      <c r="F107" s="9"/>
      <c r="G107" s="9"/>
      <c r="H107" s="13">
        <v>14.6666666666667</v>
      </c>
    </row>
    <row r="108" spans="3:8" ht="14.65" x14ac:dyDescent="0.3">
      <c r="C108" s="9"/>
      <c r="D108" s="9"/>
      <c r="E108" s="9"/>
      <c r="F108" s="9"/>
      <c r="G108" s="9"/>
      <c r="H108" s="13">
        <v>15</v>
      </c>
    </row>
    <row r="109" spans="3:8" ht="14.65" x14ac:dyDescent="0.3">
      <c r="C109" s="9"/>
      <c r="D109" s="9"/>
      <c r="E109" s="9"/>
      <c r="F109" s="9"/>
      <c r="G109" s="9"/>
      <c r="H109" s="13">
        <v>12</v>
      </c>
    </row>
    <row r="110" spans="3:8" ht="14.65" x14ac:dyDescent="0.3">
      <c r="C110" s="9"/>
      <c r="D110" s="9"/>
      <c r="E110" s="9"/>
      <c r="F110" s="9"/>
      <c r="G110" s="9"/>
      <c r="H110" s="13">
        <v>5.5</v>
      </c>
    </row>
    <row r="111" spans="3:8" ht="14.65" x14ac:dyDescent="0.3">
      <c r="C111" s="9"/>
      <c r="D111" s="9"/>
      <c r="E111" s="9"/>
      <c r="F111" s="9"/>
      <c r="G111" s="9"/>
      <c r="H111" s="13">
        <v>17.5</v>
      </c>
    </row>
    <row r="112" spans="3:8" ht="14.65" x14ac:dyDescent="0.3">
      <c r="C112" s="9"/>
      <c r="D112" s="9"/>
      <c r="E112" s="9"/>
      <c r="F112" s="9"/>
      <c r="G112" s="9"/>
      <c r="H112" s="13">
        <v>24</v>
      </c>
    </row>
    <row r="113" spans="3:8" ht="14.65" x14ac:dyDescent="0.3">
      <c r="C113" s="9"/>
      <c r="D113" s="9"/>
      <c r="E113" s="9"/>
      <c r="F113" s="9"/>
      <c r="G113" s="9"/>
      <c r="H113" s="13">
        <v>16.5</v>
      </c>
    </row>
    <row r="114" spans="3:8" ht="14.65" x14ac:dyDescent="0.3">
      <c r="C114" s="9"/>
      <c r="D114" s="9"/>
      <c r="E114" s="9"/>
      <c r="F114" s="9"/>
      <c r="G114" s="9"/>
      <c r="H114" s="13">
        <v>21.5</v>
      </c>
    </row>
    <row r="115" spans="3:8" ht="14.65" x14ac:dyDescent="0.3">
      <c r="C115" s="9"/>
      <c r="D115" s="9"/>
      <c r="E115" s="9"/>
      <c r="F115" s="9"/>
      <c r="G115" s="9"/>
      <c r="H115" s="13">
        <v>8</v>
      </c>
    </row>
    <row r="116" spans="3:8" ht="14.65" x14ac:dyDescent="0.3">
      <c r="C116" s="9"/>
      <c r="D116" s="9"/>
      <c r="E116" s="9"/>
      <c r="F116" s="9"/>
      <c r="G116" s="9"/>
      <c r="H116" s="13">
        <v>11</v>
      </c>
    </row>
    <row r="117" spans="3:8" ht="14.65" x14ac:dyDescent="0.3">
      <c r="C117" s="9"/>
      <c r="D117" s="9"/>
      <c r="E117" s="9"/>
      <c r="F117" s="9"/>
      <c r="G117" s="9"/>
      <c r="H117" s="13">
        <v>10.6666666666667</v>
      </c>
    </row>
    <row r="118" spans="3:8" ht="14.65" x14ac:dyDescent="0.3">
      <c r="C118" s="9"/>
      <c r="D118" s="9"/>
      <c r="E118" s="9"/>
      <c r="F118" s="9"/>
      <c r="G118" s="9"/>
      <c r="H118" s="13">
        <v>3.5</v>
      </c>
    </row>
    <row r="119" spans="3:8" ht="14.65" x14ac:dyDescent="0.3">
      <c r="C119" s="9"/>
      <c r="D119" s="9"/>
      <c r="E119" s="9"/>
      <c r="F119" s="9"/>
      <c r="G119" s="9"/>
      <c r="H119" s="13">
        <v>3.75</v>
      </c>
    </row>
    <row r="120" spans="3:8" ht="14.65" x14ac:dyDescent="0.3">
      <c r="C120" s="9"/>
      <c r="D120" s="9"/>
      <c r="E120" s="9"/>
      <c r="F120" s="9"/>
      <c r="G120" s="9"/>
      <c r="H120" s="13">
        <v>5.3333333333333304</v>
      </c>
    </row>
    <row r="121" spans="3:8" ht="14.65" x14ac:dyDescent="0.3">
      <c r="C121" s="9"/>
      <c r="D121" s="9"/>
      <c r="E121" s="9"/>
      <c r="F121" s="9"/>
      <c r="G121" s="9"/>
      <c r="H121" s="13">
        <v>13</v>
      </c>
    </row>
    <row r="122" spans="3:8" ht="14.65" x14ac:dyDescent="0.3">
      <c r="C122" s="9"/>
      <c r="D122" s="9"/>
      <c r="E122" s="9"/>
      <c r="F122" s="9"/>
      <c r="G122" s="9"/>
      <c r="H122" s="13">
        <v>9.4</v>
      </c>
    </row>
    <row r="123" spans="3:8" ht="14.65" x14ac:dyDescent="0.3">
      <c r="C123" s="9"/>
      <c r="D123" s="9"/>
      <c r="E123" s="9"/>
      <c r="F123" s="9"/>
      <c r="G123" s="9"/>
      <c r="H123" s="13">
        <v>8.75</v>
      </c>
    </row>
    <row r="124" spans="3:8" ht="14.65" x14ac:dyDescent="0.3">
      <c r="C124" s="9"/>
      <c r="D124" s="9"/>
      <c r="E124" s="9"/>
      <c r="F124" s="9"/>
      <c r="G124" s="9"/>
      <c r="H124" s="13">
        <v>24.5</v>
      </c>
    </row>
    <row r="125" spans="3:8" ht="14.65" x14ac:dyDescent="0.3">
      <c r="C125" s="9"/>
      <c r="D125" s="9"/>
      <c r="E125" s="9"/>
      <c r="F125" s="9"/>
      <c r="G125" s="9"/>
      <c r="H125" s="13">
        <v>15</v>
      </c>
    </row>
    <row r="126" spans="3:8" ht="14.65" x14ac:dyDescent="0.3">
      <c r="C126" s="9"/>
      <c r="D126" s="9"/>
      <c r="E126" s="9"/>
      <c r="F126" s="9"/>
      <c r="G126" s="9"/>
      <c r="H126" s="13">
        <v>11.6666666666667</v>
      </c>
    </row>
    <row r="127" spans="3:8" ht="14.65" x14ac:dyDescent="0.3">
      <c r="C127" s="9"/>
      <c r="D127" s="9"/>
      <c r="E127" s="9"/>
      <c r="F127" s="9"/>
      <c r="G127" s="9"/>
      <c r="H127" s="13">
        <v>6.6666666666666696</v>
      </c>
    </row>
    <row r="128" spans="3:8" ht="14.65" x14ac:dyDescent="0.3">
      <c r="C128" s="9"/>
      <c r="D128" s="9"/>
      <c r="E128" s="9"/>
      <c r="F128" s="9"/>
      <c r="G128" s="9"/>
      <c r="H128" s="13">
        <v>10.5</v>
      </c>
    </row>
    <row r="129" spans="3:8" ht="14.65" x14ac:dyDescent="0.3">
      <c r="C129" s="9"/>
      <c r="D129" s="9"/>
      <c r="E129" s="9"/>
      <c r="F129" s="9"/>
      <c r="G129" s="9"/>
      <c r="H129" s="13">
        <v>8.4</v>
      </c>
    </row>
    <row r="130" spans="3:8" ht="14.65" x14ac:dyDescent="0.3">
      <c r="C130" s="9"/>
      <c r="D130" s="9"/>
      <c r="E130" s="9"/>
      <c r="F130" s="9"/>
      <c r="G130" s="9"/>
      <c r="H130" s="13">
        <v>9</v>
      </c>
    </row>
    <row r="131" spans="3:8" ht="14.65" x14ac:dyDescent="0.3">
      <c r="C131" s="9"/>
      <c r="D131" s="9"/>
      <c r="E131" s="9"/>
      <c r="F131" s="9"/>
      <c r="G131" s="9"/>
      <c r="H131" s="13">
        <v>24.5</v>
      </c>
    </row>
    <row r="132" spans="3:8" ht="14.65" x14ac:dyDescent="0.3">
      <c r="C132" s="9"/>
      <c r="D132" s="9"/>
      <c r="E132" s="9"/>
      <c r="F132" s="9"/>
      <c r="G132" s="9"/>
      <c r="H132" s="13">
        <v>7.4</v>
      </c>
    </row>
    <row r="133" spans="3:8" ht="14.65" x14ac:dyDescent="0.3">
      <c r="C133" s="9"/>
      <c r="D133" s="9"/>
      <c r="E133" s="9"/>
      <c r="F133" s="9"/>
      <c r="G133" s="9"/>
      <c r="H133" s="13">
        <v>6.3333333333333304</v>
      </c>
    </row>
    <row r="134" spans="3:8" ht="14.65" x14ac:dyDescent="0.3">
      <c r="C134" s="9"/>
      <c r="D134" s="9"/>
      <c r="E134" s="9"/>
      <c r="F134" s="9"/>
      <c r="G134" s="9"/>
      <c r="H134" s="13">
        <v>6.4</v>
      </c>
    </row>
    <row r="135" spans="3:8" ht="14.65" x14ac:dyDescent="0.3">
      <c r="C135" s="9"/>
      <c r="D135" s="9"/>
      <c r="E135" s="9"/>
      <c r="F135" s="9"/>
      <c r="G135" s="9"/>
      <c r="H135" s="13">
        <v>6</v>
      </c>
    </row>
    <row r="136" spans="3:8" ht="14.65" x14ac:dyDescent="0.3">
      <c r="C136" s="9"/>
      <c r="D136" s="9"/>
      <c r="E136" s="9"/>
      <c r="F136" s="9"/>
      <c r="G136" s="9"/>
      <c r="H136" s="13">
        <v>5.25</v>
      </c>
    </row>
    <row r="137" spans="3:8" ht="14.65" x14ac:dyDescent="0.3">
      <c r="C137" s="9"/>
      <c r="D137" s="9"/>
      <c r="E137" s="9"/>
      <c r="F137" s="9"/>
      <c r="G137" s="9"/>
      <c r="H137" s="13">
        <v>9.5</v>
      </c>
    </row>
    <row r="138" spans="3:8" ht="14.65" x14ac:dyDescent="0.3">
      <c r="C138" s="9"/>
      <c r="D138" s="9"/>
      <c r="E138" s="9"/>
      <c r="F138" s="9"/>
      <c r="G138" s="9"/>
      <c r="H138" s="13">
        <v>15.5</v>
      </c>
    </row>
    <row r="139" spans="3:8" ht="14.65" x14ac:dyDescent="0.3">
      <c r="C139" s="9"/>
      <c r="D139" s="9"/>
      <c r="E139" s="9"/>
      <c r="F139" s="9"/>
      <c r="G139" s="9"/>
      <c r="H139" s="13">
        <v>10</v>
      </c>
    </row>
    <row r="140" spans="3:8" ht="14.65" x14ac:dyDescent="0.3">
      <c r="C140" s="9"/>
      <c r="D140" s="9"/>
      <c r="E140" s="9"/>
      <c r="F140" s="9"/>
      <c r="G140" s="9"/>
      <c r="H140" s="13">
        <v>9.5</v>
      </c>
    </row>
    <row r="141" spans="3:8" ht="14.65" x14ac:dyDescent="0.3">
      <c r="C141" s="9"/>
      <c r="D141" s="9"/>
      <c r="E141" s="9"/>
      <c r="F141" s="9"/>
      <c r="G141" s="9"/>
      <c r="H141" s="13">
        <v>9</v>
      </c>
    </row>
    <row r="142" spans="3:8" ht="14.65" x14ac:dyDescent="0.3">
      <c r="C142" s="9"/>
      <c r="D142" s="9"/>
      <c r="E142" s="9"/>
      <c r="F142" s="9"/>
      <c r="G142" s="9"/>
      <c r="H142" s="13">
        <v>22.5</v>
      </c>
    </row>
  </sheetData>
  <mergeCells count="1">
    <mergeCell ref="B12:C18"/>
  </mergeCells>
  <phoneticPr fontId="9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Chen 陈荣兴</dc:creator>
  <cp:lastModifiedBy>Windows 用户</cp:lastModifiedBy>
  <dcterms:created xsi:type="dcterms:W3CDTF">2012-09-30T06:16:00Z</dcterms:created>
  <dcterms:modified xsi:type="dcterms:W3CDTF">2021-03-16T02:23:00Z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
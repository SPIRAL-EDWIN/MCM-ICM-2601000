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pple\Desktop\模板\234套HR必备Excel图表模板资源包\7-折线图\"/>
    </mc:Choice>
  </mc:AlternateContent>
  <xr:revisionPtr revIDLastSave="0" documentId="13_ncr:1_{63F2C202-DB5E-4198-BC59-8E1B40C52E12}" xr6:coauthVersionLast="46" xr6:coauthVersionMax="46" xr10:uidLastSave="{00000000-0000-0000-0000-000000000000}"/>
  <bookViews>
    <workbookView xWindow="-98" yWindow="-98" windowWidth="19396" windowHeight="11596" xr2:uid="{00000000-000D-0000-FFFF-FFFF00000000}"/>
  </bookViews>
  <sheets>
    <sheet name="案例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8" i="1" l="1"/>
  <c r="C5" i="1"/>
  <c r="C19" i="1"/>
  <c r="C20" i="1"/>
  <c r="D22" i="1"/>
  <c r="C10" i="1"/>
  <c r="C22" i="1"/>
  <c r="D21" i="1"/>
  <c r="D20" i="1"/>
  <c r="E19" i="1"/>
  <c r="D19" i="1"/>
  <c r="E18" i="1"/>
  <c r="D18" i="1"/>
  <c r="C17" i="1"/>
  <c r="E17" i="1"/>
  <c r="D17" i="1"/>
  <c r="D16" i="1"/>
  <c r="D13" i="1"/>
  <c r="D12" i="1"/>
  <c r="E11" i="1"/>
  <c r="D11" i="1"/>
  <c r="D10" i="1"/>
  <c r="E6" i="1"/>
  <c r="F6" i="1"/>
  <c r="G6" i="1"/>
  <c r="E5" i="1"/>
  <c r="F5" i="1"/>
  <c r="G5" i="1"/>
</calcChain>
</file>

<file path=xl/sharedStrings.xml><?xml version="1.0" encoding="utf-8"?>
<sst xmlns="http://schemas.openxmlformats.org/spreadsheetml/2006/main" count="23" uniqueCount="21">
  <si>
    <t>销售单价</t>
  </si>
  <si>
    <t>销售量</t>
  </si>
  <si>
    <t>边际贡献</t>
  </si>
  <si>
    <t>固定成本</t>
  </si>
  <si>
    <t>利润</t>
  </si>
  <si>
    <t>单位可变成本</t>
  </si>
  <si>
    <t>直接人工</t>
  </si>
  <si>
    <t>直接材料</t>
  </si>
  <si>
    <t>可变制造费</t>
  </si>
  <si>
    <t>盈亏点销量垂直参考线：</t>
  </si>
  <si>
    <t>单位边际贡献</t>
  </si>
  <si>
    <t>固定成本：</t>
  </si>
  <si>
    <t>管理人员工资</t>
  </si>
  <si>
    <t>资产折旧</t>
  </si>
  <si>
    <t>固定销售费用</t>
  </si>
  <si>
    <t>当前销量垂直参考线：</t>
  </si>
  <si>
    <t>销量</t>
  </si>
  <si>
    <t>销售收入</t>
  </si>
  <si>
    <t>总成本</t>
  </si>
  <si>
    <t>盈亏平衡销量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</si>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</sst>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name val="宋体"/>
      <charset val="134"/>
    </font>
    <font>
      <sz val="10"/>
      <name val="宋体"/>
      <family val="3"/>
      <charset val="134"/>
    </font>
    <font>
      <u/>
      <sz val="12"/>
      <color indexed="12"/>
      <name val="宋体"/>
      <family val="3"/>
      <charset val="134"/>
    </font>
    <font>
      <sz val="10"/>
      <name val="微软雅黑"/>
      <family val="2"/>
      <charset val="134"/>
    </font>
    <font>
      <sz val="10"/>
      <color theme="0"/>
      <name val="微软雅黑"/>
      <family val="2"/>
      <charset val="134"/>
    </font>
    <font>
      <b/>
      <sz val="11"/>
      <color indexed="60"/>
      <name val="宋体"/>
      <family val="3"/>
      <charset val="134"/>
    </font>
    <font>
      <b/>
      <u/>
      <sz val="11"/>
      <color indexed="12"/>
      <name val="宋体"/>
      <family val="3"/>
      <charset val="134"/>
    </font>
    <font>
      <b/>
      <sz val="11"/>
      <color indexed="12"/>
      <name val="黑体"/>
      <family val="3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>
      <alignment vertical="center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Border="1">
      <alignment vertical="center"/>
    </xf>
    <xf numFmtId="0" fontId="2" fillId="0" borderId="0" xfId="1" applyAlignment="1" applyProtection="1">
      <alignment vertical="center"/>
    </xf>
    <xf numFmtId="0" fontId="3" fillId="0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6" fillId="0" borderId="0" xfId="1" applyFont="1" applyFill="1" applyBorder="1" applyAlignment="1" applyProtection="1">
      <alignment horizontal="left" vertical="center"/>
    </xf>
    <xf numFmtId="0" fontId="7" fillId="0" borderId="0" xfId="0" applyFont="1" applyFill="1" applyBorder="1" applyAlignment="1">
      <alignment horizontal="lef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lang="zh-CN" altLang="en-US" sz="1800" b="1" i="0" u="none" strike="noStrike" baseline="0">
                <a:solidFill>
                  <a:srgbClr val="000000"/>
                </a:solidFill>
                <a:latin typeface="黑体" panose="02010609060101010101" charset="-122"/>
                <a:ea typeface="黑体" panose="02010609060101010101" charset="-122"/>
              </a:rPr>
              <a:t>盈 亏 平 衡 分 析</a:t>
            </a:r>
          </a:p>
        </c:rich>
      </c:tx>
      <c:layout>
        <c:manualLayout>
          <c:xMode val="edge"/>
          <c:yMode val="edge"/>
          <c:x val="0.37248322147650997"/>
          <c:y val="3.418803418803419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255033557047"/>
          <c:y val="0.196581743516692"/>
          <c:w val="0.79865771812080499"/>
          <c:h val="0.67141679939580201"/>
        </c:manualLayout>
      </c:layout>
      <c:scatterChart>
        <c:scatterStyle val="lineMarker"/>
        <c:varyColors val="0"/>
        <c:ser>
          <c:idx val="0"/>
          <c:order val="0"/>
          <c:tx>
            <c:strRef>
              <c:f>案例!$E$4</c:f>
              <c:strCache>
                <c:ptCount val="1"/>
                <c:pt idx="0">
                  <c:v>边际贡献</c:v>
                </c:pt>
              </c:strCache>
            </c:strRef>
          </c:tx>
          <c:spPr>
            <a:ln w="25400" cap="rnd" cmpd="sng" algn="ctr">
              <a:solidFill>
                <a:srgbClr val="0000FF"/>
              </a:solidFill>
              <a:prstDash val="solid"/>
              <a:round/>
            </a:ln>
          </c:spPr>
          <c:marker>
            <c:symbol val="none"/>
          </c:marker>
          <c:xVal>
            <c:numRef>
              <c:f>案例!$D$5:$D$6</c:f>
              <c:numCache>
                <c:formatCode>General</c:formatCode>
                <c:ptCount val="2"/>
                <c:pt idx="0">
                  <c:v>0</c:v>
                </c:pt>
                <c:pt idx="1">
                  <c:v>1500</c:v>
                </c:pt>
              </c:numCache>
            </c:numRef>
          </c:xVal>
          <c:yVal>
            <c:numRef>
              <c:f>案例!$E$5:$E$6</c:f>
              <c:numCache>
                <c:formatCode>General</c:formatCode>
                <c:ptCount val="2"/>
                <c:pt idx="0">
                  <c:v>0</c:v>
                </c:pt>
                <c:pt idx="1">
                  <c:v>105000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EE-4731-BBCB-C88926826FFD}"/>
            </c:ext>
          </c:extLst>
        </c:ser>
        <c:ser>
          <c:idx val="1"/>
          <c:order val="1"/>
          <c:tx>
            <c:strRef>
              <c:f>案例!$F$4</c:f>
              <c:strCache>
                <c:ptCount val="1"/>
                <c:pt idx="0">
                  <c:v>固定成本</c:v>
                </c:pt>
              </c:strCache>
            </c:strRef>
          </c:tx>
          <c:spPr>
            <a:ln w="25400" cap="rnd" cmpd="sng" algn="ctr">
              <a:solidFill>
                <a:srgbClr val="FF9900"/>
              </a:solidFill>
              <a:prstDash val="solid"/>
              <a:round/>
            </a:ln>
          </c:spPr>
          <c:marker>
            <c:symbol val="none"/>
          </c:marker>
          <c:xVal>
            <c:numRef>
              <c:f>案例!$D$5:$D$6</c:f>
              <c:numCache>
                <c:formatCode>General</c:formatCode>
                <c:ptCount val="2"/>
                <c:pt idx="0">
                  <c:v>0</c:v>
                </c:pt>
                <c:pt idx="1">
                  <c:v>1500</c:v>
                </c:pt>
              </c:numCache>
            </c:numRef>
          </c:xVal>
          <c:yVal>
            <c:numRef>
              <c:f>案例!$F$5:$F$6</c:f>
              <c:numCache>
                <c:formatCode>General</c:formatCode>
                <c:ptCount val="2"/>
                <c:pt idx="0">
                  <c:v>52000</c:v>
                </c:pt>
                <c:pt idx="1">
                  <c:v>52000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CEE-4731-BBCB-C88926826FFD}"/>
            </c:ext>
          </c:extLst>
        </c:ser>
        <c:ser>
          <c:idx val="2"/>
          <c:order val="2"/>
          <c:tx>
            <c:strRef>
              <c:f>案例!$G$4</c:f>
              <c:strCache>
                <c:ptCount val="1"/>
                <c:pt idx="0">
                  <c:v>利润</c:v>
                </c:pt>
              </c:strCache>
            </c:strRef>
          </c:tx>
          <c:spPr>
            <a:ln w="25400" cap="rnd" cmpd="sng" algn="ctr">
              <a:solidFill>
                <a:srgbClr val="FFFF00"/>
              </a:solidFill>
              <a:prstDash val="solid"/>
              <a:round/>
            </a:ln>
          </c:spPr>
          <c:marker>
            <c:symbol val="none"/>
          </c:marker>
          <c:xVal>
            <c:numRef>
              <c:f>案例!$D$5:$D$6</c:f>
              <c:numCache>
                <c:formatCode>General</c:formatCode>
                <c:ptCount val="2"/>
                <c:pt idx="0">
                  <c:v>0</c:v>
                </c:pt>
                <c:pt idx="1">
                  <c:v>1500</c:v>
                </c:pt>
              </c:numCache>
            </c:numRef>
          </c:xVal>
          <c:yVal>
            <c:numRef>
              <c:f>案例!$G$5:$G$6</c:f>
              <c:numCache>
                <c:formatCode>General</c:formatCode>
                <c:ptCount val="2"/>
                <c:pt idx="0">
                  <c:v>-52000</c:v>
                </c:pt>
                <c:pt idx="1">
                  <c:v>53000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CEE-4731-BBCB-C88926826FFD}"/>
            </c:ext>
          </c:extLst>
        </c:ser>
        <c:ser>
          <c:idx val="3"/>
          <c:order val="3"/>
          <c:spPr>
            <a:ln w="25400" cap="rnd" cmpd="sng" algn="ctr">
              <a:solidFill>
                <a:srgbClr val="993366"/>
              </a:solidFill>
              <a:prstDash val="solid"/>
              <a:round/>
            </a:ln>
          </c:spPr>
          <c:marker>
            <c:symbol val="square"/>
            <c:size val="5"/>
            <c:spPr>
              <a:solidFill>
                <a:srgbClr val="FFFFFF"/>
              </a:solidFill>
              <a:ln w="6350" cap="flat" cmpd="sng" algn="ctr">
                <a:solidFill>
                  <a:srgbClr val="FF0000"/>
                </a:solidFill>
                <a:prstDash val="solid"/>
                <a:round/>
              </a:ln>
            </c:spPr>
          </c:marker>
          <c:dPt>
            <c:idx val="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3-1CEE-4731-BBCB-C88926826FFD}"/>
              </c:ext>
            </c:extLst>
          </c:dPt>
          <c:dPt>
            <c:idx val="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4-1CEE-4731-BBCB-C88926826FFD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CEE-4731-BBCB-C88926826FFD}"/>
                </c:ext>
              </c:extLst>
            </c:dLbl>
            <c:dLbl>
              <c:idx val="1"/>
              <c:layout>
                <c:manualLayout>
                  <c:x val="-9.7651006711409402E-2"/>
                  <c:y val="-4.6676299995981503E-2"/>
                </c:manualLayout>
              </c:layout>
              <c:spPr>
                <a:solidFill>
                  <a:srgbClr val="FFFFFF"/>
                </a:solidFill>
                <a:ln w="3175">
                  <a:solidFill>
                    <a:srgbClr val="000000"/>
                  </a:solidFill>
                  <a:prstDash val="solid"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0" i="0" u="none" strike="noStrike" kern="1200" baseline="0">
                      <a:solidFill>
                        <a:srgbClr val="000000"/>
                      </a:solidFill>
                      <a:latin typeface="宋体" panose="02010600030101010101" pitchFamily="7" charset="-122"/>
                      <a:ea typeface="宋体" panose="02010600030101010101" pitchFamily="7" charset="-122"/>
                      <a:cs typeface="宋体" panose="02010600030101010101" pitchFamily="7" charset="-122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CEE-4731-BBCB-C88926826FFD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CEE-4731-BBCB-C88926826FFD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CEE-4731-BBCB-C88926826FF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200" b="0" i="0" u="none" strike="noStrike" kern="1200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endParaRPr lang="zh-CN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案例!$D$10:$D$13</c:f>
              <c:numCache>
                <c:formatCode>General</c:formatCode>
                <c:ptCount val="4"/>
                <c:pt idx="0">
                  <c:v>742.85714285714289</c:v>
                </c:pt>
                <c:pt idx="1">
                  <c:v>742.85714285714289</c:v>
                </c:pt>
                <c:pt idx="2">
                  <c:v>742.85714285714289</c:v>
                </c:pt>
                <c:pt idx="3">
                  <c:v>742.85714285714289</c:v>
                </c:pt>
              </c:numCache>
            </c:numRef>
          </c:xVal>
          <c:yVal>
            <c:numRef>
              <c:f>案例!$E$10:$E$13</c:f>
              <c:numCache>
                <c:formatCode>General</c:formatCode>
                <c:ptCount val="4"/>
                <c:pt idx="0">
                  <c:v>150000</c:v>
                </c:pt>
                <c:pt idx="1">
                  <c:v>52000</c:v>
                </c:pt>
                <c:pt idx="2">
                  <c:v>0</c:v>
                </c:pt>
                <c:pt idx="3">
                  <c:v>-50000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CEE-4731-BBCB-C88926826FFD}"/>
            </c:ext>
          </c:extLst>
        </c:ser>
        <c:ser>
          <c:idx val="4"/>
          <c:order val="4"/>
          <c:spPr>
            <a:ln w="25400" cap="rnd" cmpd="sng" algn="ctr">
              <a:solidFill>
                <a:srgbClr val="00CCFF"/>
              </a:solidFill>
              <a:prstDash val="solid"/>
              <a:round/>
            </a:ln>
          </c:spPr>
          <c:marker>
            <c:symbol val="square"/>
            <c:size val="5"/>
            <c:spPr>
              <a:solidFill>
                <a:srgbClr val="FFFFFF"/>
              </a:solidFill>
              <a:ln w="6350" cap="flat" cmpd="sng" algn="ctr">
                <a:solidFill>
                  <a:srgbClr val="FF0000"/>
                </a:solidFill>
                <a:prstDash val="solid"/>
                <a:round/>
              </a:ln>
            </c:spPr>
          </c:marker>
          <c:dPt>
            <c:idx val="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8-1CEE-4731-BBCB-C88926826FFD}"/>
              </c:ext>
            </c:extLst>
          </c:dPt>
          <c:dPt>
            <c:idx val="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9-1CEE-4731-BBCB-C88926826FFD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CEE-4731-BBCB-C88926826FFD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CEE-4731-BBCB-C88926826FFD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CEE-4731-BBCB-C88926826FFD}"/>
                </c:ext>
              </c:extLst>
            </c:dLbl>
            <c:dLbl>
              <c:idx val="3"/>
              <c:layout>
                <c:manualLayout>
                  <c:x val="-1.1185682326622099E-3"/>
                  <c:y val="-5.45822627013016E-2"/>
                </c:manualLayout>
              </c:layout>
              <c:spPr>
                <a:solidFill>
                  <a:srgbClr val="FFFFFF"/>
                </a:solidFill>
                <a:ln w="3175">
                  <a:solidFill>
                    <a:srgbClr val="000000"/>
                  </a:solidFill>
                  <a:prstDash val="solid"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0" i="0" u="none" strike="noStrike" kern="1200" baseline="0">
                      <a:solidFill>
                        <a:srgbClr val="000000"/>
                      </a:solidFill>
                      <a:latin typeface="宋体" panose="02010600030101010101" pitchFamily="7" charset="-122"/>
                      <a:ea typeface="宋体" panose="02010600030101010101" pitchFamily="7" charset="-122"/>
                      <a:cs typeface="宋体" panose="02010600030101010101" pitchFamily="7" charset="-122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1CEE-4731-BBCB-C88926826FFD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CEE-4731-BBCB-C88926826FF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200" b="0" i="0" u="none" strike="noStrike" kern="1200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endParaRPr lang="zh-CN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案例!$D$16:$D$20</c:f>
              <c:numCache>
                <c:formatCode>General</c:formatCode>
                <c:ptCount val="5"/>
                <c:pt idx="0">
                  <c:v>950</c:v>
                </c:pt>
                <c:pt idx="1">
                  <c:v>950</c:v>
                </c:pt>
                <c:pt idx="2">
                  <c:v>950</c:v>
                </c:pt>
                <c:pt idx="3">
                  <c:v>950</c:v>
                </c:pt>
                <c:pt idx="4">
                  <c:v>950</c:v>
                </c:pt>
              </c:numCache>
            </c:numRef>
          </c:xVal>
          <c:yVal>
            <c:numRef>
              <c:f>案例!$E$16:$E$20</c:f>
              <c:numCache>
                <c:formatCode>General</c:formatCode>
                <c:ptCount val="5"/>
                <c:pt idx="0">
                  <c:v>150000</c:v>
                </c:pt>
                <c:pt idx="1">
                  <c:v>66500</c:v>
                </c:pt>
                <c:pt idx="2">
                  <c:v>52000</c:v>
                </c:pt>
                <c:pt idx="3">
                  <c:v>14500</c:v>
                </c:pt>
                <c:pt idx="4">
                  <c:v>-50000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1CEE-4731-BBCB-C88926826F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668672"/>
        <c:axId val="54695040"/>
      </c:scatterChart>
      <c:valAx>
        <c:axId val="54668672"/>
        <c:scaling>
          <c:orientation val="minMax"/>
          <c:max val="1500"/>
          <c:min val="0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endParaRPr lang="zh-CN"/>
          </a:p>
        </c:txPr>
        <c:crossAx val="54695040"/>
        <c:crosses val="autoZero"/>
        <c:crossBetween val="midCat"/>
        <c:majorUnit val="200"/>
      </c:valAx>
      <c:valAx>
        <c:axId val="54695040"/>
        <c:scaling>
          <c:orientation val="minMax"/>
          <c:max val="150000"/>
          <c:min val="-5000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endParaRPr lang="zh-CN"/>
          </a:p>
        </c:txPr>
        <c:crossAx val="54668672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21476510067114099"/>
          <c:y val="0.93447562644412996"/>
          <c:w val="0.63590604026845599"/>
          <c:h val="5.128205128205130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101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rgbClr val="FFFFFF"/>
    </a:solidFill>
    <a:ln w="3175" cap="flat" cmpd="sng" algn="ctr">
      <a:solidFill>
        <a:srgbClr val="000000"/>
      </a:solidFill>
      <a:prstDash val="solid"/>
      <a:round/>
    </a:ln>
  </c:spPr>
  <c:txPr>
    <a:bodyPr/>
    <a:lstStyle/>
    <a:p>
      <a:pPr>
        <a:defRPr lang="zh-CN" sz="12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trlProps/ctrlProp1.xml><?xml version="1.0" encoding="utf-8"?>
<formControlPr xmlns="http://schemas.microsoft.com/office/spreadsheetml/2009/9/main" objectType="Spin" dx="16" fmlaLink="$C$4" inc="5" max="300" min="50" page="10" val="105"/>
</file>

<file path=xl/ctrlProps/ctrlProp2.xml><?xml version="1.0" encoding="utf-8"?>
<formControlPr xmlns="http://schemas.microsoft.com/office/spreadsheetml/2009/9/main" objectType="Spin" dx="16" fmlaLink="$C$16" inc="50" max="1500" page="10" val="95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3</xdr:row>
      <xdr:rowOff>28575</xdr:rowOff>
    </xdr:from>
    <xdr:to>
      <xdr:col>15</xdr:col>
      <xdr:colOff>409575</xdr:colOff>
      <xdr:row>24</xdr:row>
      <xdr:rowOff>152400</xdr:rowOff>
    </xdr:to>
    <xdr:grpSp>
      <xdr:nvGrpSpPr>
        <xdr:cNvPr id="1057" name="Group 20"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GrpSpPr/>
      </xdr:nvGrpSpPr>
      <xdr:grpSpPr>
        <a:xfrm>
          <a:off x="5715000" y="514350"/>
          <a:ext cx="5676900" cy="3805238"/>
          <a:chOff x="4" y="307"/>
          <a:chExt cx="596" cy="347"/>
        </a:xfrm>
      </xdr:grpSpPr>
      <xdr:graphicFrame macro="">
        <xdr:nvGraphicFramePr>
          <xdr:cNvPr id="1058" name="图表 14">
            <a:extLst>
              <a:ext uri="{FF2B5EF4-FFF2-40B4-BE49-F238E27FC236}">
                <a16:creationId xmlns:a16="http://schemas.microsoft.com/office/drawing/2014/main" id="{00000000-0008-0000-0000-000022040000}"/>
              </a:ext>
            </a:extLst>
          </xdr:cNvPr>
          <xdr:cNvGraphicFramePr/>
        </xdr:nvGraphicFramePr>
        <xdr:xfrm>
          <a:off x="4" y="307"/>
          <a:ext cx="596" cy="34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39" name="Spinner 15" hidden="1">
                <a:extLst>
                  <a:ext uri="{63B3BB69-23CF-44E3-9099-C40C66FF867C}">
                    <a14:compatExt spid="_x0000_s1039"/>
                  </a:ext>
                  <a:ext uri="{FF2B5EF4-FFF2-40B4-BE49-F238E27FC236}">
                    <a16:creationId xmlns:a16="http://schemas.microsoft.com/office/drawing/2014/main" id="{00000000-0008-0000-0000-00000F040000}"/>
                  </a:ext>
                </a:extLst>
              </xdr:cNvPr>
              <xdr:cNvSpPr/>
            </xdr:nvSpPr>
            <xdr:spPr bwMode="auto">
              <a:xfrm>
                <a:off x="83" y="345"/>
                <a:ext cx="23" cy="2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noFill/>
                  </a14:hiddenFill>
                </a:ex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40" name="Spinner 16" hidden="1">
                <a:extLst>
                  <a:ext uri="{63B3BB69-23CF-44E3-9099-C40C66FF867C}">
                    <a14:compatExt spid="_x0000_s1040"/>
                  </a:ext>
                  <a:ext uri="{FF2B5EF4-FFF2-40B4-BE49-F238E27FC236}">
                    <a16:creationId xmlns:a16="http://schemas.microsoft.com/office/drawing/2014/main" id="{00000000-0008-0000-0000-000010040000}"/>
                  </a:ext>
                </a:extLst>
              </xdr:cNvPr>
              <xdr:cNvSpPr/>
            </xdr:nvSpPr>
            <xdr:spPr bwMode="auto">
              <a:xfrm>
                <a:off x="342" y="346"/>
                <a:ext cx="23" cy="2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noFill/>
                  </a14:hiddenFill>
                </a:ex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xdr:sp macro="" textlink="D21">
        <xdr:nvSpPr>
          <xdr:cNvPr id="1041" name="Rectangle 17">
            <a:extLst>
              <a:ext uri="{FF2B5EF4-FFF2-40B4-BE49-F238E27FC236}">
                <a16:creationId xmlns:a16="http://schemas.microsoft.com/office/drawing/2014/main" id="{00000000-0008-0000-0000-000011040000}"/>
              </a:ext>
            </a:extLst>
          </xdr:cNvPr>
          <xdr:cNvSpPr>
            <a:spLocks noChangeArrowheads="1" noTextEdit="1"/>
          </xdr:cNvSpPr>
        </xdr:nvSpPr>
        <xdr:spPr>
          <a:xfrm>
            <a:off x="108" y="348"/>
            <a:ext cx="208" cy="2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fld id="{6CE56E70-06D2-4DB3-89E6-885FC1CB7A80}" type="TxLink">
              <a:rPr lang="zh-CN" altLang="en-US" sz="10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pPr algn="l" rtl="0">
                <a:defRPr sz="1000"/>
              </a:pPr>
              <a:t>售价=105元，盈亏平衡销量=742.9</a:t>
            </a:fld>
            <a:endParaRPr lang="zh-CN" altLang="en-US" sz="10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endParaRPr>
          </a:p>
        </xdr:txBody>
      </xdr:sp>
      <xdr:sp macro="" textlink="D22">
        <xdr:nvSpPr>
          <xdr:cNvPr id="1042" name="Rectangle 18">
            <a:extLst>
              <a:ext uri="{FF2B5EF4-FFF2-40B4-BE49-F238E27FC236}">
                <a16:creationId xmlns:a16="http://schemas.microsoft.com/office/drawing/2014/main" id="{00000000-0008-0000-0000-000012040000}"/>
              </a:ext>
            </a:extLst>
          </xdr:cNvPr>
          <xdr:cNvSpPr>
            <a:spLocks noChangeArrowheads="1" noTextEdit="1"/>
          </xdr:cNvSpPr>
        </xdr:nvSpPr>
        <xdr:spPr>
          <a:xfrm>
            <a:off x="368" y="348"/>
            <a:ext cx="190" cy="2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fld id="{3D6DFC6B-701A-46C9-9805-BD599F00C6DA}" type="TxLink">
              <a:rPr lang="zh-CN" altLang="en-US" sz="10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pPr algn="l" rtl="0">
                <a:defRPr sz="1000"/>
              </a:pPr>
              <a:t>销量=950时,盈利</a:t>
            </a:fld>
            <a:endParaRPr lang="zh-CN" altLang="en-US" sz="10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30"/>
  <sheetViews>
    <sheetView showGridLines="0" tabSelected="1" workbookViewId="0">
      <selection activeCell="G17" sqref="G17"/>
    </sheetView>
  </sheetViews>
  <sheetFormatPr defaultColWidth="9" defaultRowHeight="12.75" x14ac:dyDescent="0.4"/>
  <cols>
    <col min="1" max="1" width="9" style="2"/>
    <col min="2" max="2" width="12" style="1" customWidth="1"/>
    <col min="3" max="4" width="12.625" style="1"/>
    <col min="5" max="6" width="9" style="1"/>
    <col min="7" max="7" width="7.875" style="1" customWidth="1"/>
    <col min="8" max="16384" width="9" style="2"/>
  </cols>
  <sheetData>
    <row r="1" spans="2:7" ht="12.75" customHeight="1" x14ac:dyDescent="0.4">
      <c r="B1"/>
      <c r="C1" s="3"/>
      <c r="D1"/>
    </row>
    <row r="2" spans="2:7" ht="12.75" customHeight="1" x14ac:dyDescent="0.4">
      <c r="B2"/>
      <c r="C2" s="3"/>
      <c r="D2"/>
    </row>
    <row r="3" spans="2:7" ht="12.75" customHeight="1" x14ac:dyDescent="0.4">
      <c r="B3" s="4"/>
      <c r="C3" s="4"/>
      <c r="D3" s="4"/>
      <c r="E3" s="4"/>
      <c r="F3" s="4"/>
      <c r="G3" s="4"/>
    </row>
    <row r="4" spans="2:7" ht="13.9" x14ac:dyDescent="0.4">
      <c r="B4" s="5" t="s">
        <v>0</v>
      </c>
      <c r="C4" s="4">
        <v>105</v>
      </c>
      <c r="D4" s="5" t="s">
        <v>1</v>
      </c>
      <c r="E4" s="5" t="s">
        <v>2</v>
      </c>
      <c r="F4" s="5" t="s">
        <v>3</v>
      </c>
      <c r="G4" s="5" t="s">
        <v>4</v>
      </c>
    </row>
    <row r="5" spans="2:7" ht="13.9" x14ac:dyDescent="0.4">
      <c r="B5" s="5" t="s">
        <v>5</v>
      </c>
      <c r="C5" s="4">
        <f>SUM(C6:C8)</f>
        <v>35</v>
      </c>
      <c r="D5" s="4">
        <v>0</v>
      </c>
      <c r="E5" s="4">
        <f>D5*C16</f>
        <v>0</v>
      </c>
      <c r="F5" s="4">
        <f>C11</f>
        <v>52000</v>
      </c>
      <c r="G5" s="4">
        <f>E5-F5</f>
        <v>-52000</v>
      </c>
    </row>
    <row r="6" spans="2:7" ht="13.9" x14ac:dyDescent="0.4">
      <c r="B6" s="5" t="s">
        <v>6</v>
      </c>
      <c r="C6" s="4">
        <v>10</v>
      </c>
      <c r="D6" s="4">
        <v>1500</v>
      </c>
      <c r="E6" s="4">
        <f>D6*C10</f>
        <v>105000</v>
      </c>
      <c r="F6" s="4">
        <f>C11</f>
        <v>52000</v>
      </c>
      <c r="G6" s="4">
        <f>E6-F6</f>
        <v>53000</v>
      </c>
    </row>
    <row r="7" spans="2:7" ht="13.9" x14ac:dyDescent="0.4">
      <c r="B7" s="5" t="s">
        <v>7</v>
      </c>
      <c r="C7" s="4">
        <v>15</v>
      </c>
      <c r="D7" s="4"/>
      <c r="E7" s="4"/>
      <c r="F7" s="4"/>
      <c r="G7" s="4"/>
    </row>
    <row r="8" spans="2:7" ht="13.9" x14ac:dyDescent="0.4">
      <c r="B8" s="5" t="s">
        <v>8</v>
      </c>
      <c r="C8" s="4">
        <v>10</v>
      </c>
      <c r="D8" s="4"/>
      <c r="E8" s="4"/>
      <c r="F8" s="4"/>
      <c r="G8" s="4"/>
    </row>
    <row r="9" spans="2:7" ht="13.9" x14ac:dyDescent="0.4">
      <c r="B9" s="4"/>
      <c r="C9" s="4"/>
      <c r="D9" s="4" t="s">
        <v>9</v>
      </c>
      <c r="E9" s="4"/>
      <c r="F9" s="4"/>
      <c r="G9" s="4"/>
    </row>
    <row r="10" spans="2:7" ht="13.9" x14ac:dyDescent="0.4">
      <c r="B10" s="5" t="s">
        <v>10</v>
      </c>
      <c r="C10" s="4">
        <f>C4-C5</f>
        <v>70</v>
      </c>
      <c r="D10" s="4">
        <f t="shared" ref="D10:D13" si="0">C$22</f>
        <v>742.85714285714289</v>
      </c>
      <c r="E10" s="4">
        <v>150000</v>
      </c>
      <c r="F10" s="4"/>
      <c r="G10" s="4"/>
    </row>
    <row r="11" spans="2:7" ht="13.9" x14ac:dyDescent="0.4">
      <c r="B11" s="5" t="s">
        <v>11</v>
      </c>
      <c r="C11" s="4">
        <v>52000</v>
      </c>
      <c r="D11" s="4">
        <f t="shared" si="0"/>
        <v>742.85714285714289</v>
      </c>
      <c r="E11" s="4">
        <f>C11</f>
        <v>52000</v>
      </c>
      <c r="F11" s="4"/>
      <c r="G11" s="4"/>
    </row>
    <row r="12" spans="2:7" ht="13.9" x14ac:dyDescent="0.4">
      <c r="B12" s="5" t="s">
        <v>12</v>
      </c>
      <c r="C12" s="4">
        <v>20000</v>
      </c>
      <c r="D12" s="4">
        <f t="shared" si="0"/>
        <v>742.85714285714289</v>
      </c>
      <c r="E12" s="4">
        <v>0</v>
      </c>
      <c r="F12" s="4"/>
      <c r="G12" s="4"/>
    </row>
    <row r="13" spans="2:7" ht="13.9" x14ac:dyDescent="0.4">
      <c r="B13" s="5" t="s">
        <v>13</v>
      </c>
      <c r="C13" s="4">
        <v>10000</v>
      </c>
      <c r="D13" s="4">
        <f t="shared" si="0"/>
        <v>742.85714285714289</v>
      </c>
      <c r="E13" s="4">
        <v>-50000</v>
      </c>
      <c r="F13" s="4"/>
      <c r="G13" s="4"/>
    </row>
    <row r="14" spans="2:7" ht="13.9" x14ac:dyDescent="0.4">
      <c r="B14" s="5" t="s">
        <v>14</v>
      </c>
      <c r="C14" s="4">
        <v>10000</v>
      </c>
      <c r="D14" s="4"/>
      <c r="E14" s="4"/>
      <c r="F14" s="4"/>
      <c r="G14" s="4"/>
    </row>
    <row r="15" spans="2:7" ht="13.9" x14ac:dyDescent="0.4">
      <c r="B15" s="4"/>
      <c r="C15" s="4"/>
      <c r="D15" s="4" t="s">
        <v>15</v>
      </c>
      <c r="E15" s="4"/>
      <c r="F15" s="4"/>
      <c r="G15" s="4"/>
    </row>
    <row r="16" spans="2:7" ht="13.9" x14ac:dyDescent="0.4">
      <c r="B16" s="5" t="s">
        <v>16</v>
      </c>
      <c r="C16" s="4">
        <v>950</v>
      </c>
      <c r="D16" s="4">
        <f t="shared" ref="D16:D20" si="1">C$16</f>
        <v>950</v>
      </c>
      <c r="E16" s="4">
        <v>150000</v>
      </c>
      <c r="F16" s="4"/>
      <c r="G16" s="4"/>
    </row>
    <row r="17" spans="2:7" ht="13.9" x14ac:dyDescent="0.4">
      <c r="B17" s="5" t="s">
        <v>2</v>
      </c>
      <c r="C17" s="4">
        <f>C10*C16</f>
        <v>66500</v>
      </c>
      <c r="D17" s="4">
        <f t="shared" si="1"/>
        <v>950</v>
      </c>
      <c r="E17" s="4">
        <f>C17</f>
        <v>66500</v>
      </c>
      <c r="F17" s="4"/>
      <c r="G17" s="4"/>
    </row>
    <row r="18" spans="2:7" ht="13.9" x14ac:dyDescent="0.4">
      <c r="B18" s="5" t="s">
        <v>17</v>
      </c>
      <c r="C18" s="4">
        <f>C4*C16</f>
        <v>99750</v>
      </c>
      <c r="D18" s="4">
        <f t="shared" si="1"/>
        <v>950</v>
      </c>
      <c r="E18" s="4">
        <f>C11</f>
        <v>52000</v>
      </c>
      <c r="F18" s="4"/>
      <c r="G18" s="4"/>
    </row>
    <row r="19" spans="2:7" ht="13.9" x14ac:dyDescent="0.4">
      <c r="B19" s="5" t="s">
        <v>18</v>
      </c>
      <c r="C19" s="4">
        <f>C11+C16*C5</f>
        <v>85250</v>
      </c>
      <c r="D19" s="4">
        <f t="shared" si="1"/>
        <v>950</v>
      </c>
      <c r="E19" s="4">
        <f>C20</f>
        <v>14500</v>
      </c>
      <c r="F19" s="4"/>
      <c r="G19" s="4"/>
    </row>
    <row r="20" spans="2:7" ht="13.9" x14ac:dyDescent="0.4">
      <c r="B20" s="5" t="s">
        <v>4</v>
      </c>
      <c r="C20" s="4">
        <f>C18-C19</f>
        <v>14500</v>
      </c>
      <c r="D20" s="4">
        <f t="shared" si="1"/>
        <v>950</v>
      </c>
      <c r="E20" s="4">
        <v>-50000</v>
      </c>
      <c r="F20" s="4"/>
      <c r="G20" s="4"/>
    </row>
    <row r="21" spans="2:7" ht="13.9" x14ac:dyDescent="0.4">
      <c r="B21" s="4"/>
      <c r="C21" s="4"/>
      <c r="D21" s="4" t="str">
        <f>"售价="&amp;C4&amp;"元，盈亏平衡销量="&amp;ROUND(C22,1)</f>
        <v>售价=105元，盈亏平衡销量=742.9</v>
      </c>
      <c r="E21" s="4"/>
      <c r="F21" s="4"/>
      <c r="G21" s="4"/>
    </row>
    <row r="22" spans="2:7" ht="13.9" x14ac:dyDescent="0.4">
      <c r="B22" s="4" t="s">
        <v>19</v>
      </c>
      <c r="C22" s="4">
        <f>C11/C10</f>
        <v>742.85714285714289</v>
      </c>
      <c r="D22" s="4" t="str">
        <f>"销量="&amp;C16&amp;"时,"&amp;IF(C20&gt;0,"盈利",IF(C20=0,"保本","亏损"))</f>
        <v>销量=950时,盈利</v>
      </c>
      <c r="E22" s="4"/>
      <c r="F22" s="4"/>
      <c r="G22" s="4"/>
    </row>
    <row r="24" spans="2:7" ht="13.5" x14ac:dyDescent="0.4">
      <c r="B24" s="6"/>
    </row>
    <row r="25" spans="2:7" ht="13.5" x14ac:dyDescent="0.4">
      <c r="B25" s="7"/>
    </row>
    <row r="26" spans="2:7" ht="13.5" x14ac:dyDescent="0.4">
      <c r="B26" s="8"/>
    </row>
    <row r="30" spans="2:7" x14ac:dyDescent="0.4">
      <c r="F30" s="1" t="s">
        <v>20</v>
      </c>
    </row>
  </sheetData>
  <phoneticPr fontId="8" type="noConversion"/>
  <pageMargins left="0.75" right="0.75" top="1" bottom="1" header="0.5" footer="0.5"/>
  <pageSetup paperSize="9" orientation="portrait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9" r:id="rId3" name="Spinner 15">
              <controlPr defaultSize="0" autoPict="0">
                <anchor moveWithCells="1" sizeWithCells="1">
                  <from>
                    <xdr:col>8</xdr:col>
                    <xdr:colOff>285750</xdr:colOff>
                    <xdr:row>5</xdr:row>
                    <xdr:rowOff>95250</xdr:rowOff>
                  </from>
                  <to>
                    <xdr:col>8</xdr:col>
                    <xdr:colOff>504825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4" name="Spinner 16">
              <controlPr defaultSize="0" autoPict="0">
                <anchor moveWithCells="1" sizeWithCells="1">
                  <from>
                    <xdr:col>12</xdr:col>
                    <xdr:colOff>9525</xdr:colOff>
                    <xdr:row>5</xdr:row>
                    <xdr:rowOff>104775</xdr:rowOff>
                  </from>
                  <to>
                    <xdr:col>12</xdr:col>
                    <xdr:colOff>228600</xdr:colOff>
                    <xdr:row>7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案例</vt:lpstr>
    </vt:vector>
  </TitlesOfParts>
  <Company>***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*</dc:creator>
  <cp:lastModifiedBy>Windows 用户</cp:lastModifiedBy>
  <dcterms:created xsi:type="dcterms:W3CDTF">2011-05-19T22:39:00Z</dcterms:created>
  <dcterms:modified xsi:type="dcterms:W3CDTF">2021-03-16T02:09:22Z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
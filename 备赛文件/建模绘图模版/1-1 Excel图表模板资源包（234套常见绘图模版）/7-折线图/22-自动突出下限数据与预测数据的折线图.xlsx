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80588444-3F2B-4995-B3B7-46265682657D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12" i="1"/>
  <c r="L9" i="1"/>
  <c r="L12" i="1"/>
  <c r="K9" i="1"/>
  <c r="K12" i="1"/>
  <c r="J5" i="1"/>
  <c r="J9" i="1"/>
  <c r="J12" i="1"/>
  <c r="I5" i="1"/>
  <c r="I9" i="1"/>
  <c r="I12" i="1"/>
  <c r="H5" i="1"/>
  <c r="H9" i="1"/>
  <c r="H12" i="1"/>
  <c r="G5" i="1"/>
  <c r="G9" i="1"/>
  <c r="G12" i="1"/>
  <c r="F5" i="1"/>
  <c r="F9" i="1"/>
  <c r="F12" i="1"/>
  <c r="E5" i="1"/>
  <c r="E9" i="1"/>
  <c r="E12" i="1"/>
  <c r="D5" i="1"/>
  <c r="D9" i="1"/>
  <c r="D12" i="1"/>
  <c r="C5" i="1"/>
  <c r="C9" i="1"/>
  <c r="C12" i="1"/>
  <c r="B5" i="1"/>
  <c r="B9" i="1"/>
  <c r="B12" i="1"/>
  <c r="M6" i="1"/>
  <c r="M10" i="1"/>
  <c r="L6" i="1"/>
  <c r="L10" i="1"/>
  <c r="K6" i="1"/>
  <c r="K10" i="1"/>
  <c r="J10" i="1"/>
  <c r="I10" i="1"/>
  <c r="H10" i="1"/>
  <c r="G10" i="1"/>
  <c r="F10" i="1"/>
  <c r="E10" i="1"/>
  <c r="D10" i="1"/>
  <c r="C10" i="1"/>
  <c r="B10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<sst xmlns="http://schemas.openxmlformats.org/spreadsheetml/2006/main" count="34" uniqueCount="19">
  <si>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</si>
  <si>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</si>
  <si>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</si>
  <si>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</si>
  <si>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</si>
  <si>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</si>
  <si>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</si>
  <si>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</si>
  <si>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</si>
  <si>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</si>
  <si>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</si>
  <si>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</si>
  <si>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</si>
  <si>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实际</t>
  </si>
  <si>
    <t>预测</t>
  </si>
  <si>
    <t>数据构建</t>
  </si>
  <si>
    <t>辅助参考线</t>
  </si>
  <si>
    <t>下限值</t>
  </si>
  <si>
    <t>下限
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</si>
</sst>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/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</cellXfs>
  <cellStyles count="3">
    <cellStyle name="常规" xfId="0" builtinId="0"/>
    <cellStyle name="常规 3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 i="0" baseline="0">
                <a:effectLst/>
              </a:rPr>
              <a:t>XX</a:t>
            </a:r>
            <a:r>
              <a:rPr lang="zh-CN" altLang="zh-CN" sz="1800" b="1" i="0" baseline="0">
                <a:effectLst/>
              </a:rPr>
              <a:t>公司销售趋势图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8.2888888888888901E-2"/>
          <c:y val="4.16666666666666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247594050743705E-2"/>
          <c:y val="0.162962962962963"/>
          <c:w val="0.82075240594925603"/>
          <c:h val="0.72632764654418203"/>
        </c:manualLayout>
      </c:layout>
      <c:lineChart>
        <c:grouping val="standard"/>
        <c:varyColors val="0"/>
        <c:ser>
          <c:idx val="3"/>
          <c:order val="0"/>
          <c:tx>
            <c:strRef>
              <c:f>案例!$A$12</c:f>
              <c:strCache>
                <c:ptCount val="1"/>
                <c:pt idx="0">
                  <c:v>下限值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19050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案例!$B$8:$M$8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案例!$B$12:$M$12</c:f>
              <c:numCache>
                <c:formatCode>General</c:formatCode>
                <c:ptCount val="12"/>
                <c:pt idx="0">
                  <c:v>349</c:v>
                </c:pt>
                <c:pt idx="1">
                  <c:v>#N/A</c:v>
                </c:pt>
                <c:pt idx="2">
                  <c:v>349</c:v>
                </c:pt>
                <c:pt idx="3">
                  <c:v>331</c:v>
                </c:pt>
                <c:pt idx="4">
                  <c:v>351</c:v>
                </c:pt>
                <c:pt idx="5">
                  <c:v>308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6-4F41-B165-2D2AF9994EEA}"/>
            </c:ext>
          </c:extLst>
        </c:ser>
        <c:ser>
          <c:idx val="1"/>
          <c:order val="1"/>
          <c:tx>
            <c:strRef>
              <c:f>案例!$A$10</c:f>
              <c:strCache>
                <c:ptCount val="1"/>
                <c:pt idx="0">
                  <c:v>预测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95000"/>
                </a:schemeClr>
              </a:solidFill>
              <a:ln w="19050" cap="flat" cmpd="sng" algn="ctr">
                <a:solidFill>
                  <a:schemeClr val="accent1">
                    <a:lumMod val="50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案例!$B$8:$M$8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案例!$B$10:$M$10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496</c:v>
                </c:pt>
                <c:pt idx="9">
                  <c:v>548</c:v>
                </c:pt>
                <c:pt idx="10">
                  <c:v>418</c:v>
                </c:pt>
                <c:pt idx="11">
                  <c:v>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6-4F41-B165-2D2AF9994EEA}"/>
            </c:ext>
          </c:extLst>
        </c:ser>
        <c:ser>
          <c:idx val="0"/>
          <c:order val="2"/>
          <c:tx>
            <c:strRef>
              <c:f>案例!$A$9</c:f>
              <c:strCache>
                <c:ptCount val="1"/>
                <c:pt idx="0">
                  <c:v>实际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50000"/>
                </a:schemeClr>
              </a:solidFill>
              <a:ln w="19050" cap="flat" cmpd="sng" algn="ctr">
                <a:solidFill>
                  <a:schemeClr val="accent1">
                    <a:lumMod val="50000"/>
                  </a:schemeClr>
                </a:solidFill>
                <a:prstDash val="solid"/>
                <a:round/>
              </a:ln>
              <a:effectLst/>
            </c:spPr>
          </c:marker>
          <c:dLbls>
            <c:numFmt formatCode="[&gt;400]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案例!$B$8:$M$8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案例!$B$9:$M$9</c:f>
              <c:numCache>
                <c:formatCode>General</c:formatCode>
                <c:ptCount val="12"/>
                <c:pt idx="0">
                  <c:v>349</c:v>
                </c:pt>
                <c:pt idx="1">
                  <c:v>586</c:v>
                </c:pt>
                <c:pt idx="2">
                  <c:v>349</c:v>
                </c:pt>
                <c:pt idx="3">
                  <c:v>331</c:v>
                </c:pt>
                <c:pt idx="4">
                  <c:v>351</c:v>
                </c:pt>
                <c:pt idx="5">
                  <c:v>308</c:v>
                </c:pt>
                <c:pt idx="6">
                  <c:v>516</c:v>
                </c:pt>
                <c:pt idx="7">
                  <c:v>520</c:v>
                </c:pt>
                <c:pt idx="8">
                  <c:v>496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6-4F41-B165-2D2AF9994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68896"/>
        <c:axId val="149607552"/>
      </c:lineChart>
      <c:lineChart>
        <c:grouping val="standard"/>
        <c:varyColors val="0"/>
        <c:ser>
          <c:idx val="2"/>
          <c:order val="3"/>
          <c:tx>
            <c:strRef>
              <c:f>案例!$A$11</c:f>
              <c:strCache>
                <c:ptCount val="1"/>
                <c:pt idx="0">
                  <c:v>辅助参考线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00B050"/>
                </a:solidFill>
                <a:ln w="9525" cap="flat" cmpd="sng" algn="ctr">
                  <a:solidFill>
                    <a:schemeClr val="accent3"/>
                  </a:solidFill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B26-4F41-B165-2D2AF9994EE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26-4F41-B165-2D2AF9994EE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26-4F41-B165-2D2AF9994E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26-4F41-B165-2D2AF9994E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26-4F41-B165-2D2AF9994EE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26-4F41-B165-2D2AF9994EE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26-4F41-B165-2D2AF9994EE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B26-4F41-B165-2D2AF9994EE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26-4F41-B165-2D2AF9994EE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B26-4F41-B165-2D2AF9994EE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B26-4F41-B165-2D2AF9994EE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B26-4F41-B165-2D2AF9994EEA}"/>
                </c:ext>
              </c:extLst>
            </c:dLbl>
            <c:dLbl>
              <c:idx val="11"/>
              <c:tx>
                <c:strRef>
                  <c:f>[1]郑晓芬工作室!$N$12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{657F5176-5965-4CBA-A1CE-3060FB402568}</c15:txfldGUID>
                      <c15:f>[1]郑晓芬工作室!$N$12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B26-4F41-B165-2D2AF9994E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案例!$B$8:$M$8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案例!$B$11:$M$11</c:f>
              <c:numCache>
                <c:formatCode>General</c:formatCode>
                <c:ptCount val="12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26-4F41-B165-2D2AF9994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09088"/>
        <c:axId val="149614976"/>
      </c:lineChart>
      <c:catAx>
        <c:axId val="1495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607552"/>
        <c:crosses val="autoZero"/>
        <c:auto val="1"/>
        <c:lblAlgn val="ctr"/>
        <c:lblOffset val="100"/>
        <c:noMultiLvlLbl val="0"/>
      </c:catAx>
      <c:valAx>
        <c:axId val="149607552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68896"/>
        <c:crosses val="autoZero"/>
        <c:crossBetween val="between"/>
      </c:valAx>
      <c:catAx>
        <c:axId val="14960908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614976"/>
        <c:crosses val="max"/>
        <c:auto val="1"/>
        <c:lblAlgn val="ctr"/>
        <c:lblOffset val="100"/>
        <c:noMultiLvlLbl val="0"/>
      </c:catAx>
      <c:valAx>
        <c:axId val="149614976"/>
        <c:scaling>
          <c:orientation val="minMax"/>
          <c:max val="60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609088"/>
        <c:crosses val="max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12</xdr:row>
      <xdr:rowOff>104775</xdr:rowOff>
    </xdr:from>
    <xdr:to>
      <xdr:col>7</xdr:col>
      <xdr:colOff>76199</xdr:colOff>
      <xdr:row>30</xdr:row>
      <xdr:rowOff>119063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6"/>
  <sheetViews>
    <sheetView showGridLines="0" tabSelected="1" workbookViewId="0">
      <selection activeCell="K18" sqref="K18"/>
    </sheetView>
  </sheetViews>
  <sheetFormatPr defaultColWidth="9" defaultRowHeight="13.9" x14ac:dyDescent="0.4"/>
  <cols>
    <col min="1" max="1" width="9" style="1" customWidth="1"/>
    <col min="2" max="16384" width="9" style="1"/>
  </cols>
  <sheetData>
    <row r="1" spans="1:16" x14ac:dyDescent="0.4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4">
      <c r="B2" s="4"/>
    </row>
    <row r="4" spans="1:16" x14ac:dyDescent="0.4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</row>
    <row r="5" spans="1:16" x14ac:dyDescent="0.4">
      <c r="A5" s="6" t="s">
        <v>13</v>
      </c>
      <c r="B5" s="6">
        <f t="shared" ref="B5:J5" ca="1" si="0">RANDBETWEEN(300,600)</f>
        <v>349</v>
      </c>
      <c r="C5" s="6">
        <f t="shared" ca="1" si="0"/>
        <v>586</v>
      </c>
      <c r="D5" s="6">
        <f t="shared" ca="1" si="0"/>
        <v>349</v>
      </c>
      <c r="E5" s="6">
        <f t="shared" ca="1" si="0"/>
        <v>331</v>
      </c>
      <c r="F5" s="6">
        <f t="shared" ca="1" si="0"/>
        <v>351</v>
      </c>
      <c r="G5" s="6">
        <f t="shared" ca="1" si="0"/>
        <v>308</v>
      </c>
      <c r="H5" s="6">
        <f t="shared" ca="1" si="0"/>
        <v>516</v>
      </c>
      <c r="I5" s="6">
        <f t="shared" ca="1" si="0"/>
        <v>520</v>
      </c>
      <c r="J5" s="6">
        <f t="shared" ca="1" si="0"/>
        <v>496</v>
      </c>
      <c r="K5" s="6"/>
      <c r="L5" s="6"/>
      <c r="M5" s="6"/>
    </row>
    <row r="6" spans="1:16" x14ac:dyDescent="0.4">
      <c r="A6" s="6" t="s">
        <v>14</v>
      </c>
      <c r="B6" s="6">
        <f t="shared" ref="B6:M6" ca="1" si="1">RANDBETWEEN(400,600)</f>
        <v>533</v>
      </c>
      <c r="C6" s="6">
        <f t="shared" ca="1" si="1"/>
        <v>547</v>
      </c>
      <c r="D6" s="6">
        <f t="shared" ca="1" si="1"/>
        <v>532</v>
      </c>
      <c r="E6" s="6">
        <f t="shared" ca="1" si="1"/>
        <v>426</v>
      </c>
      <c r="F6" s="6">
        <f t="shared" ca="1" si="1"/>
        <v>436</v>
      </c>
      <c r="G6" s="6">
        <f t="shared" ca="1" si="1"/>
        <v>483</v>
      </c>
      <c r="H6" s="6">
        <f t="shared" ca="1" si="1"/>
        <v>451</v>
      </c>
      <c r="I6" s="6">
        <f t="shared" ca="1" si="1"/>
        <v>507</v>
      </c>
      <c r="J6" s="6">
        <f t="shared" ca="1" si="1"/>
        <v>461</v>
      </c>
      <c r="K6" s="6">
        <f t="shared" ca="1" si="1"/>
        <v>548</v>
      </c>
      <c r="L6" s="6">
        <f t="shared" ca="1" si="1"/>
        <v>418</v>
      </c>
      <c r="M6" s="6">
        <f t="shared" ca="1" si="1"/>
        <v>572</v>
      </c>
    </row>
    <row r="7" spans="1:16" x14ac:dyDescent="0.4">
      <c r="A7" s="6" t="s">
        <v>15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4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6"/>
      <c r="O8" s="6"/>
      <c r="P8" s="6"/>
    </row>
    <row r="9" spans="1:16" x14ac:dyDescent="0.4">
      <c r="A9" s="6" t="s">
        <v>13</v>
      </c>
      <c r="B9" s="6">
        <f t="shared" ref="B9:M9" ca="1" si="2">IF(B5,B5,NA())</f>
        <v>349</v>
      </c>
      <c r="C9" s="6">
        <f t="shared" ca="1" si="2"/>
        <v>586</v>
      </c>
      <c r="D9" s="6">
        <f t="shared" ca="1" si="2"/>
        <v>349</v>
      </c>
      <c r="E9" s="6">
        <f t="shared" ca="1" si="2"/>
        <v>331</v>
      </c>
      <c r="F9" s="6">
        <f t="shared" ca="1" si="2"/>
        <v>351</v>
      </c>
      <c r="G9" s="6">
        <f t="shared" ca="1" si="2"/>
        <v>308</v>
      </c>
      <c r="H9" s="6">
        <f t="shared" ca="1" si="2"/>
        <v>516</v>
      </c>
      <c r="I9" s="6">
        <f t="shared" ca="1" si="2"/>
        <v>520</v>
      </c>
      <c r="J9" s="6">
        <f t="shared" ca="1" si="2"/>
        <v>496</v>
      </c>
      <c r="K9" s="6" t="e">
        <f t="shared" si="2"/>
        <v>#N/A</v>
      </c>
      <c r="L9" s="6" t="e">
        <f t="shared" si="2"/>
        <v>#N/A</v>
      </c>
      <c r="M9" s="6" t="e">
        <f t="shared" si="2"/>
        <v>#N/A</v>
      </c>
      <c r="N9" s="6"/>
      <c r="O9" s="6"/>
      <c r="P9" s="6"/>
    </row>
    <row r="10" spans="1:16" x14ac:dyDescent="0.4">
      <c r="A10" s="6" t="s">
        <v>14</v>
      </c>
      <c r="B10" s="6" t="e">
        <f t="shared" ref="B10:M10" ca="1" si="3">IF(B5,IF(C5,NA(),B5),B6)</f>
        <v>#N/A</v>
      </c>
      <c r="C10" s="6" t="e">
        <f t="shared" ca="1" si="3"/>
        <v>#N/A</v>
      </c>
      <c r="D10" s="6" t="e">
        <f t="shared" ca="1" si="3"/>
        <v>#N/A</v>
      </c>
      <c r="E10" s="6" t="e">
        <f t="shared" ca="1" si="3"/>
        <v>#N/A</v>
      </c>
      <c r="F10" s="6" t="e">
        <f t="shared" ca="1" si="3"/>
        <v>#N/A</v>
      </c>
      <c r="G10" s="6" t="e">
        <f t="shared" ca="1" si="3"/>
        <v>#N/A</v>
      </c>
      <c r="H10" s="6" t="e">
        <f t="shared" ca="1" si="3"/>
        <v>#N/A</v>
      </c>
      <c r="I10" s="6" t="e">
        <f t="shared" ca="1" si="3"/>
        <v>#N/A</v>
      </c>
      <c r="J10" s="6">
        <f t="shared" ca="1" si="3"/>
        <v>496</v>
      </c>
      <c r="K10" s="6">
        <f t="shared" ca="1" si="3"/>
        <v>548</v>
      </c>
      <c r="L10" s="6">
        <f t="shared" ca="1" si="3"/>
        <v>418</v>
      </c>
      <c r="M10" s="6">
        <f t="shared" ca="1" si="3"/>
        <v>572</v>
      </c>
      <c r="N10" s="6"/>
      <c r="O10" s="6"/>
      <c r="P10" s="6"/>
    </row>
    <row r="11" spans="1:16" x14ac:dyDescent="0.4">
      <c r="A11" s="6" t="s">
        <v>16</v>
      </c>
      <c r="B11" s="6">
        <v>400</v>
      </c>
      <c r="C11" s="6">
        <v>400</v>
      </c>
      <c r="D11" s="6">
        <v>400</v>
      </c>
      <c r="E11" s="6">
        <v>400</v>
      </c>
      <c r="F11" s="6">
        <v>400</v>
      </c>
      <c r="G11" s="6">
        <v>400</v>
      </c>
      <c r="H11" s="6">
        <v>400</v>
      </c>
      <c r="I11" s="6">
        <v>400</v>
      </c>
      <c r="J11" s="6">
        <v>400</v>
      </c>
      <c r="K11" s="6">
        <v>400</v>
      </c>
      <c r="L11" s="6">
        <v>400</v>
      </c>
      <c r="M11" s="6">
        <v>400</v>
      </c>
      <c r="N11" s="6"/>
      <c r="O11" s="6"/>
      <c r="P11" s="6"/>
    </row>
    <row r="12" spans="1:16" ht="27.75" x14ac:dyDescent="0.4">
      <c r="A12" s="6" t="s">
        <v>17</v>
      </c>
      <c r="B12" s="6">
        <f t="shared" ref="B12:M12" ca="1" si="4">IF(B9&gt;400,NA(),B9)</f>
        <v>349</v>
      </c>
      <c r="C12" s="6" t="e">
        <f t="shared" ca="1" si="4"/>
        <v>#N/A</v>
      </c>
      <c r="D12" s="6">
        <f t="shared" ca="1" si="4"/>
        <v>349</v>
      </c>
      <c r="E12" s="6">
        <f t="shared" ca="1" si="4"/>
        <v>331</v>
      </c>
      <c r="F12" s="6">
        <f t="shared" ca="1" si="4"/>
        <v>351</v>
      </c>
      <c r="G12" s="6">
        <f t="shared" ca="1" si="4"/>
        <v>308</v>
      </c>
      <c r="H12" s="6" t="e">
        <f t="shared" ca="1" si="4"/>
        <v>#N/A</v>
      </c>
      <c r="I12" s="6" t="e">
        <f t="shared" ca="1" si="4"/>
        <v>#N/A</v>
      </c>
      <c r="J12" s="6" t="e">
        <f t="shared" ca="1" si="4"/>
        <v>#N/A</v>
      </c>
      <c r="K12" s="6" t="e">
        <f t="shared" si="4"/>
        <v>#N/A</v>
      </c>
      <c r="L12" s="6" t="e">
        <f t="shared" si="4"/>
        <v>#N/A</v>
      </c>
      <c r="M12" s="6" t="e">
        <f t="shared" si="4"/>
        <v>#N/A</v>
      </c>
      <c r="N12" s="7" t="s">
        <v>18</v>
      </c>
      <c r="O12" s="6"/>
    </row>
    <row r="13" spans="1:16" x14ac:dyDescent="0.4">
      <c r="N13" s="6"/>
    </row>
    <row r="14" spans="1:16" x14ac:dyDescent="0.4">
      <c r="N14" s="6"/>
    </row>
    <row r="15" spans="1:16" x14ac:dyDescent="0.4">
      <c r="N15" s="6"/>
    </row>
    <row r="16" spans="1:16" x14ac:dyDescent="0.4">
      <c r="N16" s="6"/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2016-11-20T13:42:00Z</dcterms:created>
  <dcterms:modified xsi:type="dcterms:W3CDTF">2021-03-16T02:10:40Z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
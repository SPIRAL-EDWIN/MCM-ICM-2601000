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 activeTab="4"/>
  </bookViews>
  <sheets>
    <sheet name="财务预测和趋势分析" sheetId="3" r:id="rId1"/>
    <sheet name="资金需要量预测" sheetId="2" r:id="rId2"/>
    <sheet name="日常费用线性预测" sheetId="1" r:id="rId3"/>
    <sheet name="主营业务收入" sheetId="4" r:id="rId4"/>
    <sheet name="生产成本" sheetId="5" r:id="rId5"/>
    <sheet name="存货" sheetId="6" r:id="rId6"/>
    <sheet name="主营业务利润" sheetId="7" r:id="rId7"/>
  </sheets>
  <definedNames>
    <definedName name="chl">存货!$B$5:$M$5</definedName>
    <definedName name="cl">存货!$B$4:$M$4</definedName>
  </definedNames>
  <calcPr calcId="162913" concurrentCalc="0"/>
</workbook>
</file>

<file path=xl/calcChain.xml><?xml version="1.0" encoding="utf-8"?>
<calcChain xmlns="http://schemas.openxmlformats.org/spreadsheetml/2006/main">
  <c r="E19" i="7" l="1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C9" i="6"/>
  <c r="D9" i="6"/>
  <c r="K9" i="6"/>
  <c r="J9" i="6"/>
  <c r="I9" i="6"/>
  <c r="H9" i="6"/>
  <c r="E9" i="6"/>
  <c r="B8" i="5" a="1"/>
  <c r="E8" i="5"/>
  <c r="B9" i="5" a="1"/>
  <c r="C8" i="5"/>
  <c r="C9" i="5"/>
  <c r="D8" i="5"/>
  <c r="D9" i="5"/>
  <c r="E9" i="5"/>
  <c r="B8" i="5"/>
  <c r="B9" i="5"/>
  <c r="B12" i="4" a="1"/>
  <c r="B13" i="4"/>
  <c r="B14" i="4"/>
  <c r="B15" i="4"/>
  <c r="B16" i="4"/>
  <c r="B17" i="4"/>
  <c r="B12" i="4"/>
  <c r="K12" i="1" a="1"/>
  <c r="K12" i="1"/>
  <c r="L12" i="1"/>
  <c r="G24" i="1"/>
  <c r="I12" i="1" a="1"/>
  <c r="I12" i="1"/>
  <c r="J12" i="1"/>
  <c r="F24" i="1"/>
  <c r="G12" i="1" a="1"/>
  <c r="G12" i="1"/>
  <c r="H12" i="1"/>
  <c r="E24" i="1"/>
  <c r="E12" i="1" a="1"/>
  <c r="E12" i="1"/>
  <c r="F12" i="1"/>
  <c r="D24" i="1"/>
  <c r="C12" i="1" a="1"/>
  <c r="C12" i="1"/>
  <c r="D12" i="1"/>
  <c r="C24" i="1"/>
  <c r="A12" i="1" a="1"/>
  <c r="A12" i="1"/>
  <c r="B12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L16" i="1"/>
  <c r="K16" i="1"/>
  <c r="L15" i="1"/>
  <c r="K15" i="1"/>
  <c r="L14" i="1"/>
  <c r="K14" i="1"/>
  <c r="L13" i="1"/>
  <c r="K13" i="1"/>
  <c r="J16" i="1"/>
  <c r="I16" i="1"/>
  <c r="J15" i="1"/>
  <c r="I15" i="1"/>
  <c r="J14" i="1"/>
  <c r="I14" i="1"/>
  <c r="J13" i="1"/>
  <c r="I13" i="1"/>
  <c r="H16" i="1"/>
  <c r="G16" i="1"/>
  <c r="H15" i="1"/>
  <c r="G15" i="1"/>
  <c r="H14" i="1"/>
  <c r="G14" i="1"/>
  <c r="H13" i="1"/>
  <c r="G13" i="1"/>
  <c r="F16" i="1"/>
  <c r="E16" i="1"/>
  <c r="F15" i="1"/>
  <c r="E15" i="1"/>
  <c r="F14" i="1"/>
  <c r="E14" i="1"/>
  <c r="F13" i="1"/>
  <c r="E13" i="1"/>
  <c r="D16" i="1"/>
  <c r="C16" i="1"/>
  <c r="D15" i="1"/>
  <c r="C15" i="1"/>
  <c r="D14" i="1"/>
  <c r="C14" i="1"/>
  <c r="D13" i="1"/>
  <c r="C13" i="1"/>
  <c r="B16" i="1"/>
  <c r="A16" i="1"/>
  <c r="B15" i="1"/>
  <c r="A15" i="1"/>
  <c r="B14" i="1"/>
  <c r="A14" i="1"/>
  <c r="B13" i="1"/>
  <c r="A13" i="1"/>
  <c r="B18" i="2"/>
  <c r="B17" i="2"/>
  <c r="C19" i="2"/>
  <c r="B11" i="2"/>
  <c r="C11" i="2"/>
  <c r="B12" i="2"/>
  <c r="C12" i="2"/>
  <c r="B13" i="2"/>
  <c r="B14" i="2"/>
  <c r="C15" i="2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</calcChain>
</file>

<file path=xl/sharedStrings.xml><?xml version="1.0" encoding="utf-8"?>
<sst xmlns="http://schemas.openxmlformats.org/spreadsheetml/2006/main" count="108" uniqueCount="86">
  <si>
    <t>财务预测和趋势分析模型</t>
  </si>
  <si>
    <t>资金需要量预测</t>
  </si>
  <si>
    <t>主营业务收入预测</t>
  </si>
  <si>
    <t>日常费用预测</t>
  </si>
  <si>
    <t>生产成本预测</t>
  </si>
  <si>
    <t>存货预测</t>
  </si>
  <si>
    <t>主营业务利润预测</t>
  </si>
  <si>
    <t>产销量与资金变化情况</t>
  </si>
  <si>
    <t>年度</t>
  </si>
  <si>
    <t>产销量（万件）</t>
  </si>
  <si>
    <t>资金占用量（万元）</t>
  </si>
  <si>
    <t>说明：（1）本例运用函数MAX、MIN、INDEX、SLOPE、INTERCEPT；</t>
  </si>
  <si>
    <t xml:space="preserve">      （2）两种方法在本例中预测结果并无差别；</t>
  </si>
  <si>
    <t xml:space="preserve">      （3）数据为本人随机编制；</t>
  </si>
  <si>
    <t xml:space="preserve">      （4）实际应用中还需要大量的数据进行分析计算；</t>
  </si>
  <si>
    <t xml:space="preserve">    （5）设计感悟：熟练应用多种函数是excel软件的精髓，一个目的</t>
  </si>
  <si>
    <t>多种解法，通过找不同才能对财务数据的理解更加深刻</t>
  </si>
  <si>
    <t>高低点法预测资金需要量</t>
  </si>
  <si>
    <t>项目</t>
  </si>
  <si>
    <t>产销量高点</t>
  </si>
  <si>
    <t>产销量低点</t>
  </si>
  <si>
    <t>预测方程变量b</t>
  </si>
  <si>
    <t>预测方程变量a</t>
  </si>
  <si>
    <t>2015年预测值</t>
  </si>
  <si>
    <t>回归分析法预测资金需要量</t>
  </si>
  <si>
    <t>2015年上半年日常费用统计</t>
  </si>
  <si>
    <t>月份</t>
  </si>
  <si>
    <t>管理费</t>
  </si>
  <si>
    <t>差旅费</t>
  </si>
  <si>
    <t>通讯费</t>
  </si>
  <si>
    <t>交通费</t>
  </si>
  <si>
    <t>培训费</t>
  </si>
  <si>
    <t>其他</t>
  </si>
  <si>
    <t>说明：（1）该模型利用LINEST函数线性预测日常费用；</t>
  </si>
  <si>
    <t xml:space="preserve">      （2）数组公式发挥了重要作用；</t>
  </si>
  <si>
    <t xml:space="preserve">      （3）该模版应用只需更改统计表中的数据即可；</t>
  </si>
  <si>
    <t xml:space="preserve">      （4）本表中的数据为本人自己根据成长型企业特点</t>
  </si>
  <si>
    <t xml:space="preserve">           编制；</t>
  </si>
  <si>
    <t xml:space="preserve">      （5）现实企业应用还需大量数据才能精确拟合。</t>
  </si>
  <si>
    <t>日常费用线性预测模型</t>
  </si>
  <si>
    <t>2015年下半年日常费用预测</t>
  </si>
  <si>
    <t>2015年上半年主营业务收入</t>
  </si>
  <si>
    <t>主营业务收入（万元）</t>
  </si>
  <si>
    <t>2015年下半年主营业务收入预测</t>
  </si>
  <si>
    <t>主营业务收入预测（万元）</t>
  </si>
  <si>
    <t>说明：本例使用TREND函数进行预测收入；</t>
  </si>
  <si>
    <t xml:space="preserve">      运用趋势线发现与函数分析结果一致且更加直观；</t>
  </si>
  <si>
    <t xml:space="preserve">      数据来源于成长型小企业。</t>
  </si>
  <si>
    <t>生产成本指数预测分析</t>
  </si>
  <si>
    <t>某产品生产资料</t>
  </si>
  <si>
    <t>生产期间</t>
  </si>
  <si>
    <t>产量（万件）</t>
  </si>
  <si>
    <t>生产成本（万元）</t>
  </si>
  <si>
    <t>产量与生产成本预测</t>
  </si>
  <si>
    <t>目标产量（万件）</t>
  </si>
  <si>
    <t>目标成本预测（万元）</t>
  </si>
  <si>
    <t>说明：本例使用了GROWTH函数预测生产成本</t>
  </si>
  <si>
    <t xml:space="preserve">      并使用的散点图进行趋势分析，且趋势线与预测结果一致</t>
  </si>
  <si>
    <t xml:space="preserve">      数据与前例相同</t>
  </si>
  <si>
    <t>根据计划产量预测存货量</t>
  </si>
  <si>
    <t>时间</t>
  </si>
  <si>
    <t>产量</t>
  </si>
  <si>
    <t>存货量（万件）</t>
  </si>
  <si>
    <t>多元线性回归模型分析</t>
  </si>
  <si>
    <t>预测模型</t>
  </si>
  <si>
    <t>回归模型方程表达式</t>
  </si>
  <si>
    <t>系数计算结果</t>
  </si>
  <si>
    <t>未来预测值</t>
  </si>
  <si>
    <t>第一期</t>
  </si>
  <si>
    <t>第二期</t>
  </si>
  <si>
    <t>第三期</t>
  </si>
  <si>
    <t>第四期</t>
  </si>
  <si>
    <t>Y=A+BX</t>
  </si>
  <si>
    <t>A</t>
  </si>
  <si>
    <t>B</t>
  </si>
  <si>
    <t>R²</t>
  </si>
  <si>
    <t>计划产量</t>
  </si>
  <si>
    <t>存货量预测值</t>
  </si>
  <si>
    <t>说明：本例中产量与对应的存货量由企业以前数据所得，计划产</t>
  </si>
  <si>
    <t xml:space="preserve">  量可自行设定。</t>
  </si>
  <si>
    <t xml:space="preserve">      本例中运用INDEX与LINEST函数求得系数</t>
  </si>
  <si>
    <t xml:space="preserve">      预测结果与趋势线一致</t>
  </si>
  <si>
    <t>年份</t>
  </si>
  <si>
    <t>主营业务利润</t>
  </si>
  <si>
    <t>移动平均法预测</t>
  </si>
  <si>
    <t>标准误差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</si>
</sst>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b/>
      <sz val="16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28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theme="5" tint="-0.499984740745262"/>
      <name val="宋体"/>
      <family val="3"/>
      <charset val="134"/>
      <scheme val="minor"/>
    </font>
    <font>
      <sz val="11"/>
      <color theme="6" tint="-0.499984740745262"/>
      <name val="宋体"/>
      <family val="3"/>
      <charset val="134"/>
      <scheme val="minor"/>
    </font>
    <font>
      <u/>
      <sz val="11"/>
      <color theme="5" tint="-0.499984740745262"/>
      <name val="宋体"/>
      <family val="3"/>
      <charset val="134"/>
      <scheme val="minor"/>
    </font>
    <font>
      <u/>
      <sz val="11"/>
      <color theme="6" tint="-0.499984740745262"/>
      <name val="宋体"/>
      <family val="3"/>
      <charset val="134"/>
      <scheme val="minor"/>
    </font>
    <font>
      <sz val="11"/>
      <color theme="6" tint="-0.249977111117893"/>
      <name val="宋体"/>
      <family val="3"/>
      <charset val="134"/>
      <scheme val="minor"/>
    </font>
    <font>
      <sz val="11"/>
      <color theme="4" tint="0.79998168889431442"/>
      <name val="宋体"/>
      <family val="3"/>
      <charset val="134"/>
      <scheme val="minor"/>
    </font>
    <font>
      <u/>
      <sz val="11"/>
      <color theme="9" tint="-0.499984740745262"/>
      <name val="宋体"/>
      <family val="3"/>
      <charset val="134"/>
      <scheme val="minor"/>
    </font>
    <font>
      <u/>
      <sz val="11"/>
      <color theme="8" tint="-0.249977111117893"/>
      <name val="宋体"/>
      <family val="3"/>
      <charset val="134"/>
      <scheme val="minor"/>
    </font>
    <font>
      <u/>
      <sz val="11"/>
      <color theme="2" tint="-0.89999084444715716"/>
      <name val="宋体"/>
      <family val="3"/>
      <charset val="134"/>
      <scheme val="minor"/>
    </font>
    <font>
      <u/>
      <sz val="11"/>
      <color rgb="FFFF000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Border="1" applyAlignment="1">
      <alignment horizontal="right" vertical="center"/>
    </xf>
    <xf numFmtId="2" fontId="0" fillId="0" borderId="0" xfId="0" applyNumberFormat="1" applyBorder="1">
      <alignment vertical="center"/>
    </xf>
    <xf numFmtId="2" fontId="0" fillId="0" borderId="12" xfId="0" applyNumberFormat="1" applyBorder="1">
      <alignment vertical="center"/>
    </xf>
    <xf numFmtId="2" fontId="0" fillId="0" borderId="9" xfId="0" applyNumberFormat="1" applyBorder="1" applyAlignment="1">
      <alignment horizontal="right" vertical="center"/>
    </xf>
    <xf numFmtId="2" fontId="0" fillId="0" borderId="9" xfId="0" applyNumberFormat="1" applyBorder="1">
      <alignment vertical="center"/>
    </xf>
    <xf numFmtId="2" fontId="0" fillId="0" borderId="14" xfId="0" applyNumberFormat="1" applyBorder="1">
      <alignment vertical="center"/>
    </xf>
    <xf numFmtId="2" fontId="0" fillId="0" borderId="11" xfId="0" applyNumberFormat="1" applyBorder="1" applyAlignment="1">
      <alignment horizontal="right" vertical="center"/>
    </xf>
    <xf numFmtId="2" fontId="0" fillId="0" borderId="12" xfId="0" applyNumberFormat="1" applyBorder="1" applyAlignment="1">
      <alignment horizontal="right" vertical="center"/>
    </xf>
    <xf numFmtId="2" fontId="0" fillId="0" borderId="11" xfId="0" applyNumberFormat="1" applyBorder="1">
      <alignment vertical="center"/>
    </xf>
    <xf numFmtId="2" fontId="0" fillId="0" borderId="7" xfId="0" applyNumberFormat="1" applyBorder="1" applyAlignment="1">
      <alignment horizontal="right" vertical="center"/>
    </xf>
    <xf numFmtId="2" fontId="0" fillId="0" borderId="14" xfId="0" applyNumberFormat="1" applyBorder="1" applyAlignment="1">
      <alignment horizontal="right" vertical="center"/>
    </xf>
    <xf numFmtId="2" fontId="0" fillId="0" borderId="7" xfId="0" applyNumberFormat="1" applyBorder="1">
      <alignment vertical="center"/>
    </xf>
    <xf numFmtId="2" fontId="0" fillId="0" borderId="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>
      <alignment vertical="center"/>
    </xf>
    <xf numFmtId="0" fontId="0" fillId="3" borderId="17" xfId="0" applyNumberFormat="1" applyFill="1" applyBorder="1">
      <alignment vertical="center"/>
    </xf>
    <xf numFmtId="0" fontId="5" fillId="3" borderId="0" xfId="0" applyNumberFormat="1" applyFont="1" applyFill="1">
      <alignment vertical="center"/>
    </xf>
    <xf numFmtId="0" fontId="5" fillId="3" borderId="0" xfId="0" applyNumberFormat="1" applyFont="1" applyFill="1" applyAlignment="1">
      <alignment vertical="center"/>
    </xf>
    <xf numFmtId="0" fontId="6" fillId="3" borderId="0" xfId="0" applyNumberFormat="1" applyFont="1" applyFill="1" applyAlignment="1">
      <alignment vertical="center"/>
    </xf>
    <xf numFmtId="0" fontId="7" fillId="3" borderId="0" xfId="0" applyNumberFormat="1" applyFont="1" applyFill="1" applyAlignment="1">
      <alignment vertical="center"/>
    </xf>
    <xf numFmtId="0" fontId="10" fillId="3" borderId="0" xfId="0" applyNumberFormat="1" applyFont="1" applyFill="1">
      <alignment vertical="center"/>
    </xf>
    <xf numFmtId="0" fontId="11" fillId="3" borderId="0" xfId="0" applyNumberFormat="1" applyFont="1" applyFill="1">
      <alignment vertical="center"/>
    </xf>
    <xf numFmtId="0" fontId="0" fillId="3" borderId="17" xfId="0" applyNumberFormat="1" applyFill="1" applyBorder="1" applyAlignment="1">
      <alignment vertical="center"/>
    </xf>
    <xf numFmtId="0" fontId="14" fillId="3" borderId="0" xfId="1" applyNumberFormat="1" applyFont="1" applyFill="1" applyAlignment="1">
      <alignment vertical="center"/>
    </xf>
    <xf numFmtId="0" fontId="5" fillId="3" borderId="0" xfId="0" applyNumberFormat="1" applyFont="1" applyFill="1" applyAlignment="1">
      <alignment horizontal="center" vertical="center"/>
    </xf>
    <xf numFmtId="0" fontId="0" fillId="3" borderId="18" xfId="0" applyNumberFormat="1" applyFill="1" applyBorder="1">
      <alignment vertical="center"/>
    </xf>
    <xf numFmtId="0" fontId="5" fillId="3" borderId="19" xfId="0" applyNumberFormat="1" applyFont="1" applyFill="1" applyBorder="1">
      <alignment vertical="center"/>
    </xf>
    <xf numFmtId="0" fontId="5" fillId="3" borderId="21" xfId="0" applyNumberFormat="1" applyFont="1" applyFill="1" applyBorder="1" applyAlignment="1">
      <alignment vertical="center"/>
    </xf>
    <xf numFmtId="0" fontId="5" fillId="3" borderId="21" xfId="0" applyNumberFormat="1" applyFont="1" applyFill="1" applyBorder="1" applyAlignment="1">
      <alignment horizontal="left" vertical="center"/>
    </xf>
    <xf numFmtId="0" fontId="16" fillId="3" borderId="21" xfId="0" applyNumberFormat="1" applyFont="1" applyFill="1" applyBorder="1" applyAlignment="1">
      <alignment horizontal="left" vertical="center"/>
    </xf>
    <xf numFmtId="0" fontId="5" fillId="3" borderId="21" xfId="0" applyNumberFormat="1" applyFont="1" applyFill="1" applyBorder="1">
      <alignment vertical="center"/>
    </xf>
    <xf numFmtId="0" fontId="5" fillId="3" borderId="22" xfId="0" applyNumberFormat="1" applyFont="1" applyFill="1" applyBorder="1">
      <alignment vertical="center"/>
    </xf>
    <xf numFmtId="0" fontId="15" fillId="3" borderId="0" xfId="1" applyNumberFormat="1" applyFont="1" applyFill="1" applyAlignment="1">
      <alignment horizontal="center" vertical="center"/>
    </xf>
    <xf numFmtId="0" fontId="0" fillId="3" borderId="17" xfId="0" applyNumberFormat="1" applyFill="1" applyBorder="1" applyAlignment="1">
      <alignment horizontal="center" vertical="center"/>
    </xf>
    <xf numFmtId="0" fontId="0" fillId="3" borderId="0" xfId="0" applyNumberFormat="1" applyFill="1" applyBorder="1" applyAlignment="1">
      <alignment horizontal="center" vertical="center"/>
    </xf>
    <xf numFmtId="0" fontId="0" fillId="3" borderId="21" xfId="0" applyNumberFormat="1" applyFill="1" applyBorder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3" borderId="15" xfId="0" applyNumberFormat="1" applyFill="1" applyBorder="1" applyAlignment="1">
      <alignment horizontal="center" vertical="center"/>
    </xf>
    <xf numFmtId="0" fontId="0" fillId="3" borderId="16" xfId="0" applyNumberFormat="1" applyFill="1" applyBorder="1" applyAlignment="1">
      <alignment horizontal="center" vertical="center"/>
    </xf>
    <xf numFmtId="0" fontId="0" fillId="3" borderId="20" xfId="0" applyNumberFormat="1" applyFill="1" applyBorder="1" applyAlignment="1">
      <alignment horizontal="center" vertical="center"/>
    </xf>
    <xf numFmtId="0" fontId="13" fillId="3" borderId="0" xfId="1" applyNumberFormat="1" applyFont="1" applyFill="1" applyAlignment="1">
      <alignment horizontal="center" vertical="center"/>
    </xf>
    <xf numFmtId="0" fontId="8" fillId="3" borderId="0" xfId="1" applyNumberFormat="1" applyFont="1" applyFill="1" applyAlignment="1">
      <alignment horizontal="center" vertical="center"/>
    </xf>
    <xf numFmtId="0" fontId="9" fillId="3" borderId="0" xfId="1" applyNumberFormat="1" applyFont="1" applyFill="1" applyAlignment="1">
      <alignment horizontal="center" vertical="center"/>
    </xf>
    <xf numFmtId="0" fontId="4" fillId="3" borderId="17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21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  <xf numFmtId="0" fontId="12" fillId="3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主营业务收入趋势分析与预测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6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val>
            <c:numRef>
              <c:f>主营业务收入!$B$3:$B$8</c:f>
              <c:numCache>
                <c:formatCode>0.00</c:formatCode>
                <c:ptCount val="6"/>
                <c:pt idx="0">
                  <c:v>268.95</c:v>
                </c:pt>
                <c:pt idx="1">
                  <c:v>288.5</c:v>
                </c:pt>
                <c:pt idx="2">
                  <c:v>312.68</c:v>
                </c:pt>
                <c:pt idx="3">
                  <c:v>290.2</c:v>
                </c:pt>
                <c:pt idx="4">
                  <c:v>302.56</c:v>
                </c:pt>
                <c:pt idx="5">
                  <c:v>315.33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C94-4356-89CC-F1D4F3ED8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55872"/>
        <c:axId val="56657408"/>
      </c:lineChart>
      <c:catAx>
        <c:axId val="5665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57408"/>
        <c:crosses val="autoZero"/>
        <c:auto val="1"/>
        <c:lblAlgn val="ctr"/>
        <c:lblOffset val="100"/>
        <c:noMultiLvlLbl val="0"/>
      </c:catAx>
      <c:valAx>
        <c:axId val="5665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5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产量与生产成本趋势预测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生产成本!$A$4</c:f>
              <c:strCache>
                <c:ptCount val="1"/>
                <c:pt idx="0">
                  <c:v>产量（万件）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4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生产成本!$B$3:$M$3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生产成本!$B$4:$M$4</c:f>
              <c:numCache>
                <c:formatCode>General</c:formatCode>
                <c:ptCount val="12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2-4CF8-AA4B-4A7603D18381}"/>
            </c:ext>
          </c:extLst>
        </c:ser>
        <c:ser>
          <c:idx val="1"/>
          <c:order val="1"/>
          <c:tx>
            <c:strRef>
              <c:f>生产成本!$A$5</c:f>
              <c:strCache>
                <c:ptCount val="1"/>
                <c:pt idx="0">
                  <c:v>生产成本（万元）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4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生产成本!$B$3:$M$3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生产成本!$B$5:$M$5</c:f>
              <c:numCache>
                <c:formatCode>General</c:formatCode>
                <c:ptCount val="12"/>
                <c:pt idx="0">
                  <c:v>135</c:v>
                </c:pt>
                <c:pt idx="1">
                  <c:v>138</c:v>
                </c:pt>
                <c:pt idx="2">
                  <c:v>141</c:v>
                </c:pt>
                <c:pt idx="3">
                  <c:v>144</c:v>
                </c:pt>
                <c:pt idx="4">
                  <c:v>147</c:v>
                </c:pt>
                <c:pt idx="5">
                  <c:v>150</c:v>
                </c:pt>
                <c:pt idx="6">
                  <c:v>153</c:v>
                </c:pt>
                <c:pt idx="7">
                  <c:v>156</c:v>
                </c:pt>
                <c:pt idx="8">
                  <c:v>159</c:v>
                </c:pt>
                <c:pt idx="9">
                  <c:v>162</c:v>
                </c:pt>
                <c:pt idx="10">
                  <c:v>165</c:v>
                </c:pt>
                <c:pt idx="11">
                  <c:v>168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6A2-4CF8-AA4B-4A7603D18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53376"/>
        <c:axId val="58054912"/>
      </c:scatterChart>
      <c:valAx>
        <c:axId val="5805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054912"/>
        <c:crosses val="autoZero"/>
        <c:crossBetween val="midCat"/>
      </c:valAx>
      <c:valAx>
        <c:axId val="580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053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存货量预测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存货!$A$5</c:f>
              <c:strCache>
                <c:ptCount val="1"/>
                <c:pt idx="0">
                  <c:v>存货量（万件）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存货!$B$4:$M$4</c:f>
              <c:numCache>
                <c:formatCode>General</c:formatCode>
                <c:ptCount val="12"/>
                <c:pt idx="0">
                  <c:v>263</c:v>
                </c:pt>
                <c:pt idx="1">
                  <c:v>267</c:v>
                </c:pt>
                <c:pt idx="2">
                  <c:v>285</c:v>
                </c:pt>
                <c:pt idx="3">
                  <c:v>300</c:v>
                </c:pt>
                <c:pt idx="4">
                  <c:v>305</c:v>
                </c:pt>
                <c:pt idx="5">
                  <c:v>308</c:v>
                </c:pt>
                <c:pt idx="6">
                  <c:v>321</c:v>
                </c:pt>
                <c:pt idx="7">
                  <c:v>328</c:v>
                </c:pt>
                <c:pt idx="8">
                  <c:v>337</c:v>
                </c:pt>
                <c:pt idx="9">
                  <c:v>351</c:v>
                </c:pt>
                <c:pt idx="10">
                  <c:v>366</c:v>
                </c:pt>
                <c:pt idx="11">
                  <c:v>382</c:v>
                </c:pt>
              </c:numCache>
            </c:numRef>
          </c:xVal>
          <c:yVal>
            <c:numRef>
              <c:f>存货!$B$5:$M$5</c:f>
              <c:numCache>
                <c:formatCode>General</c:formatCode>
                <c:ptCount val="12"/>
                <c:pt idx="0">
                  <c:v>93</c:v>
                </c:pt>
                <c:pt idx="1">
                  <c:v>170</c:v>
                </c:pt>
                <c:pt idx="2">
                  <c:v>255</c:v>
                </c:pt>
                <c:pt idx="3">
                  <c:v>345</c:v>
                </c:pt>
                <c:pt idx="4">
                  <c:v>400</c:v>
                </c:pt>
                <c:pt idx="5">
                  <c:v>438</c:v>
                </c:pt>
                <c:pt idx="6">
                  <c:v>519</c:v>
                </c:pt>
                <c:pt idx="7">
                  <c:v>597</c:v>
                </c:pt>
                <c:pt idx="8">
                  <c:v>674</c:v>
                </c:pt>
                <c:pt idx="9">
                  <c:v>755</c:v>
                </c:pt>
                <c:pt idx="10">
                  <c:v>831</c:v>
                </c:pt>
                <c:pt idx="11">
                  <c:v>893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11-4817-A222-031BF995D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71968"/>
        <c:axId val="155973504"/>
      </c:scatterChart>
      <c:valAx>
        <c:axId val="15597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973504"/>
        <c:crosses val="autoZero"/>
        <c:crossBetween val="midCat"/>
      </c:valAx>
      <c:valAx>
        <c:axId val="1559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97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移动平均与主营业务利润趋势分析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实际值</c:v>
          </c:tx>
          <c:val>
            <c:numRef>
              <c:f>主营业务利润!$D$2:$D$19</c:f>
              <c:numCache>
                <c:formatCode>0.00</c:formatCode>
                <c:ptCount val="18"/>
                <c:pt idx="0">
                  <c:v>31578</c:v>
                </c:pt>
                <c:pt idx="1">
                  <c:v>34895.86</c:v>
                </c:pt>
                <c:pt idx="2">
                  <c:v>30188.23</c:v>
                </c:pt>
                <c:pt idx="3">
                  <c:v>34900</c:v>
                </c:pt>
                <c:pt idx="4">
                  <c:v>35100</c:v>
                </c:pt>
                <c:pt idx="5">
                  <c:v>32800</c:v>
                </c:pt>
                <c:pt idx="6">
                  <c:v>31689</c:v>
                </c:pt>
                <c:pt idx="7">
                  <c:v>33880</c:v>
                </c:pt>
                <c:pt idx="8">
                  <c:v>36890</c:v>
                </c:pt>
                <c:pt idx="9">
                  <c:v>39800</c:v>
                </c:pt>
                <c:pt idx="10">
                  <c:v>46890</c:v>
                </c:pt>
                <c:pt idx="11">
                  <c:v>43200</c:v>
                </c:pt>
                <c:pt idx="12">
                  <c:v>46914.5</c:v>
                </c:pt>
                <c:pt idx="13">
                  <c:v>46640.800000000003</c:v>
                </c:pt>
                <c:pt idx="14">
                  <c:v>38865.800000000003</c:v>
                </c:pt>
                <c:pt idx="15">
                  <c:v>42730</c:v>
                </c:pt>
                <c:pt idx="16">
                  <c:v>47880</c:v>
                </c:pt>
                <c:pt idx="17">
                  <c:v>48580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B8-40E8-A4AF-4748B984F349}"/>
            </c:ext>
          </c:extLst>
        </c:ser>
        <c:ser>
          <c:idx val="1"/>
          <c:order val="1"/>
          <c:tx>
            <c:v>预测值</c:v>
          </c:tx>
          <c:trendline>
            <c:trendlineType val="movingAvg"/>
            <c:period val="2"/>
            <c:dispRSqr val="0"/>
            <c:dispEq val="0"/>
          </c:trendline>
          <c:val>
            <c:numRef>
              <c:f>主营业务利润!$E$2:$E$19</c:f>
              <c:numCache>
                <c:formatCode>0.00</c:formatCode>
                <c:ptCount val="18"/>
                <c:pt idx="0" formatCode="General">
                  <c:v>#N/A</c:v>
                </c:pt>
                <c:pt idx="1">
                  <c:v>33236.93</c:v>
                </c:pt>
                <c:pt idx="2">
                  <c:v>32542.044999999998</c:v>
                </c:pt>
                <c:pt idx="3">
                  <c:v>32544.114999999998</c:v>
                </c:pt>
                <c:pt idx="4">
                  <c:v>35000</c:v>
                </c:pt>
                <c:pt idx="5">
                  <c:v>33950</c:v>
                </c:pt>
                <c:pt idx="6">
                  <c:v>32244.5</c:v>
                </c:pt>
                <c:pt idx="7">
                  <c:v>32784.5</c:v>
                </c:pt>
                <c:pt idx="8">
                  <c:v>35385</c:v>
                </c:pt>
                <c:pt idx="9">
                  <c:v>38345</c:v>
                </c:pt>
                <c:pt idx="10">
                  <c:v>43345</c:v>
                </c:pt>
                <c:pt idx="11">
                  <c:v>45045</c:v>
                </c:pt>
                <c:pt idx="12">
                  <c:v>45057.25</c:v>
                </c:pt>
                <c:pt idx="13">
                  <c:v>46777.65</c:v>
                </c:pt>
                <c:pt idx="14">
                  <c:v>42753.3</c:v>
                </c:pt>
                <c:pt idx="15">
                  <c:v>40797.9</c:v>
                </c:pt>
                <c:pt idx="16">
                  <c:v>45305</c:v>
                </c:pt>
                <c:pt idx="17">
                  <c:v>48230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3B8-40E8-A4AF-4748B984F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37056"/>
        <c:axId val="156647424"/>
      </c:lineChart>
      <c:catAx>
        <c:axId val="1566370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数据点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47424"/>
        <c:crosses val="autoZero"/>
        <c:auto val="1"/>
        <c:lblAlgn val="ctr"/>
        <c:lblOffset val="100"/>
        <c:noMultiLvlLbl val="0"/>
      </c:catAx>
      <c:valAx>
        <c:axId val="15664742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值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37056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142875</xdr:rowOff>
    </xdr:from>
    <xdr:to>
      <xdr:col>8</xdr:col>
      <xdr:colOff>628650</xdr:colOff>
      <xdr:row>16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9</xdr:row>
      <xdr:rowOff>95250</xdr:rowOff>
    </xdr:from>
    <xdr:to>
      <xdr:col>5</xdr:col>
      <xdr:colOff>581025</xdr:colOff>
      <xdr:row>25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9</xdr:row>
      <xdr:rowOff>133350</xdr:rowOff>
    </xdr:from>
    <xdr:to>
      <xdr:col>6</xdr:col>
      <xdr:colOff>19050</xdr:colOff>
      <xdr:row>25</xdr:row>
      <xdr:rowOff>133350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104774</xdr:colOff>
      <xdr:row>0</xdr:row>
      <xdr:rowOff>152399</xdr:rowOff>
    </xdr:from>
    <xdr:to>
      <xdr:col>14</xdr:col>
      <xdr:colOff>504825</xdr:colOff>
      <xdr:row>17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L15" sqref="L15"/>
    </sheetView>
  </sheetViews>
  <sheetFormatPr defaultColWidth="9" defaultRowHeight="13.5"/>
  <cols>
    <col min="1" max="2" width="9" style="45"/>
    <col min="10" max="12" width="9" style="45"/>
  </cols>
  <sheetData>
    <row r="1" spans="1:9">
      <c r="A1" s="68"/>
      <c r="B1" s="69"/>
      <c r="C1" s="69"/>
      <c r="D1" s="69"/>
      <c r="E1" s="69"/>
      <c r="F1" s="69"/>
      <c r="G1" s="69"/>
      <c r="H1" s="69"/>
      <c r="I1" s="70"/>
    </row>
    <row r="2" spans="1:9">
      <c r="A2" s="64"/>
      <c r="B2" s="67"/>
      <c r="C2" s="67"/>
      <c r="D2" s="67"/>
      <c r="E2" s="67"/>
      <c r="F2" s="67"/>
      <c r="G2" s="67"/>
      <c r="H2" s="67"/>
      <c r="I2" s="66"/>
    </row>
    <row r="3" spans="1:9">
      <c r="A3" s="64"/>
      <c r="B3" s="67"/>
      <c r="C3" s="67"/>
      <c r="D3" s="67"/>
      <c r="E3" s="67"/>
      <c r="F3" s="67"/>
      <c r="G3" s="67"/>
      <c r="H3" s="67"/>
      <c r="I3" s="66"/>
    </row>
    <row r="4" spans="1:9">
      <c r="A4" s="64"/>
      <c r="B4" s="65"/>
      <c r="C4" s="65"/>
      <c r="D4" s="65"/>
      <c r="E4" s="65"/>
      <c r="F4" s="65"/>
      <c r="G4" s="65"/>
      <c r="H4" s="65"/>
      <c r="I4" s="66"/>
    </row>
    <row r="5" spans="1:9">
      <c r="A5" s="64"/>
      <c r="B5" s="67"/>
      <c r="C5" s="67"/>
      <c r="D5" s="67"/>
      <c r="E5" s="67"/>
      <c r="F5" s="67"/>
      <c r="G5" s="67"/>
      <c r="H5" s="67"/>
      <c r="I5" s="66"/>
    </row>
    <row r="6" spans="1:9">
      <c r="A6" s="64"/>
      <c r="B6" s="67"/>
      <c r="C6" s="67"/>
      <c r="D6" s="67"/>
      <c r="E6" s="67"/>
      <c r="F6" s="67"/>
      <c r="G6" s="67"/>
      <c r="H6" s="67"/>
      <c r="I6" s="66"/>
    </row>
    <row r="7" spans="1:9">
      <c r="A7" s="74" t="s">
        <v>0</v>
      </c>
      <c r="B7" s="75"/>
      <c r="C7" s="75"/>
      <c r="D7" s="75"/>
      <c r="E7" s="75"/>
      <c r="F7" s="75"/>
      <c r="G7" s="75"/>
      <c r="H7" s="75"/>
      <c r="I7" s="76"/>
    </row>
    <row r="8" spans="1:9">
      <c r="A8" s="74"/>
      <c r="B8" s="77"/>
      <c r="C8" s="77"/>
      <c r="D8" s="77"/>
      <c r="E8" s="77"/>
      <c r="F8" s="77"/>
      <c r="G8" s="77"/>
      <c r="H8" s="77"/>
      <c r="I8" s="76"/>
    </row>
    <row r="9" spans="1:9">
      <c r="A9" s="74"/>
      <c r="B9" s="77"/>
      <c r="C9" s="77"/>
      <c r="D9" s="77"/>
      <c r="E9" s="77"/>
      <c r="F9" s="77"/>
      <c r="G9" s="77"/>
      <c r="H9" s="77"/>
      <c r="I9" s="76"/>
    </row>
    <row r="10" spans="1:9">
      <c r="A10" s="74"/>
      <c r="B10" s="77"/>
      <c r="C10" s="77"/>
      <c r="D10" s="77"/>
      <c r="E10" s="77"/>
      <c r="F10" s="77"/>
      <c r="G10" s="77"/>
      <c r="H10" s="77"/>
      <c r="I10" s="76"/>
    </row>
    <row r="11" spans="1:9">
      <c r="A11" s="74"/>
      <c r="B11" s="77"/>
      <c r="C11" s="77"/>
      <c r="D11" s="77"/>
      <c r="E11" s="77"/>
      <c r="F11" s="77"/>
      <c r="G11" s="77"/>
      <c r="H11" s="77"/>
      <c r="I11" s="76"/>
    </row>
    <row r="12" spans="1:9">
      <c r="A12" s="46"/>
      <c r="B12" s="47"/>
      <c r="C12" s="48"/>
      <c r="D12" s="48"/>
      <c r="E12" s="48"/>
      <c r="F12" s="48"/>
      <c r="G12" s="48"/>
      <c r="H12" s="48"/>
      <c r="I12" s="58"/>
    </row>
    <row r="13" spans="1:9">
      <c r="A13" s="46"/>
      <c r="B13" s="47"/>
      <c r="C13" s="48"/>
      <c r="D13" s="48"/>
      <c r="E13" s="48"/>
      <c r="F13" s="48"/>
      <c r="G13" s="48"/>
      <c r="H13" s="48"/>
      <c r="I13" s="58"/>
    </row>
    <row r="14" spans="1:9">
      <c r="A14" s="46"/>
      <c r="B14" s="47"/>
      <c r="C14" s="48"/>
      <c r="D14" s="48"/>
      <c r="E14" s="48"/>
      <c r="F14" s="48"/>
      <c r="G14" s="48"/>
      <c r="H14" s="48"/>
      <c r="I14" s="58"/>
    </row>
    <row r="15" spans="1:9">
      <c r="A15" s="46"/>
      <c r="B15" s="47"/>
      <c r="C15" s="49"/>
      <c r="D15" s="49"/>
      <c r="E15" s="48"/>
      <c r="F15" s="50"/>
      <c r="G15" s="50"/>
      <c r="H15" s="48"/>
      <c r="I15" s="58"/>
    </row>
    <row r="16" spans="1:9">
      <c r="A16" s="46"/>
      <c r="B16" s="47"/>
      <c r="C16" s="72" t="s">
        <v>1</v>
      </c>
      <c r="D16" s="72"/>
      <c r="E16" s="47"/>
      <c r="F16" s="73" t="s">
        <v>2</v>
      </c>
      <c r="G16" s="73"/>
      <c r="H16" s="47"/>
      <c r="I16" s="59"/>
    </row>
    <row r="17" spans="1:9">
      <c r="A17" s="46"/>
      <c r="B17" s="47"/>
      <c r="C17" s="72"/>
      <c r="D17" s="72"/>
      <c r="E17" s="47"/>
      <c r="F17" s="73"/>
      <c r="G17" s="73"/>
      <c r="H17" s="47"/>
      <c r="I17" s="59"/>
    </row>
    <row r="18" spans="1:9">
      <c r="A18" s="46"/>
      <c r="B18" s="47"/>
      <c r="C18" s="51"/>
      <c r="D18" s="51"/>
      <c r="E18" s="47"/>
      <c r="F18" s="52"/>
      <c r="G18" s="52"/>
      <c r="H18" s="47"/>
      <c r="I18" s="59"/>
    </row>
    <row r="19" spans="1:9" ht="14.25">
      <c r="A19" s="46"/>
      <c r="B19" s="47"/>
      <c r="C19" s="78" t="s">
        <v>3</v>
      </c>
      <c r="D19" s="78"/>
      <c r="E19" s="47"/>
      <c r="F19" s="71" t="s">
        <v>4</v>
      </c>
      <c r="G19" s="71"/>
      <c r="H19" s="47"/>
      <c r="I19" s="60"/>
    </row>
    <row r="20" spans="1:9">
      <c r="A20" s="46"/>
      <c r="B20" s="47"/>
      <c r="C20" s="78"/>
      <c r="D20" s="78"/>
      <c r="E20" s="47"/>
      <c r="F20" s="71"/>
      <c r="G20" s="71"/>
      <c r="H20" s="47"/>
      <c r="I20" s="59"/>
    </row>
    <row r="21" spans="1:9">
      <c r="A21" s="53"/>
      <c r="B21" s="48"/>
      <c r="C21" s="48"/>
      <c r="D21" s="48"/>
      <c r="E21" s="48"/>
      <c r="F21" s="48"/>
      <c r="G21" s="48"/>
      <c r="H21" s="48"/>
      <c r="I21" s="59"/>
    </row>
    <row r="22" spans="1:9">
      <c r="A22" s="53"/>
      <c r="B22" s="48"/>
      <c r="C22" s="48"/>
      <c r="D22" s="48"/>
      <c r="E22" s="48"/>
      <c r="F22" s="54" t="s">
        <v>5</v>
      </c>
      <c r="G22" s="54"/>
      <c r="H22" s="48"/>
      <c r="I22" s="59"/>
    </row>
    <row r="23" spans="1:9">
      <c r="A23" s="53"/>
      <c r="B23" s="48"/>
      <c r="C23" s="48"/>
      <c r="D23" s="48"/>
      <c r="E23" s="48"/>
      <c r="F23" s="54"/>
      <c r="G23" s="54"/>
      <c r="H23" s="48"/>
      <c r="I23" s="59"/>
    </row>
    <row r="24" spans="1:9">
      <c r="A24" s="53"/>
      <c r="B24" s="48"/>
      <c r="C24" s="48"/>
      <c r="D24" s="48"/>
      <c r="E24" s="48"/>
      <c r="F24" s="48"/>
      <c r="G24" s="48"/>
      <c r="H24" s="48"/>
      <c r="I24" s="59"/>
    </row>
    <row r="25" spans="1:9">
      <c r="A25" s="46"/>
      <c r="B25" s="47"/>
      <c r="C25" s="55"/>
      <c r="D25" s="55"/>
      <c r="E25" s="55"/>
      <c r="F25" s="63" t="s">
        <v>6</v>
      </c>
      <c r="G25" s="63"/>
      <c r="H25" s="47"/>
      <c r="I25" s="59"/>
    </row>
    <row r="26" spans="1:9">
      <c r="A26" s="46"/>
      <c r="B26" s="47"/>
      <c r="C26" s="55"/>
      <c r="D26" s="55"/>
      <c r="E26" s="55"/>
      <c r="F26" s="63"/>
      <c r="G26" s="63"/>
      <c r="H26" s="47"/>
      <c r="I26" s="59"/>
    </row>
    <row r="27" spans="1:9">
      <c r="A27" s="46"/>
      <c r="B27" s="47"/>
      <c r="C27" s="47"/>
      <c r="D27" s="47"/>
      <c r="E27" s="47"/>
      <c r="F27" s="47"/>
      <c r="G27" s="47"/>
      <c r="H27" s="47"/>
      <c r="I27" s="59"/>
    </row>
    <row r="28" spans="1:9">
      <c r="A28" s="46"/>
      <c r="B28" s="47"/>
      <c r="C28" s="47"/>
      <c r="D28" s="47"/>
      <c r="E28" s="47"/>
      <c r="F28" s="47"/>
      <c r="G28" s="47"/>
      <c r="H28" s="47"/>
      <c r="I28" s="61"/>
    </row>
    <row r="29" spans="1:9">
      <c r="A29" s="46"/>
      <c r="B29" s="47"/>
      <c r="C29" s="47"/>
      <c r="D29" s="47"/>
      <c r="E29" s="47"/>
      <c r="F29" s="47"/>
      <c r="G29" s="47"/>
      <c r="H29" s="47"/>
      <c r="I29" s="61"/>
    </row>
    <row r="30" spans="1:9">
      <c r="A30" s="46"/>
      <c r="B30" s="47"/>
      <c r="C30" s="47"/>
      <c r="D30" s="47"/>
      <c r="E30" s="47"/>
      <c r="F30" s="47"/>
      <c r="G30" s="47"/>
      <c r="H30" s="47"/>
      <c r="I30" s="61"/>
    </row>
    <row r="31" spans="1:9">
      <c r="A31" s="46"/>
      <c r="B31" s="47"/>
      <c r="C31" s="47"/>
      <c r="D31" s="47"/>
      <c r="E31" s="47"/>
      <c r="F31" s="47"/>
      <c r="G31" s="47"/>
      <c r="H31" s="47"/>
      <c r="I31" s="61"/>
    </row>
    <row r="32" spans="1:9">
      <c r="A32" s="46"/>
      <c r="B32" s="47"/>
      <c r="C32" s="47"/>
      <c r="D32" s="47"/>
      <c r="E32" s="47"/>
      <c r="F32" s="47"/>
      <c r="G32" s="47"/>
      <c r="H32" s="47"/>
      <c r="I32" s="61"/>
    </row>
    <row r="33" spans="1:9">
      <c r="A33" s="46"/>
      <c r="B33" s="47"/>
      <c r="C33" s="47"/>
      <c r="D33" s="47"/>
      <c r="E33" s="47"/>
      <c r="F33" s="47"/>
      <c r="G33" s="47"/>
      <c r="H33" s="47"/>
      <c r="I33" s="61"/>
    </row>
    <row r="34" spans="1:9">
      <c r="A34" s="46"/>
      <c r="B34" s="47"/>
      <c r="C34" s="47"/>
      <c r="D34" s="47"/>
      <c r="E34" s="47"/>
      <c r="F34" s="47"/>
      <c r="G34" s="47"/>
      <c r="H34" s="47"/>
      <c r="I34" s="61"/>
    </row>
    <row r="35" spans="1:9">
      <c r="A35" s="46"/>
      <c r="B35" s="47"/>
      <c r="C35" s="47"/>
      <c r="D35" s="47"/>
      <c r="E35" s="47"/>
      <c r="F35" s="47"/>
      <c r="G35" s="47"/>
      <c r="H35" s="47"/>
      <c r="I35" s="61"/>
    </row>
    <row r="36" spans="1:9">
      <c r="A36" s="46"/>
      <c r="B36" s="47"/>
      <c r="C36" s="47"/>
      <c r="D36" s="47"/>
      <c r="E36" s="47"/>
      <c r="F36" s="47"/>
      <c r="G36" s="47"/>
      <c r="H36" s="47"/>
      <c r="I36" s="61"/>
    </row>
    <row r="37" spans="1:9">
      <c r="A37" s="56"/>
      <c r="B37" s="57"/>
      <c r="C37" s="57"/>
      <c r="D37" s="57"/>
      <c r="E37" s="57"/>
      <c r="F37" s="57"/>
      <c r="G37" s="57"/>
      <c r="H37" s="57"/>
      <c r="I37" s="62"/>
    </row>
  </sheetData>
  <mergeCells count="8">
    <mergeCell ref="F25:G26"/>
    <mergeCell ref="A4:I6"/>
    <mergeCell ref="A1:I3"/>
    <mergeCell ref="F19:G20"/>
    <mergeCell ref="C16:D17"/>
    <mergeCell ref="F16:G17"/>
    <mergeCell ref="A7:I11"/>
    <mergeCell ref="C19:D20"/>
  </mergeCells>
  <phoneticPr fontId="18" type="noConversion"/>
  <hyperlinks>
    <hyperlink ref="C16:D17" location="资金需要量预测!A1" display="资金需要量预测"/>
    <hyperlink ref="C19:D20" location="日常费用线性预测!A1" display="日常费用预测"/>
    <hyperlink ref="F16:G17" location="主营业务收入!A1" display="主营业务收入预测"/>
    <hyperlink ref="F19:G20" location="生产成本!A1" display="生产成本预测"/>
    <hyperlink ref="F22:G23" location="存货!A1" display="存货预测"/>
    <hyperlink ref="F25:G26" location="主营业务利润!A1" display="主营业务利润预测"/>
  </hyperlinks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M32" sqref="M32"/>
    </sheetView>
  </sheetViews>
  <sheetFormatPr defaultColWidth="9" defaultRowHeight="13.5"/>
  <cols>
    <col min="1" max="2" width="15.625" customWidth="1"/>
    <col min="3" max="3" width="16.625" customWidth="1"/>
    <col min="9" max="9" width="22.625" customWidth="1"/>
  </cols>
  <sheetData>
    <row r="1" spans="1:9" ht="20.25">
      <c r="A1" s="80" t="s">
        <v>7</v>
      </c>
      <c r="B1" s="81"/>
      <c r="C1" s="81"/>
    </row>
    <row r="2" spans="1:9">
      <c r="A2" s="1" t="s">
        <v>8</v>
      </c>
      <c r="B2" s="1" t="s">
        <v>9</v>
      </c>
      <c r="C2" s="44" t="s">
        <v>10</v>
      </c>
      <c r="E2" s="79" t="s">
        <v>11</v>
      </c>
      <c r="F2" s="79"/>
      <c r="G2" s="79"/>
      <c r="H2" s="79"/>
      <c r="I2" s="79"/>
    </row>
    <row r="3" spans="1:9">
      <c r="A3" s="1">
        <v>2009</v>
      </c>
      <c r="B3">
        <v>650</v>
      </c>
      <c r="C3">
        <v>525</v>
      </c>
      <c r="E3" s="79" t="s">
        <v>12</v>
      </c>
      <c r="F3" s="79"/>
      <c r="G3" s="79"/>
      <c r="H3" s="79"/>
      <c r="I3" s="79"/>
    </row>
    <row r="4" spans="1:9">
      <c r="A4" s="1">
        <v>2010</v>
      </c>
      <c r="B4">
        <v>600</v>
      </c>
      <c r="C4">
        <v>500</v>
      </c>
      <c r="E4" s="79" t="s">
        <v>13</v>
      </c>
      <c r="F4" s="79"/>
      <c r="G4" s="79"/>
      <c r="H4" s="79"/>
      <c r="I4" s="79"/>
    </row>
    <row r="5" spans="1:9">
      <c r="A5" s="1">
        <v>2011</v>
      </c>
      <c r="B5">
        <v>500</v>
      </c>
      <c r="C5">
        <v>450</v>
      </c>
      <c r="E5" s="79" t="s">
        <v>14</v>
      </c>
      <c r="F5" s="79"/>
      <c r="G5" s="79"/>
      <c r="H5" s="79"/>
      <c r="I5" s="79"/>
    </row>
    <row r="6" spans="1:9">
      <c r="A6" s="1">
        <v>2012</v>
      </c>
      <c r="B6">
        <v>700</v>
      </c>
      <c r="C6">
        <v>550</v>
      </c>
      <c r="E6" s="79" t="s">
        <v>15</v>
      </c>
      <c r="F6" s="79"/>
      <c r="G6" s="79"/>
      <c r="H6" s="79"/>
      <c r="I6" s="79"/>
    </row>
    <row r="7" spans="1:9">
      <c r="A7" s="1">
        <v>2013</v>
      </c>
      <c r="B7">
        <v>750</v>
      </c>
      <c r="C7">
        <v>575</v>
      </c>
      <c r="E7" s="79" t="s">
        <v>16</v>
      </c>
      <c r="F7" s="79"/>
      <c r="G7" s="79"/>
      <c r="H7" s="79"/>
      <c r="I7" s="79"/>
    </row>
    <row r="8" spans="1:9">
      <c r="A8" s="1">
        <v>2014</v>
      </c>
      <c r="B8">
        <v>800</v>
      </c>
      <c r="C8">
        <v>600</v>
      </c>
      <c r="E8" s="79"/>
      <c r="F8" s="79"/>
      <c r="G8" s="79"/>
      <c r="H8" s="79"/>
      <c r="I8" s="79"/>
    </row>
    <row r="9" spans="1:9" ht="20.25">
      <c r="A9" s="80" t="s">
        <v>17</v>
      </c>
      <c r="B9" s="81"/>
      <c r="C9" s="81"/>
    </row>
    <row r="10" spans="1:9">
      <c r="A10" t="s">
        <v>18</v>
      </c>
      <c r="B10" t="s">
        <v>9</v>
      </c>
      <c r="C10" t="s">
        <v>10</v>
      </c>
    </row>
    <row r="11" spans="1:9">
      <c r="A11" t="s">
        <v>19</v>
      </c>
      <c r="B11">
        <f>MAX(B3:B8)</f>
        <v>800</v>
      </c>
      <c r="C11">
        <f>INDEX($C$3:$C$8,MATCH(B11,$B$3:$B$8))</f>
        <v>600</v>
      </c>
    </row>
    <row r="12" spans="1:9">
      <c r="A12" t="s">
        <v>20</v>
      </c>
      <c r="B12">
        <f>MIN(B3:B8)</f>
        <v>500</v>
      </c>
      <c r="C12">
        <f>INDEX($C$3:$C$8,MATCH(B12,$B$3:$B$8))</f>
        <v>450</v>
      </c>
    </row>
    <row r="13" spans="1:9">
      <c r="A13" t="s">
        <v>21</v>
      </c>
      <c r="B13">
        <f>(C11-C12)/(B11-B12)</f>
        <v>0.5</v>
      </c>
    </row>
    <row r="14" spans="1:9">
      <c r="A14" t="s">
        <v>22</v>
      </c>
      <c r="B14">
        <f>C11-B11*B13</f>
        <v>200</v>
      </c>
    </row>
    <row r="15" spans="1:9">
      <c r="A15" t="s">
        <v>23</v>
      </c>
      <c r="B15" s="9">
        <v>1000</v>
      </c>
      <c r="C15">
        <f>B14+B13*B15</f>
        <v>700</v>
      </c>
    </row>
    <row r="16" spans="1:9" ht="20.25">
      <c r="A16" s="80" t="s">
        <v>24</v>
      </c>
      <c r="B16" s="81"/>
      <c r="C16" s="81"/>
    </row>
    <row r="17" spans="1:3">
      <c r="A17" t="s">
        <v>21</v>
      </c>
      <c r="B17">
        <f>SLOPE(C3:C8,B3:B8)</f>
        <v>0.5</v>
      </c>
    </row>
    <row r="18" spans="1:3">
      <c r="A18" t="s">
        <v>22</v>
      </c>
      <c r="B18">
        <f>INTERCEPT(C3:C8,B3:B8)</f>
        <v>200.00000000000006</v>
      </c>
    </row>
    <row r="19" spans="1:3">
      <c r="A19" t="s">
        <v>23</v>
      </c>
      <c r="B19" s="9">
        <v>1000</v>
      </c>
      <c r="C19">
        <f>B18+B17*B19</f>
        <v>700</v>
      </c>
    </row>
  </sheetData>
  <mergeCells count="10">
    <mergeCell ref="A1:C1"/>
    <mergeCell ref="E2:I2"/>
    <mergeCell ref="E3:I3"/>
    <mergeCell ref="E4:I4"/>
    <mergeCell ref="E5:I5"/>
    <mergeCell ref="E6:I6"/>
    <mergeCell ref="E7:I7"/>
    <mergeCell ref="E8:I8"/>
    <mergeCell ref="A9:C9"/>
    <mergeCell ref="A16:C16"/>
  </mergeCells>
  <phoneticPr fontId="1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L36" sqref="L36"/>
    </sheetView>
  </sheetViews>
  <sheetFormatPr defaultColWidth="9" defaultRowHeight="13.5"/>
  <cols>
    <col min="1" max="12" width="12.625" customWidth="1"/>
  </cols>
  <sheetData>
    <row r="1" spans="1:12" ht="20.25">
      <c r="A1" s="80" t="s">
        <v>25</v>
      </c>
      <c r="B1" s="81"/>
      <c r="C1" s="81"/>
      <c r="D1" s="81"/>
      <c r="E1" s="81"/>
      <c r="F1" s="81"/>
      <c r="G1" s="81"/>
    </row>
    <row r="2" spans="1:12">
      <c r="A2" s="14" t="s">
        <v>26</v>
      </c>
      <c r="B2" s="15" t="s">
        <v>27</v>
      </c>
      <c r="C2" s="15" t="s">
        <v>28</v>
      </c>
      <c r="D2" s="15" t="s">
        <v>29</v>
      </c>
      <c r="E2" s="15" t="s">
        <v>30</v>
      </c>
      <c r="F2" s="15" t="s">
        <v>31</v>
      </c>
      <c r="G2" s="16" t="s">
        <v>32</v>
      </c>
      <c r="I2" s="79" t="s">
        <v>33</v>
      </c>
      <c r="J2" s="79"/>
      <c r="K2" s="79"/>
      <c r="L2" s="79"/>
    </row>
    <row r="3" spans="1:12">
      <c r="A3" s="17">
        <v>1</v>
      </c>
      <c r="B3" s="28">
        <v>12568.5</v>
      </c>
      <c r="C3" s="29">
        <v>7800</v>
      </c>
      <c r="D3" s="29">
        <v>8546</v>
      </c>
      <c r="E3" s="29">
        <v>11000</v>
      </c>
      <c r="F3" s="29">
        <v>5000</v>
      </c>
      <c r="G3" s="30">
        <v>2000</v>
      </c>
      <c r="I3" s="79" t="s">
        <v>34</v>
      </c>
      <c r="J3" s="79"/>
      <c r="K3" s="79"/>
      <c r="L3" s="79"/>
    </row>
    <row r="4" spans="1:12">
      <c r="A4" s="17">
        <v>2</v>
      </c>
      <c r="B4" s="28">
        <v>15680.8</v>
      </c>
      <c r="C4" s="29">
        <v>5600</v>
      </c>
      <c r="D4" s="29">
        <v>7800</v>
      </c>
      <c r="E4" s="29">
        <v>11280</v>
      </c>
      <c r="F4" s="29">
        <v>4600</v>
      </c>
      <c r="G4" s="30">
        <v>1680</v>
      </c>
      <c r="I4" s="79" t="s">
        <v>35</v>
      </c>
      <c r="J4" s="79"/>
      <c r="K4" s="79"/>
      <c r="L4" s="79"/>
    </row>
    <row r="5" spans="1:12">
      <c r="A5" s="17">
        <v>3</v>
      </c>
      <c r="B5" s="28">
        <v>9885.7999999999993</v>
      </c>
      <c r="C5" s="29">
        <v>5380</v>
      </c>
      <c r="D5" s="29">
        <v>7500</v>
      </c>
      <c r="E5" s="29">
        <v>10800</v>
      </c>
      <c r="F5" s="29">
        <v>3800</v>
      </c>
      <c r="G5" s="30">
        <v>1500</v>
      </c>
      <c r="I5" s="79" t="s">
        <v>36</v>
      </c>
      <c r="J5" s="79"/>
      <c r="K5" s="79"/>
      <c r="L5" s="79"/>
    </row>
    <row r="6" spans="1:12">
      <c r="A6" s="17">
        <v>4</v>
      </c>
      <c r="B6" s="28">
        <v>11360</v>
      </c>
      <c r="C6" s="29">
        <v>6200</v>
      </c>
      <c r="D6" s="29">
        <v>7180</v>
      </c>
      <c r="E6" s="29">
        <v>11300</v>
      </c>
      <c r="F6" s="29">
        <v>4600</v>
      </c>
      <c r="G6" s="30">
        <v>2090</v>
      </c>
      <c r="I6" s="79" t="s">
        <v>37</v>
      </c>
      <c r="J6" s="79"/>
      <c r="K6" s="79"/>
      <c r="L6" s="79"/>
    </row>
    <row r="7" spans="1:12">
      <c r="A7" s="17">
        <v>5</v>
      </c>
      <c r="B7" s="28">
        <v>15540</v>
      </c>
      <c r="C7" s="29">
        <v>7300</v>
      </c>
      <c r="D7" s="29">
        <v>7150</v>
      </c>
      <c r="E7" s="29">
        <v>10800</v>
      </c>
      <c r="F7" s="29">
        <v>5200</v>
      </c>
      <c r="G7" s="30">
        <v>1890</v>
      </c>
      <c r="I7" s="79" t="s">
        <v>38</v>
      </c>
      <c r="J7" s="79"/>
      <c r="K7" s="79"/>
      <c r="L7" s="79"/>
    </row>
    <row r="8" spans="1:12">
      <c r="A8" s="21">
        <v>6</v>
      </c>
      <c r="B8" s="31">
        <v>17480</v>
      </c>
      <c r="C8" s="32">
        <v>8487</v>
      </c>
      <c r="D8" s="32">
        <v>6800</v>
      </c>
      <c r="E8" s="32">
        <v>9895.7999999999993</v>
      </c>
      <c r="F8" s="32">
        <v>4000</v>
      </c>
      <c r="G8" s="33">
        <v>2268</v>
      </c>
      <c r="I8" s="79"/>
      <c r="J8" s="79"/>
      <c r="K8" s="79"/>
      <c r="L8" s="79"/>
    </row>
    <row r="9" spans="1:12">
      <c r="A9" s="1"/>
      <c r="B9" s="1"/>
    </row>
    <row r="10" spans="1:12" ht="20.25">
      <c r="A10" s="80" t="s">
        <v>39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</row>
    <row r="11" spans="1:12">
      <c r="A11" s="82" t="s">
        <v>27</v>
      </c>
      <c r="B11" s="83"/>
      <c r="C11" s="82" t="s">
        <v>28</v>
      </c>
      <c r="D11" s="83"/>
      <c r="E11" s="82" t="s">
        <v>29</v>
      </c>
      <c r="F11" s="83"/>
      <c r="G11" s="82" t="s">
        <v>30</v>
      </c>
      <c r="H11" s="83"/>
      <c r="I11" s="82" t="s">
        <v>31</v>
      </c>
      <c r="J11" s="83"/>
      <c r="K11" s="82" t="s">
        <v>32</v>
      </c>
      <c r="L11" s="83"/>
    </row>
    <row r="12" spans="1:12">
      <c r="A12" s="34">
        <f t="array" ref="A12:B16">LINEST(B3:B8,A3:A8,,1)</f>
        <v>731.6942857142858</v>
      </c>
      <c r="B12" s="35">
        <v>11191.586666666668</v>
      </c>
      <c r="C12" s="36">
        <f t="array" ref="C12:D16">LINEST(C3:C8,A3:A8,,1)</f>
        <v>267.28571428571428</v>
      </c>
      <c r="D12" s="30">
        <v>5859</v>
      </c>
      <c r="E12" s="36">
        <f t="array" ref="E12:F16">LINEST(D3:D8,A3:A8,,1)</f>
        <v>-314.28571428571428</v>
      </c>
      <c r="F12" s="30">
        <v>8596</v>
      </c>
      <c r="G12" s="36">
        <f t="array" ref="G12:H16">LINEST(E3:E8,A3:A8,,1)</f>
        <v>-184.60000000000014</v>
      </c>
      <c r="H12" s="30">
        <v>11492.066666666668</v>
      </c>
      <c r="I12" s="36">
        <f t="array" ref="I12:J16">LINEST(F3:F8,A3:A8,,1)</f>
        <v>-68.571428571428584</v>
      </c>
      <c r="J12" s="30">
        <v>4773.333333333333</v>
      </c>
      <c r="K12" s="36">
        <f t="array" ref="K12:L16">LINEST(G3:G8,A3:A8,,1)</f>
        <v>73.142857142857153</v>
      </c>
      <c r="L12" s="30">
        <v>1648.6666666666667</v>
      </c>
    </row>
    <row r="13" spans="1:12">
      <c r="A13" s="34">
        <v>691.95319095154639</v>
      </c>
      <c r="B13" s="35">
        <v>2694.770518386506</v>
      </c>
      <c r="C13" s="36">
        <v>308.49770944805067</v>
      </c>
      <c r="D13" s="30">
        <v>1201.425968232274</v>
      </c>
      <c r="E13" s="36">
        <v>49.331035063215147</v>
      </c>
      <c r="F13" s="30">
        <v>192.11677996171269</v>
      </c>
      <c r="G13" s="36">
        <v>102.04688931588082</v>
      </c>
      <c r="H13" s="30">
        <v>397.41553679856185</v>
      </c>
      <c r="I13" s="36">
        <v>141.97824878921313</v>
      </c>
      <c r="J13" s="30">
        <v>552.92583962678407</v>
      </c>
      <c r="K13" s="36">
        <v>65.057170044120895</v>
      </c>
      <c r="L13" s="30">
        <v>253.36127665437849</v>
      </c>
    </row>
    <row r="14" spans="1:12">
      <c r="A14" s="34">
        <v>0.21846990071516562</v>
      </c>
      <c r="B14" s="35">
        <v>2894.6478755092953</v>
      </c>
      <c r="C14" s="36">
        <v>0.15801305625927423</v>
      </c>
      <c r="D14" s="30">
        <v>1290.538508862538</v>
      </c>
      <c r="E14" s="36">
        <v>0.91029186515041638</v>
      </c>
      <c r="F14" s="30">
        <v>206.36652552471497</v>
      </c>
      <c r="G14" s="36">
        <v>0.44997380593139141</v>
      </c>
      <c r="H14" s="30">
        <v>426.89276561372355</v>
      </c>
      <c r="I14" s="36">
        <v>5.5102040816326706E-2</v>
      </c>
      <c r="J14" s="30">
        <v>593.93762699622323</v>
      </c>
      <c r="K14" s="36">
        <v>0.24012428307620143</v>
      </c>
      <c r="L14" s="30">
        <v>272.15366807673024</v>
      </c>
    </row>
    <row r="15" spans="1:12">
      <c r="A15" s="34">
        <v>1.1181649992243876</v>
      </c>
      <c r="B15" s="35">
        <v>4</v>
      </c>
      <c r="C15" s="36">
        <v>0.75066748924758342</v>
      </c>
      <c r="D15" s="30">
        <v>4</v>
      </c>
      <c r="E15" s="36">
        <v>40.589044312502111</v>
      </c>
      <c r="F15" s="30">
        <v>4</v>
      </c>
      <c r="G15" s="36">
        <v>3.2723809213730872</v>
      </c>
      <c r="H15" s="30">
        <v>4</v>
      </c>
      <c r="I15" s="36">
        <v>0.23326133909287333</v>
      </c>
      <c r="J15" s="30">
        <v>4</v>
      </c>
      <c r="K15" s="36">
        <v>1.2640187216314556</v>
      </c>
      <c r="L15" s="30">
        <v>4</v>
      </c>
    </row>
    <row r="16" spans="1:12">
      <c r="A16" s="37">
        <v>9369089.2355714329</v>
      </c>
      <c r="B16" s="38">
        <v>33515945.292761903</v>
      </c>
      <c r="C16" s="39">
        <v>1250228.9285714263</v>
      </c>
      <c r="D16" s="33">
        <v>6661958.5714285737</v>
      </c>
      <c r="E16" s="39">
        <v>1728571.4285714286</v>
      </c>
      <c r="F16" s="33">
        <v>170348.57142857136</v>
      </c>
      <c r="G16" s="39">
        <v>596350.30000000051</v>
      </c>
      <c r="H16" s="33">
        <v>728949.73333333409</v>
      </c>
      <c r="I16" s="39">
        <v>82285.714285714552</v>
      </c>
      <c r="J16" s="33">
        <v>1411047.6190476189</v>
      </c>
      <c r="K16" s="39">
        <v>93622.857142857101</v>
      </c>
      <c r="L16" s="33">
        <v>296270.47619047627</v>
      </c>
    </row>
    <row r="17" spans="1:7" ht="20.25">
      <c r="A17" s="80" t="s">
        <v>40</v>
      </c>
      <c r="B17" s="81"/>
      <c r="C17" s="81"/>
      <c r="D17" s="81"/>
      <c r="E17" s="81"/>
      <c r="F17" s="81"/>
      <c r="G17" s="81"/>
    </row>
    <row r="18" spans="1:7">
      <c r="A18" s="14" t="s">
        <v>26</v>
      </c>
      <c r="B18" s="15" t="s">
        <v>27</v>
      </c>
      <c r="C18" s="15" t="s">
        <v>28</v>
      </c>
      <c r="D18" s="15" t="s">
        <v>29</v>
      </c>
      <c r="E18" s="15" t="s">
        <v>30</v>
      </c>
      <c r="F18" s="15" t="s">
        <v>31</v>
      </c>
      <c r="G18" s="16" t="s">
        <v>32</v>
      </c>
    </row>
    <row r="19" spans="1:7">
      <c r="A19" s="17">
        <v>7</v>
      </c>
      <c r="B19" s="40">
        <f>A$12*$A19+B$12</f>
        <v>16313.446666666669</v>
      </c>
      <c r="C19" s="40">
        <f>C$12*$A19+D$12</f>
        <v>7730</v>
      </c>
      <c r="D19" s="40">
        <f>E$12*$A19+$F12</f>
        <v>6396</v>
      </c>
      <c r="E19" s="40">
        <f>G$12*$A19+H$12</f>
        <v>10199.866666666667</v>
      </c>
      <c r="F19" s="40">
        <f>I$12*$A19+J$12</f>
        <v>4293.333333333333</v>
      </c>
      <c r="G19" s="41">
        <f>K$12*$A19+L$12</f>
        <v>2160.666666666667</v>
      </c>
    </row>
    <row r="20" spans="1:7">
      <c r="A20" s="17">
        <v>8</v>
      </c>
      <c r="B20" s="40">
        <f t="shared" ref="B20:B24" si="0">A$12*$A20+B$12</f>
        <v>17045.140952380956</v>
      </c>
      <c r="C20" s="40">
        <f t="shared" ref="C20:C24" si="1">C$12*$A20+D$12</f>
        <v>7997.2857142857138</v>
      </c>
      <c r="D20" s="40">
        <f>E12*A20+F12</f>
        <v>6081.7142857142862</v>
      </c>
      <c r="E20" s="40">
        <f t="shared" ref="E20:E24" si="2">G$12*$A20+H$12</f>
        <v>10015.266666666666</v>
      </c>
      <c r="F20" s="40">
        <f t="shared" ref="F20:F24" si="3">I$12*$A20+J$12</f>
        <v>4224.7619047619046</v>
      </c>
      <c r="G20" s="41">
        <f t="shared" ref="G20:G24" si="4">K$12*$A20+L$12</f>
        <v>2233.8095238095239</v>
      </c>
    </row>
    <row r="21" spans="1:7">
      <c r="A21" s="17">
        <v>9</v>
      </c>
      <c r="B21" s="40">
        <f t="shared" si="0"/>
        <v>17776.835238095242</v>
      </c>
      <c r="C21" s="40">
        <f t="shared" si="1"/>
        <v>8264.5714285714275</v>
      </c>
      <c r="D21" s="40">
        <f>E12*A21+F12</f>
        <v>5767.4285714285716</v>
      </c>
      <c r="E21" s="40">
        <f t="shared" si="2"/>
        <v>9830.6666666666661</v>
      </c>
      <c r="F21" s="40">
        <f t="shared" si="3"/>
        <v>4156.1904761904761</v>
      </c>
      <c r="G21" s="41">
        <f t="shared" si="4"/>
        <v>2306.9523809523812</v>
      </c>
    </row>
    <row r="22" spans="1:7">
      <c r="A22" s="17">
        <v>10</v>
      </c>
      <c r="B22" s="40">
        <f t="shared" si="0"/>
        <v>18508.529523809528</v>
      </c>
      <c r="C22" s="40">
        <f t="shared" si="1"/>
        <v>8531.8571428571431</v>
      </c>
      <c r="D22" s="40">
        <f>E12*A22+F12</f>
        <v>5453.1428571428569</v>
      </c>
      <c r="E22" s="40">
        <f t="shared" si="2"/>
        <v>9646.0666666666657</v>
      </c>
      <c r="F22" s="40">
        <f t="shared" si="3"/>
        <v>4087.6190476190473</v>
      </c>
      <c r="G22" s="41">
        <f t="shared" si="4"/>
        <v>2380.0952380952385</v>
      </c>
    </row>
    <row r="23" spans="1:7">
      <c r="A23" s="17">
        <v>11</v>
      </c>
      <c r="B23" s="40">
        <f t="shared" si="0"/>
        <v>19240.223809523814</v>
      </c>
      <c r="C23" s="40">
        <f t="shared" si="1"/>
        <v>8799.1428571428569</v>
      </c>
      <c r="D23" s="40">
        <f>E12*A23+F12</f>
        <v>5138.8571428571431</v>
      </c>
      <c r="E23" s="40">
        <f t="shared" si="2"/>
        <v>9461.4666666666653</v>
      </c>
      <c r="F23" s="40">
        <f t="shared" si="3"/>
        <v>4019.0476190476184</v>
      </c>
      <c r="G23" s="41">
        <f t="shared" si="4"/>
        <v>2453.2380952380954</v>
      </c>
    </row>
    <row r="24" spans="1:7">
      <c r="A24" s="21">
        <v>12</v>
      </c>
      <c r="B24" s="42">
        <f t="shared" si="0"/>
        <v>19971.918095238099</v>
      </c>
      <c r="C24" s="42">
        <f t="shared" si="1"/>
        <v>9066.4285714285725</v>
      </c>
      <c r="D24" s="42">
        <f>E12*A24+F12</f>
        <v>4824.5714285714284</v>
      </c>
      <c r="E24" s="42">
        <f t="shared" si="2"/>
        <v>9276.866666666665</v>
      </c>
      <c r="F24" s="42">
        <f t="shared" si="3"/>
        <v>3950.4761904761899</v>
      </c>
      <c r="G24" s="43">
        <f t="shared" si="4"/>
        <v>2526.3809523809523</v>
      </c>
    </row>
    <row r="25" spans="1:7">
      <c r="A25" s="1"/>
      <c r="B25" s="1"/>
      <c r="C25" s="1"/>
      <c r="D25" s="1"/>
      <c r="E25" s="1"/>
      <c r="F25" s="1"/>
      <c r="G25" s="1"/>
    </row>
  </sheetData>
  <mergeCells count="16">
    <mergeCell ref="A1:G1"/>
    <mergeCell ref="I2:L2"/>
    <mergeCell ref="I3:L3"/>
    <mergeCell ref="I4:L4"/>
    <mergeCell ref="I5:L5"/>
    <mergeCell ref="A17:G17"/>
    <mergeCell ref="I6:L6"/>
    <mergeCell ref="I7:L7"/>
    <mergeCell ref="I8:L8"/>
    <mergeCell ref="A10:L10"/>
    <mergeCell ref="A11:B11"/>
    <mergeCell ref="C11:D11"/>
    <mergeCell ref="E11:F11"/>
    <mergeCell ref="G11:H11"/>
    <mergeCell ref="I11:J11"/>
    <mergeCell ref="K11:L11"/>
  </mergeCells>
  <phoneticPr fontId="1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M31" sqref="M31"/>
    </sheetView>
  </sheetViews>
  <sheetFormatPr defaultColWidth="9" defaultRowHeight="13.5"/>
  <cols>
    <col min="1" max="1" width="18.625" customWidth="1"/>
    <col min="2" max="2" width="22.625" customWidth="1"/>
  </cols>
  <sheetData>
    <row r="1" spans="1:2" ht="24" customHeight="1">
      <c r="A1" s="81" t="s">
        <v>41</v>
      </c>
      <c r="B1" s="81"/>
    </row>
    <row r="2" spans="1:2">
      <c r="A2" s="1" t="s">
        <v>26</v>
      </c>
      <c r="B2" s="1" t="s">
        <v>42</v>
      </c>
    </row>
    <row r="3" spans="1:2">
      <c r="A3" s="1">
        <v>1</v>
      </c>
      <c r="B3" s="4">
        <v>268.95</v>
      </c>
    </row>
    <row r="4" spans="1:2">
      <c r="A4" s="1">
        <v>2</v>
      </c>
      <c r="B4" s="4">
        <v>288.5</v>
      </c>
    </row>
    <row r="5" spans="1:2">
      <c r="A5" s="1">
        <v>3</v>
      </c>
      <c r="B5" s="4">
        <v>312.68</v>
      </c>
    </row>
    <row r="6" spans="1:2">
      <c r="A6" s="1">
        <v>4</v>
      </c>
      <c r="B6" s="4">
        <v>290.2</v>
      </c>
    </row>
    <row r="7" spans="1:2">
      <c r="A7" s="1">
        <v>5</v>
      </c>
      <c r="B7" s="4">
        <v>302.56</v>
      </c>
    </row>
    <row r="8" spans="1:2">
      <c r="A8" s="1">
        <v>6</v>
      </c>
      <c r="B8" s="4">
        <v>315.33</v>
      </c>
    </row>
    <row r="10" spans="1:2" ht="21.95" customHeight="1">
      <c r="A10" s="81" t="s">
        <v>43</v>
      </c>
      <c r="B10" s="81"/>
    </row>
    <row r="11" spans="1:2">
      <c r="A11" s="1" t="s">
        <v>26</v>
      </c>
      <c r="B11" t="s">
        <v>44</v>
      </c>
    </row>
    <row r="12" spans="1:2">
      <c r="A12" s="1">
        <v>7</v>
      </c>
      <c r="B12">
        <f t="array" ref="B12:B17">TREND(B3:B8,A3:A8,A12:A17)</f>
        <v>321.52999999999997</v>
      </c>
    </row>
    <row r="13" spans="1:2">
      <c r="A13" s="1">
        <v>8</v>
      </c>
      <c r="B13">
        <v>328.71857142857141</v>
      </c>
    </row>
    <row r="14" spans="1:2">
      <c r="A14" s="1">
        <v>9</v>
      </c>
      <c r="B14">
        <v>335.90714285714284</v>
      </c>
    </row>
    <row r="15" spans="1:2">
      <c r="A15" s="1">
        <v>10</v>
      </c>
      <c r="B15">
        <v>343.09571428571428</v>
      </c>
    </row>
    <row r="16" spans="1:2">
      <c r="A16" s="1">
        <v>11</v>
      </c>
      <c r="B16">
        <v>350.28428571428572</v>
      </c>
    </row>
    <row r="17" spans="1:3">
      <c r="A17" s="1">
        <v>12</v>
      </c>
      <c r="B17">
        <v>357.47285714285715</v>
      </c>
    </row>
    <row r="19" spans="1:3">
      <c r="A19" s="79" t="s">
        <v>45</v>
      </c>
      <c r="B19" s="79"/>
      <c r="C19" s="79"/>
    </row>
    <row r="20" spans="1:3">
      <c r="A20" s="79" t="s">
        <v>46</v>
      </c>
      <c r="B20" s="79"/>
      <c r="C20" s="79"/>
    </row>
    <row r="21" spans="1:3">
      <c r="A21" s="79" t="s">
        <v>47</v>
      </c>
      <c r="B21" s="79"/>
      <c r="C21" s="79"/>
    </row>
    <row r="22" spans="1:3">
      <c r="B22" s="27"/>
    </row>
  </sheetData>
  <mergeCells count="5">
    <mergeCell ref="A1:B1"/>
    <mergeCell ref="A10:B10"/>
    <mergeCell ref="A19:C19"/>
    <mergeCell ref="A20:C20"/>
    <mergeCell ref="A21:C21"/>
  </mergeCells>
  <phoneticPr fontId="18" type="noConversion"/>
  <pageMargins left="0.69930555555555596" right="0.69930555555555596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V16" sqref="V16"/>
    </sheetView>
  </sheetViews>
  <sheetFormatPr defaultColWidth="9" defaultRowHeight="13.5"/>
  <cols>
    <col min="1" max="1" width="18.625" customWidth="1"/>
  </cols>
  <sheetData>
    <row r="1" spans="1:13" ht="20.25">
      <c r="A1" s="80" t="s">
        <v>48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1:13">
      <c r="A2" s="85" t="s">
        <v>49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>
      <c r="A3" s="5" t="s">
        <v>50</v>
      </c>
      <c r="B3" s="6">
        <v>1</v>
      </c>
      <c r="C3" s="7">
        <v>2</v>
      </c>
      <c r="D3" s="6">
        <v>3</v>
      </c>
      <c r="E3" s="7">
        <v>4</v>
      </c>
      <c r="F3" s="6">
        <v>5</v>
      </c>
      <c r="G3" s="7">
        <v>6</v>
      </c>
      <c r="H3" s="6">
        <v>7</v>
      </c>
      <c r="I3" s="7">
        <v>8</v>
      </c>
      <c r="J3" s="6">
        <v>9</v>
      </c>
      <c r="K3" s="7">
        <v>10</v>
      </c>
      <c r="L3" s="6">
        <v>11</v>
      </c>
      <c r="M3" s="23">
        <v>12</v>
      </c>
    </row>
    <row r="4" spans="1:13">
      <c r="A4" s="8" t="s">
        <v>51</v>
      </c>
      <c r="B4" s="9">
        <v>200</v>
      </c>
      <c r="C4" s="10">
        <v>210</v>
      </c>
      <c r="D4" s="9">
        <v>220</v>
      </c>
      <c r="E4" s="10">
        <v>230</v>
      </c>
      <c r="F4" s="9">
        <v>240</v>
      </c>
      <c r="G4" s="10">
        <v>250</v>
      </c>
      <c r="H4" s="9">
        <v>260</v>
      </c>
      <c r="I4" s="10">
        <v>270</v>
      </c>
      <c r="J4" s="9">
        <v>280</v>
      </c>
      <c r="K4" s="10">
        <v>290</v>
      </c>
      <c r="L4" s="9">
        <v>300</v>
      </c>
      <c r="M4" s="20">
        <v>310</v>
      </c>
    </row>
    <row r="5" spans="1:13">
      <c r="A5" s="11" t="s">
        <v>52</v>
      </c>
      <c r="B5" s="12">
        <v>135</v>
      </c>
      <c r="C5" s="13">
        <v>138</v>
      </c>
      <c r="D5" s="12">
        <v>141</v>
      </c>
      <c r="E5" s="13">
        <v>144</v>
      </c>
      <c r="F5" s="12">
        <v>147</v>
      </c>
      <c r="G5" s="13">
        <v>150</v>
      </c>
      <c r="H5" s="12">
        <v>153</v>
      </c>
      <c r="I5" s="13">
        <v>156</v>
      </c>
      <c r="J5" s="12">
        <v>159</v>
      </c>
      <c r="K5" s="13">
        <v>162</v>
      </c>
      <c r="L5" s="12">
        <v>165</v>
      </c>
      <c r="M5" s="22">
        <v>168</v>
      </c>
    </row>
    <row r="6" spans="1:13">
      <c r="A6" s="85" t="s">
        <v>53</v>
      </c>
      <c r="B6" s="85"/>
      <c r="C6" s="85"/>
      <c r="D6" s="85"/>
      <c r="E6" s="85"/>
    </row>
    <row r="7" spans="1:13">
      <c r="A7" s="5" t="s">
        <v>50</v>
      </c>
      <c r="B7" s="7">
        <v>13</v>
      </c>
      <c r="C7" s="7">
        <v>14</v>
      </c>
      <c r="D7" s="7">
        <v>15</v>
      </c>
      <c r="E7" s="23">
        <v>16</v>
      </c>
    </row>
    <row r="8" spans="1:13">
      <c r="A8" s="24" t="s">
        <v>54</v>
      </c>
      <c r="B8" s="25">
        <f t="array" ref="B8:E8">GROWTH(B4:M4,B3:M3,B7:E7)</f>
        <v>326.91217695567099</v>
      </c>
      <c r="C8" s="25">
        <v>340.13568706144281</v>
      </c>
      <c r="D8" s="25">
        <v>353.89408461357954</v>
      </c>
      <c r="E8" s="26">
        <v>368.20900566619935</v>
      </c>
    </row>
    <row r="9" spans="1:13">
      <c r="A9" s="11" t="s">
        <v>55</v>
      </c>
      <c r="B9" s="13">
        <f t="array" ref="B9:E9">GROWTH(B5:M5,B4:M4,B8:E8)</f>
        <v>174.34527507999007</v>
      </c>
      <c r="C9" s="13">
        <v>178.98392594878302</v>
      </c>
      <c r="D9" s="13">
        <v>183.94126140579257</v>
      </c>
      <c r="E9" s="22">
        <v>189.24492081663004</v>
      </c>
    </row>
    <row r="11" spans="1:13">
      <c r="G11" s="79" t="s">
        <v>56</v>
      </c>
      <c r="H11" s="79"/>
      <c r="I11" s="79"/>
      <c r="J11" s="79"/>
      <c r="K11" s="79"/>
      <c r="L11" s="79"/>
      <c r="M11" s="79"/>
    </row>
    <row r="12" spans="1:13">
      <c r="G12" s="79" t="s">
        <v>57</v>
      </c>
      <c r="H12" s="79"/>
      <c r="I12" s="79"/>
      <c r="J12" s="79"/>
      <c r="K12" s="79"/>
      <c r="L12" s="79"/>
      <c r="M12" s="79"/>
    </row>
    <row r="13" spans="1:13">
      <c r="G13" s="79" t="s">
        <v>58</v>
      </c>
      <c r="H13" s="79"/>
      <c r="I13" s="79"/>
      <c r="J13" s="79"/>
      <c r="K13" s="79"/>
      <c r="L13" s="79"/>
      <c r="M13" s="79"/>
    </row>
    <row r="14" spans="1:13">
      <c r="G14" s="84"/>
      <c r="H14" s="84"/>
      <c r="I14" s="84"/>
      <c r="J14" s="84"/>
      <c r="K14" s="84"/>
      <c r="L14" s="84"/>
      <c r="M14" s="84"/>
    </row>
    <row r="15" spans="1:13">
      <c r="G15" s="79"/>
      <c r="H15" s="79"/>
      <c r="I15" s="79"/>
      <c r="J15" s="79"/>
      <c r="K15" s="79"/>
      <c r="L15" s="79"/>
      <c r="M15" s="79"/>
    </row>
    <row r="16" spans="1:13">
      <c r="G16" s="79"/>
      <c r="H16" s="79"/>
      <c r="I16" s="79"/>
      <c r="J16" s="79"/>
      <c r="K16" s="79"/>
      <c r="L16" s="79"/>
      <c r="M16" s="79"/>
    </row>
    <row r="17" spans="7:13">
      <c r="G17" s="79"/>
      <c r="H17" s="79"/>
      <c r="I17" s="79"/>
      <c r="J17" s="79"/>
      <c r="K17" s="79"/>
      <c r="L17" s="79"/>
      <c r="M17" s="79"/>
    </row>
    <row r="18" spans="7:13">
      <c r="G18" s="79"/>
      <c r="H18" s="79"/>
      <c r="I18" s="79"/>
      <c r="J18" s="79"/>
      <c r="K18" s="79"/>
      <c r="L18" s="79"/>
      <c r="M18" s="79"/>
    </row>
  </sheetData>
  <mergeCells count="11">
    <mergeCell ref="A1:M1"/>
    <mergeCell ref="A2:M2"/>
    <mergeCell ref="A6:E6"/>
    <mergeCell ref="G11:M11"/>
    <mergeCell ref="G12:M12"/>
    <mergeCell ref="G18:M18"/>
    <mergeCell ref="G13:M13"/>
    <mergeCell ref="G14:M14"/>
    <mergeCell ref="G15:M15"/>
    <mergeCell ref="G16:M16"/>
    <mergeCell ref="G17:M17"/>
  </mergeCells>
  <phoneticPr fontId="18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sqref="A1:M1"/>
    </sheetView>
  </sheetViews>
  <sheetFormatPr defaultColWidth="9" defaultRowHeight="13.5"/>
  <cols>
    <col min="1" max="1" width="15.625" customWidth="1"/>
  </cols>
  <sheetData>
    <row r="1" spans="1:13" ht="20.25">
      <c r="A1" s="80" t="s">
        <v>59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</row>
    <row r="3" spans="1:13">
      <c r="A3" s="5" t="s">
        <v>60</v>
      </c>
      <c r="B3" s="6">
        <v>1</v>
      </c>
      <c r="C3" s="7">
        <v>2</v>
      </c>
      <c r="D3" s="6">
        <v>3</v>
      </c>
      <c r="E3" s="7">
        <v>4</v>
      </c>
      <c r="F3" s="6">
        <v>5</v>
      </c>
      <c r="G3" s="7">
        <v>6</v>
      </c>
      <c r="H3" s="6">
        <v>7</v>
      </c>
      <c r="I3" s="7">
        <v>8</v>
      </c>
      <c r="J3" s="6">
        <v>9</v>
      </c>
      <c r="K3" s="7">
        <v>10</v>
      </c>
      <c r="L3" s="6">
        <v>11</v>
      </c>
      <c r="M3" s="23">
        <v>12</v>
      </c>
    </row>
    <row r="4" spans="1:13">
      <c r="A4" s="8" t="s">
        <v>61</v>
      </c>
      <c r="B4" s="9">
        <v>263</v>
      </c>
      <c r="C4" s="10">
        <v>267</v>
      </c>
      <c r="D4" s="9">
        <v>285</v>
      </c>
      <c r="E4" s="10">
        <v>300</v>
      </c>
      <c r="F4" s="9">
        <v>305</v>
      </c>
      <c r="G4" s="10">
        <v>308</v>
      </c>
      <c r="H4" s="9">
        <v>321</v>
      </c>
      <c r="I4" s="10">
        <v>328</v>
      </c>
      <c r="J4" s="9">
        <v>337</v>
      </c>
      <c r="K4" s="10">
        <v>351</v>
      </c>
      <c r="L4" s="9">
        <v>366</v>
      </c>
      <c r="M4" s="20">
        <v>382</v>
      </c>
    </row>
    <row r="5" spans="1:13">
      <c r="A5" s="11" t="s">
        <v>62</v>
      </c>
      <c r="B5" s="12">
        <v>93</v>
      </c>
      <c r="C5" s="13">
        <v>170</v>
      </c>
      <c r="D5" s="12">
        <v>255</v>
      </c>
      <c r="E5" s="13">
        <v>345</v>
      </c>
      <c r="F5" s="12">
        <v>400</v>
      </c>
      <c r="G5" s="13">
        <v>438</v>
      </c>
      <c r="H5" s="12">
        <v>519</v>
      </c>
      <c r="I5" s="13">
        <v>597</v>
      </c>
      <c r="J5" s="12">
        <v>674</v>
      </c>
      <c r="K5" s="13">
        <v>755</v>
      </c>
      <c r="L5" s="12">
        <v>831</v>
      </c>
      <c r="M5" s="22">
        <v>893</v>
      </c>
    </row>
    <row r="6" spans="1:13">
      <c r="A6" s="92" t="s">
        <v>63</v>
      </c>
      <c r="B6" s="92"/>
      <c r="C6" s="92"/>
      <c r="D6" s="92"/>
      <c r="E6" s="92"/>
      <c r="F6" s="92" t="s">
        <v>64</v>
      </c>
      <c r="G6" s="92"/>
      <c r="H6" s="92"/>
      <c r="I6" s="92"/>
      <c r="J6" s="92"/>
      <c r="K6" s="92"/>
    </row>
    <row r="7" spans="1:13">
      <c r="A7" s="82" t="s">
        <v>65</v>
      </c>
      <c r="B7" s="93"/>
      <c r="C7" s="93" t="s">
        <v>66</v>
      </c>
      <c r="D7" s="93"/>
      <c r="E7" s="83"/>
      <c r="F7" s="82" t="s">
        <v>67</v>
      </c>
      <c r="G7" s="83"/>
      <c r="H7" s="15" t="s">
        <v>68</v>
      </c>
      <c r="I7" s="15" t="s">
        <v>69</v>
      </c>
      <c r="J7" s="15" t="s">
        <v>70</v>
      </c>
      <c r="K7" s="16" t="s">
        <v>71</v>
      </c>
    </row>
    <row r="8" spans="1:13">
      <c r="A8" s="86" t="s">
        <v>72</v>
      </c>
      <c r="B8" s="87"/>
      <c r="C8" s="18" t="s">
        <v>73</v>
      </c>
      <c r="D8" s="18" t="s">
        <v>74</v>
      </c>
      <c r="E8" s="19" t="s">
        <v>75</v>
      </c>
      <c r="F8" s="86" t="s">
        <v>76</v>
      </c>
      <c r="G8" s="90"/>
      <c r="H8" s="20">
        <v>400</v>
      </c>
      <c r="I8" s="9">
        <v>410</v>
      </c>
      <c r="J8" s="9">
        <v>420</v>
      </c>
      <c r="K8" s="9">
        <v>420</v>
      </c>
    </row>
    <row r="9" spans="1:13">
      <c r="A9" s="88"/>
      <c r="B9" s="89"/>
      <c r="C9" s="13">
        <f>INDEX(LINEST(chl,cl,TRUE,TRUE),1,2)</f>
        <v>-1704.4114959469425</v>
      </c>
      <c r="D9" s="13">
        <f>INDEX(LINEST(chl,cl,TRUE,TRUE),1,1)</f>
        <v>6.929697862932942</v>
      </c>
      <c r="E9" s="22">
        <f>INDEX(LINEST(chl,cl,TRUE,TRUE),3,1)</f>
        <v>0.9887344939012761</v>
      </c>
      <c r="F9" s="88" t="s">
        <v>77</v>
      </c>
      <c r="G9" s="91"/>
      <c r="H9" s="13">
        <f>$C$9+$D$9*H8</f>
        <v>1067.4676492262342</v>
      </c>
      <c r="I9" s="13">
        <f t="shared" ref="I9:K9" si="0">$C$9+$D$9*I8</f>
        <v>1136.7646278555635</v>
      </c>
      <c r="J9" s="13">
        <f t="shared" si="0"/>
        <v>1206.0616064848932</v>
      </c>
      <c r="K9" s="13">
        <f t="shared" si="0"/>
        <v>1206.0616064848932</v>
      </c>
    </row>
    <row r="11" spans="1:13">
      <c r="H11" s="79" t="s">
        <v>78</v>
      </c>
      <c r="I11" s="79"/>
      <c r="J11" s="79"/>
      <c r="K11" s="79"/>
      <c r="L11" s="79"/>
      <c r="M11" s="79"/>
    </row>
    <row r="12" spans="1:13">
      <c r="H12" s="79" t="s">
        <v>79</v>
      </c>
      <c r="I12" s="79"/>
      <c r="J12" s="79"/>
      <c r="K12" s="79"/>
      <c r="L12" s="79"/>
      <c r="M12" s="79"/>
    </row>
    <row r="13" spans="1:13">
      <c r="H13" s="79" t="s">
        <v>80</v>
      </c>
      <c r="I13" s="79"/>
      <c r="J13" s="79"/>
      <c r="K13" s="79"/>
      <c r="L13" s="79"/>
      <c r="M13" s="79"/>
    </row>
    <row r="14" spans="1:13">
      <c r="H14" s="79" t="s">
        <v>81</v>
      </c>
      <c r="I14" s="79"/>
      <c r="J14" s="79"/>
      <c r="K14" s="79"/>
      <c r="L14" s="79"/>
      <c r="M14" s="79"/>
    </row>
    <row r="15" spans="1:13">
      <c r="H15" s="79"/>
      <c r="I15" s="79"/>
      <c r="J15" s="79"/>
      <c r="K15" s="79"/>
      <c r="L15" s="79"/>
      <c r="M15" s="79"/>
    </row>
    <row r="16" spans="1:13">
      <c r="H16" s="79"/>
      <c r="I16" s="79"/>
      <c r="J16" s="79"/>
      <c r="K16" s="79"/>
      <c r="L16" s="79"/>
      <c r="M16" s="79"/>
    </row>
    <row r="17" spans="8:13">
      <c r="H17" s="79"/>
      <c r="I17" s="79"/>
      <c r="J17" s="79"/>
      <c r="K17" s="79"/>
      <c r="L17" s="79"/>
      <c r="M17" s="79"/>
    </row>
    <row r="18" spans="8:13">
      <c r="H18" s="85"/>
      <c r="I18" s="85"/>
      <c r="J18" s="85"/>
      <c r="K18" s="85"/>
      <c r="L18" s="85"/>
      <c r="M18" s="85"/>
    </row>
  </sheetData>
  <mergeCells count="17">
    <mergeCell ref="A1:M1"/>
    <mergeCell ref="A6:E6"/>
    <mergeCell ref="F6:K6"/>
    <mergeCell ref="A7:B7"/>
    <mergeCell ref="C7:E7"/>
    <mergeCell ref="F7:G7"/>
    <mergeCell ref="H18:M18"/>
    <mergeCell ref="F8:G8"/>
    <mergeCell ref="F9:G9"/>
    <mergeCell ref="H11:M11"/>
    <mergeCell ref="H12:M12"/>
    <mergeCell ref="H13:M13"/>
    <mergeCell ref="A8:B9"/>
    <mergeCell ref="H14:M14"/>
    <mergeCell ref="H15:M15"/>
    <mergeCell ref="H16:M16"/>
    <mergeCell ref="H17:M17"/>
  </mergeCells>
  <phoneticPr fontId="18" type="noConversion"/>
  <pageMargins left="0.69930555555555596" right="0.69930555555555596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J28" sqref="J28"/>
    </sheetView>
  </sheetViews>
  <sheetFormatPr defaultColWidth="9" defaultRowHeight="13.5"/>
  <cols>
    <col min="2" max="3" width="9" style="1"/>
    <col min="4" max="4" width="12.625" customWidth="1"/>
    <col min="5" max="5" width="15.625" customWidth="1"/>
  </cols>
  <sheetData>
    <row r="1" spans="1:6" ht="27.95" customHeight="1">
      <c r="A1" s="2"/>
      <c r="B1" s="3" t="s">
        <v>82</v>
      </c>
      <c r="C1" s="3" t="s">
        <v>26</v>
      </c>
      <c r="D1" s="2" t="s">
        <v>83</v>
      </c>
      <c r="E1" s="2" t="s">
        <v>84</v>
      </c>
      <c r="F1" s="2" t="s">
        <v>85</v>
      </c>
    </row>
    <row r="2" spans="1:6">
      <c r="B2" s="1">
        <v>2012</v>
      </c>
      <c r="C2" s="1">
        <v>1</v>
      </c>
      <c r="D2" s="4">
        <v>31578</v>
      </c>
      <c r="E2" t="e">
        <v>#N/A</v>
      </c>
      <c r="F2" t="e">
        <v>#N/A</v>
      </c>
    </row>
    <row r="3" spans="1:6">
      <c r="C3" s="1">
        <v>2</v>
      </c>
      <c r="D3" s="4">
        <v>34895.86</v>
      </c>
      <c r="E3" s="4">
        <f t="shared" ref="E3:E19" si="0">AVERAGE(D2:D3)</f>
        <v>33236.93</v>
      </c>
      <c r="F3" t="e">
        <v>#N/A</v>
      </c>
    </row>
    <row r="4" spans="1:6">
      <c r="C4" s="1">
        <v>3</v>
      </c>
      <c r="D4" s="4">
        <v>30188.23</v>
      </c>
      <c r="E4" s="4">
        <f t="shared" si="0"/>
        <v>32542.044999999998</v>
      </c>
      <c r="F4">
        <f t="shared" ref="F4:F19" si="1">SQRT(SUMXMY2(D3:D4,E3:E4)/2)</f>
        <v>2036.2335081130793</v>
      </c>
    </row>
    <row r="5" spans="1:6">
      <c r="C5" s="1">
        <v>4</v>
      </c>
      <c r="D5" s="4">
        <v>34900</v>
      </c>
      <c r="E5" s="4">
        <f t="shared" si="0"/>
        <v>32544.114999999998</v>
      </c>
      <c r="F5">
        <f t="shared" si="1"/>
        <v>2354.8502274507823</v>
      </c>
    </row>
    <row r="6" spans="1:6">
      <c r="C6" s="1">
        <v>5</v>
      </c>
      <c r="D6" s="4">
        <v>35100</v>
      </c>
      <c r="E6" s="4">
        <f t="shared" si="0"/>
        <v>35000</v>
      </c>
      <c r="F6">
        <f t="shared" si="1"/>
        <v>1667.3623081419662</v>
      </c>
    </row>
    <row r="7" spans="1:6">
      <c r="C7" s="1">
        <v>6</v>
      </c>
      <c r="D7" s="4">
        <v>32800</v>
      </c>
      <c r="E7" s="4">
        <f t="shared" si="0"/>
        <v>33950</v>
      </c>
      <c r="F7">
        <f t="shared" si="1"/>
        <v>816.24138586572542</v>
      </c>
    </row>
    <row r="8" spans="1:6">
      <c r="B8" s="1">
        <v>2013</v>
      </c>
      <c r="C8" s="1">
        <v>1</v>
      </c>
      <c r="D8" s="4">
        <v>31689</v>
      </c>
      <c r="E8" s="4">
        <f t="shared" si="0"/>
        <v>32244.5</v>
      </c>
      <c r="F8">
        <f t="shared" si="1"/>
        <v>903.07260228621703</v>
      </c>
    </row>
    <row r="9" spans="1:6">
      <c r="C9" s="1">
        <v>2</v>
      </c>
      <c r="D9" s="4">
        <v>33880</v>
      </c>
      <c r="E9" s="4">
        <f t="shared" si="0"/>
        <v>32784.5</v>
      </c>
      <c r="F9">
        <f t="shared" si="1"/>
        <v>868.53339026199797</v>
      </c>
    </row>
    <row r="10" spans="1:6">
      <c r="C10" s="1">
        <v>3</v>
      </c>
      <c r="D10" s="4">
        <v>36890</v>
      </c>
      <c r="E10" s="4">
        <f t="shared" si="0"/>
        <v>35385</v>
      </c>
      <c r="F10">
        <f t="shared" si="1"/>
        <v>1316.2722457759262</v>
      </c>
    </row>
    <row r="11" spans="1:6">
      <c r="C11" s="1">
        <v>4</v>
      </c>
      <c r="D11" s="4">
        <v>39800</v>
      </c>
      <c r="E11" s="4">
        <f t="shared" si="0"/>
        <v>38345</v>
      </c>
      <c r="F11">
        <f t="shared" si="1"/>
        <v>1480.2111335887189</v>
      </c>
    </row>
    <row r="12" spans="1:6">
      <c r="C12" s="1">
        <v>5</v>
      </c>
      <c r="D12" s="4">
        <v>46890</v>
      </c>
      <c r="E12" s="4">
        <f t="shared" si="0"/>
        <v>43345</v>
      </c>
      <c r="F12">
        <f t="shared" si="1"/>
        <v>2709.6171316257946</v>
      </c>
    </row>
    <row r="13" spans="1:6">
      <c r="C13" s="1">
        <v>6</v>
      </c>
      <c r="D13" s="4">
        <v>43200</v>
      </c>
      <c r="E13" s="4">
        <f t="shared" si="0"/>
        <v>45045</v>
      </c>
      <c r="F13">
        <f t="shared" si="1"/>
        <v>2825.8671235569445</v>
      </c>
    </row>
    <row r="14" spans="1:6">
      <c r="B14" s="1">
        <v>2014</v>
      </c>
      <c r="C14" s="1">
        <v>1</v>
      </c>
      <c r="D14" s="4">
        <v>46914.5</v>
      </c>
      <c r="E14" s="4">
        <f t="shared" si="0"/>
        <v>45057.25</v>
      </c>
      <c r="F14">
        <f t="shared" si="1"/>
        <v>1851.1351331682947</v>
      </c>
    </row>
    <row r="15" spans="1:6">
      <c r="C15" s="1">
        <v>2</v>
      </c>
      <c r="D15" s="4">
        <v>46640.800000000003</v>
      </c>
      <c r="E15" s="4">
        <f t="shared" si="0"/>
        <v>46777.65</v>
      </c>
      <c r="F15">
        <f t="shared" si="1"/>
        <v>1316.8343641096246</v>
      </c>
    </row>
    <row r="16" spans="1:6">
      <c r="C16" s="1">
        <v>3</v>
      </c>
      <c r="D16" s="4">
        <v>38865.800000000003</v>
      </c>
      <c r="E16" s="4">
        <f t="shared" si="0"/>
        <v>42753.3</v>
      </c>
      <c r="F16">
        <f t="shared" si="1"/>
        <v>2750.5803180874395</v>
      </c>
    </row>
    <row r="17" spans="3:6">
      <c r="C17" s="1">
        <v>4</v>
      </c>
      <c r="D17" s="4">
        <v>42730</v>
      </c>
      <c r="E17" s="4">
        <f t="shared" si="0"/>
        <v>40797.9</v>
      </c>
      <c r="F17">
        <f t="shared" si="1"/>
        <v>3069.663390341032</v>
      </c>
    </row>
    <row r="18" spans="3:6">
      <c r="C18" s="1">
        <v>5</v>
      </c>
      <c r="D18" s="4">
        <v>47880</v>
      </c>
      <c r="E18" s="4">
        <f t="shared" si="0"/>
        <v>45305</v>
      </c>
      <c r="F18">
        <f t="shared" si="1"/>
        <v>2276.3606271854196</v>
      </c>
    </row>
    <row r="19" spans="3:6">
      <c r="C19" s="1">
        <v>6</v>
      </c>
      <c r="D19" s="4">
        <v>48580</v>
      </c>
      <c r="E19" s="4">
        <f t="shared" si="0"/>
        <v>48230</v>
      </c>
      <c r="F19">
        <f t="shared" si="1"/>
        <v>1837.542516514924</v>
      </c>
    </row>
  </sheetData>
  <phoneticPr fontId="18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财务预测和趋势分析</vt:lpstr>
      <vt:lpstr>资金需要量预测</vt:lpstr>
      <vt:lpstr>日常费用线性预测</vt:lpstr>
      <vt:lpstr>主营业务收入</vt:lpstr>
      <vt:lpstr>生产成本</vt:lpstr>
      <vt:lpstr>存货</vt:lpstr>
      <vt:lpstr>主营业务利润</vt:lpstr>
      <vt:lpstr>chl</vt:lpstr>
      <vt:lpstr>cl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</dc:creator>
  <cp:lastModifiedBy>Client</cp:lastModifiedBy>
  <dcterms:created xsi:type="dcterms:W3CDTF">2015-07-02T06:28:00Z</dcterms:created>
  <dcterms:modified xsi:type="dcterms:W3CDTF">2019-05-15T09:41:11Z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
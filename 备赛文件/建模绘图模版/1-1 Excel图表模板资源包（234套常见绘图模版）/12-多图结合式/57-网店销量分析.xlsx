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G3" i="1" l="1"/>
  <c r="E4" i="1"/>
  <c r="C4" i="1"/>
  <c r="G4" i="1"/>
  <c r="E5" i="1"/>
  <c r="G5" i="1"/>
  <c r="E6" i="1"/>
  <c r="G6" i="1"/>
  <c r="G7" i="1"/>
  <c r="G8" i="1"/>
  <c r="G9" i="1"/>
  <c r="G10" i="1"/>
  <c r="G11" i="1"/>
  <c r="F3" i="1"/>
  <c r="F4" i="1"/>
  <c r="F5" i="1"/>
  <c r="F6" i="1"/>
  <c r="F7" i="1"/>
  <c r="F8" i="1"/>
  <c r="F9" i="1"/>
  <c r="F10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<sst xmlns="http://schemas.openxmlformats.org/spreadsheetml/2006/main" count="19" uniqueCount="15">
  <si>
    <t>产品名称</t>
  </si>
  <si>
    <t>手机客户端</t>
  </si>
  <si>
    <t>电脑客户端</t>
  </si>
  <si>
    <t>总计</t>
  </si>
  <si>
    <t>销售数量</t>
  </si>
  <si>
    <t>销售金额</t>
  </si>
  <si>
    <t>面膜</t>
  </si>
  <si>
    <t>爽肤水</t>
  </si>
  <si>
    <t>乳液</t>
  </si>
  <si>
    <t>晚霜</t>
  </si>
  <si>
    <t>眼霜</t>
  </si>
  <si>
    <t>睡眠面膜</t>
  </si>
  <si>
    <t>护手霜</t>
  </si>
  <si>
    <t>组合套装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</si>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</sst>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6D7E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286D7E"/>
      <color rgb="FF257E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不同客户端上产品的成交量对比</a:t>
            </a:r>
          </a:p>
        </c:rich>
      </c:tx>
      <c:layout>
        <c:manualLayout>
          <c:xMode val="edge"/>
          <c:yMode val="edge"/>
          <c:x val="0.25902981940361203"/>
          <c:y val="2.846975088967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1742965140706E-2"/>
          <c:y val="0.29798339264531398"/>
          <c:w val="0.91562368752624901"/>
          <c:h val="0.572336892052194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手机客户端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667"/>
                    <a:shade val="51000"/>
                    <a:satMod val="130000"/>
                  </a:schemeClr>
                </a:gs>
                <a:gs pos="80000">
                  <a:schemeClr val="accent5">
                    <a:shade val="76667"/>
                    <a:shade val="93000"/>
                    <a:satMod val="130000"/>
                  </a:schemeClr>
                </a:gs>
                <a:gs pos="100000">
                  <a:schemeClr val="accent5">
                    <a:shade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Sheet1!$B$3:$B$10</c:f>
              <c:numCache>
                <c:formatCode>General</c:formatCode>
                <c:ptCount val="8"/>
                <c:pt idx="0">
                  <c:v>50</c:v>
                </c:pt>
                <c:pt idx="1">
                  <c:v>70</c:v>
                </c:pt>
                <c:pt idx="2">
                  <c:v>68</c:v>
                </c:pt>
                <c:pt idx="3">
                  <c:v>13</c:v>
                </c:pt>
                <c:pt idx="4">
                  <c:v>89</c:v>
                </c:pt>
                <c:pt idx="5">
                  <c:v>46</c:v>
                </c:pt>
                <c:pt idx="6">
                  <c:v>38</c:v>
                </c:pt>
                <c:pt idx="7">
                  <c:v>109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AE2-441E-985F-5E54DDD45FB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电脑客户端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6667"/>
                    <a:shade val="51000"/>
                    <a:satMod val="130000"/>
                  </a:schemeClr>
                </a:gs>
                <a:gs pos="80000">
                  <a:schemeClr val="accent5">
                    <a:tint val="76667"/>
                    <a:shade val="93000"/>
                    <a:satMod val="130000"/>
                  </a:schemeClr>
                </a:gs>
                <a:gs pos="100000">
                  <a:schemeClr val="accent5">
                    <a:tint val="76667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Sheet1!$D$3:$D$10</c:f>
              <c:numCache>
                <c:formatCode>General</c:formatCode>
                <c:ptCount val="8"/>
                <c:pt idx="0">
                  <c:v>30</c:v>
                </c:pt>
                <c:pt idx="1">
                  <c:v>50</c:v>
                </c:pt>
                <c:pt idx="2">
                  <c:v>48</c:v>
                </c:pt>
                <c:pt idx="3">
                  <c:v>10</c:v>
                </c:pt>
                <c:pt idx="4">
                  <c:v>70</c:v>
                </c:pt>
                <c:pt idx="5">
                  <c:v>30</c:v>
                </c:pt>
                <c:pt idx="6">
                  <c:v>27</c:v>
                </c:pt>
                <c:pt idx="7">
                  <c:v>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1AE2-441E-985F-5E54DDD45FB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3839488"/>
        <c:axId val="153841024"/>
      </c:barChart>
      <c:catAx>
        <c:axId val="153839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841024"/>
        <c:crosses val="autoZero"/>
        <c:auto val="1"/>
        <c:lblAlgn val="ctr"/>
        <c:lblOffset val="100"/>
        <c:noMultiLvlLbl val="0"/>
      </c:catAx>
      <c:valAx>
        <c:axId val="1538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38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68280134397312"/>
          <c:y val="0.173428232502965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 lang="zh-CN" altLang="en-US" sz="1400"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网店不同产品的成交分析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9467849223946794E-2"/>
          <c:y val="0.24637681159420299"/>
          <c:w val="0.84279379157427903"/>
          <c:h val="0.59777777777777796"/>
        </c:manualLayout>
      </c:layout>
      <c:barChart>
        <c:barDir val="col"/>
        <c:grouping val="clustered"/>
        <c:varyColors val="0"/>
        <c:ser>
          <c:idx val="1"/>
          <c:order val="1"/>
          <c:tx>
            <c:v>成交额</c:v>
          </c:tx>
          <c:spPr>
            <a:solidFill>
              <a:srgbClr val="286D7E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Sheet1!$G$3:$G$10</c:f>
              <c:numCache>
                <c:formatCode>General</c:formatCode>
                <c:ptCount val="8"/>
                <c:pt idx="0">
                  <c:v>8200</c:v>
                </c:pt>
                <c:pt idx="1">
                  <c:v>12000</c:v>
                </c:pt>
                <c:pt idx="2">
                  <c:v>11300</c:v>
                </c:pt>
                <c:pt idx="3">
                  <c:v>2250</c:v>
                </c:pt>
                <c:pt idx="4">
                  <c:v>31420</c:v>
                </c:pt>
                <c:pt idx="5">
                  <c:v>6583</c:v>
                </c:pt>
                <c:pt idx="6">
                  <c:v>3895</c:v>
                </c:pt>
                <c:pt idx="7">
                  <c:v>72870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565-460E-BCA7-2C417A1DBF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3959424"/>
        <c:axId val="153962368"/>
      </c:barChart>
      <c:lineChart>
        <c:grouping val="standard"/>
        <c:varyColors val="0"/>
        <c:ser>
          <c:idx val="0"/>
          <c:order val="0"/>
          <c:tx>
            <c:v>成交量</c:v>
          </c:tx>
          <c:spPr>
            <a:ln w="31750" cap="rnd">
              <a:solidFill>
                <a:schemeClr val="accent5">
                  <a:shade val="76667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76667"/>
                      <a:shade val="51000"/>
                      <a:satMod val="130000"/>
                    </a:schemeClr>
                  </a:gs>
                  <a:gs pos="80000">
                    <a:schemeClr val="accent5">
                      <a:shade val="76667"/>
                      <a:shade val="93000"/>
                      <a:satMod val="130000"/>
                    </a:schemeClr>
                  </a:gs>
                  <a:gs pos="100000">
                    <a:schemeClr val="accent5">
                      <a:shade val="76667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Lbl>
              <c:idx val="7"/>
              <c:layout>
                <c:manualLayout>
                  <c:x val="-5.6125277161862497E-2"/>
                  <c:y val="7.9710144927536197E-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565-460E-BCA7-2C417A1DBF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Sheet1!$F$3:$F$10</c:f>
              <c:numCache>
                <c:formatCode>General</c:formatCode>
                <c:ptCount val="8"/>
                <c:pt idx="0">
                  <c:v>80</c:v>
                </c:pt>
                <c:pt idx="1">
                  <c:v>120</c:v>
                </c:pt>
                <c:pt idx="2">
                  <c:v>116</c:v>
                </c:pt>
                <c:pt idx="3">
                  <c:v>23</c:v>
                </c:pt>
                <c:pt idx="4">
                  <c:v>159</c:v>
                </c:pt>
                <c:pt idx="5">
                  <c:v>76</c:v>
                </c:pt>
                <c:pt idx="6">
                  <c:v>65</c:v>
                </c:pt>
                <c:pt idx="7">
                  <c:v>189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565-460E-BCA7-2C417A1DBF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963904"/>
        <c:axId val="153977984"/>
      </c:lineChart>
      <c:catAx>
        <c:axId val="153959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1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53962368"/>
        <c:crosses val="autoZero"/>
        <c:auto val="1"/>
        <c:lblAlgn val="ctr"/>
        <c:lblOffset val="100"/>
        <c:noMultiLvlLbl val="0"/>
      </c:catAx>
      <c:valAx>
        <c:axId val="1539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53959424"/>
        <c:crosses val="autoZero"/>
        <c:crossBetween val="between"/>
      </c:valAx>
      <c:catAx>
        <c:axId val="1539639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977984"/>
        <c:crosses val="autoZero"/>
        <c:auto val="1"/>
        <c:lblAlgn val="ctr"/>
        <c:lblOffset val="100"/>
        <c:noMultiLvlLbl val="0"/>
      </c:catAx>
      <c:valAx>
        <c:axId val="15397798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  <c:crossAx val="153963904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34340354767184"/>
          <c:y val="0.138647342995169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2"/>
              </a:solidFill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lang="zh-CN" sz="900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cap="all" spc="15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不同客户端上产品的成交额对比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手机客户端</c:v>
                </c:pt>
              </c:strCache>
            </c:strRef>
          </c:tx>
          <c:spPr>
            <a:pattFill prst="narHorz">
              <a:fgClr>
                <a:schemeClr val="accent5">
                  <a:lumMod val="20000"/>
                  <a:lumOff val="80000"/>
                </a:schemeClr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Sheet1!$C$3:$C$10</c:f>
              <c:numCache>
                <c:formatCode>General</c:formatCode>
                <c:ptCount val="8"/>
                <c:pt idx="0">
                  <c:v>5000</c:v>
                </c:pt>
                <c:pt idx="1">
                  <c:v>7000</c:v>
                </c:pt>
                <c:pt idx="2">
                  <c:v>6500</c:v>
                </c:pt>
                <c:pt idx="3">
                  <c:v>1250</c:v>
                </c:pt>
                <c:pt idx="4">
                  <c:v>17520</c:v>
                </c:pt>
                <c:pt idx="5">
                  <c:v>3890</c:v>
                </c:pt>
                <c:pt idx="6">
                  <c:v>2195</c:v>
                </c:pt>
                <c:pt idx="7">
                  <c:v>42000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0FA-410C-AFA5-7BE21843788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电脑客户端</c:v>
                </c:pt>
              </c:strCache>
            </c:strRef>
          </c:tx>
          <c:spPr>
            <a:pattFill prst="narHorz">
              <a:fgClr>
                <a:srgbClr val="257E98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Sheet1!$A$3:$A$10</c:f>
              <c:strCache>
                <c:ptCount val="8"/>
                <c:pt idx="0">
                  <c:v>面膜</c:v>
                </c:pt>
                <c:pt idx="1">
                  <c:v>爽肤水</c:v>
                </c:pt>
                <c:pt idx="2">
                  <c:v>乳液</c:v>
                </c:pt>
                <c:pt idx="3">
                  <c:v>晚霜</c:v>
                </c:pt>
                <c:pt idx="4">
                  <c:v>眼霜</c:v>
                </c:pt>
                <c:pt idx="5">
                  <c:v>睡眠面膜</c:v>
                </c:pt>
                <c:pt idx="6">
                  <c:v>护手霜</c:v>
                </c:pt>
                <c:pt idx="7">
                  <c:v>组合套装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3200</c:v>
                </c:pt>
                <c:pt idx="1">
                  <c:v>5000</c:v>
                </c:pt>
                <c:pt idx="2">
                  <c:v>4800</c:v>
                </c:pt>
                <c:pt idx="3">
                  <c:v>1000</c:v>
                </c:pt>
                <c:pt idx="4">
                  <c:v>13900</c:v>
                </c:pt>
                <c:pt idx="5">
                  <c:v>2693</c:v>
                </c:pt>
                <c:pt idx="6">
                  <c:v>1700</c:v>
                </c:pt>
                <c:pt idx="7">
                  <c:v>30870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0FA-410C-AFA5-7BE2184378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56066560"/>
        <c:axId val="156068096"/>
      </c:barChart>
      <c:catAx>
        <c:axId val="156066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6068096"/>
        <c:crosses val="autoZero"/>
        <c:auto val="1"/>
        <c:lblAlgn val="ctr"/>
        <c:lblOffset val="100"/>
        <c:noMultiLvlLbl val="0"/>
      </c:catAx>
      <c:valAx>
        <c:axId val="1560680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606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424755494794405"/>
          <c:y val="0.2656173143138220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ysClr val="windowText" lastClr="000000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不同客户端上成交量占比对比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86D7E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A3E-4B1D-B854-48E32577F41C}"/>
              </c:ext>
            </c:extLst>
          </c:dPt>
          <c:dPt>
            <c:idx val="1"/>
            <c:bubble3D val="0"/>
            <c:spPr>
              <a:solidFill>
                <a:schemeClr val="accent5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A3E-4B1D-B854-48E32577F41C}"/>
              </c:ext>
            </c:extLst>
          </c:dPt>
          <c:dLbls>
            <c:dLbl>
              <c:idx val="0"/>
              <c:layout>
                <c:manualLayout>
                  <c:x val="0.158389704669196"/>
                  <c:y val="-6.41509433962264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7A3E-4B1D-B854-48E32577F41C}"/>
                </c:ext>
              </c:extLst>
            </c:dLbl>
            <c:dLbl>
              <c:idx val="1"/>
              <c:layout>
                <c:manualLayout>
                  <c:x val="-0.148490348127372"/>
                  <c:y val="-1.886792452830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7A3E-4B1D-B854-48E32577F4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(Sheet1!$B$1,Sheet1!$D$1)</c:f>
              <c:strCache>
                <c:ptCount val="2"/>
                <c:pt idx="0">
                  <c:v>手机客户端</c:v>
                </c:pt>
                <c:pt idx="1">
                  <c:v>电脑客户端</c:v>
                </c:pt>
              </c:strCache>
            </c:strRef>
          </c:cat>
          <c:val>
            <c:numRef>
              <c:f>(Sheet1!$C$11,Sheet1!$E$11)</c:f>
              <c:numCache>
                <c:formatCode>General</c:formatCode>
                <c:ptCount val="2"/>
                <c:pt idx="0">
                  <c:v>85355</c:v>
                </c:pt>
                <c:pt idx="1">
                  <c:v>63163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7A3E-4B1D-B854-48E32577F41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不同客户端上成交量占比对比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286D7E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0ED-48E0-9592-54D7E8ED3A57}"/>
              </c:ext>
            </c:extLst>
          </c:dPt>
          <c:dPt>
            <c:idx val="1"/>
            <c:bubble3D val="0"/>
            <c:spPr>
              <a:solidFill>
                <a:schemeClr val="accent5">
                  <a:tint val="76667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0ED-48E0-9592-54D7E8ED3A57}"/>
              </c:ext>
            </c:extLst>
          </c:dPt>
          <c:dLbls>
            <c:dLbl>
              <c:idx val="0"/>
              <c:layout>
                <c:manualLayout>
                  <c:x val="0.18271604938271599"/>
                  <c:y val="-6.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0ED-48E0-9592-54D7E8ED3A57}"/>
                </c:ext>
              </c:extLst>
            </c:dLbl>
            <c:dLbl>
              <c:idx val="1"/>
              <c:layout>
                <c:manualLayout>
                  <c:x val="-0.155555555555556"/>
                  <c:y val="-4.86111111111110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0ED-48E0-9592-54D7E8ED3A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(Sheet1!$B$1,Sheet1!$D$1)</c:f>
              <c:strCache>
                <c:ptCount val="2"/>
                <c:pt idx="0">
                  <c:v>手机客户端</c:v>
                </c:pt>
                <c:pt idx="1">
                  <c:v>电脑客户端</c:v>
                </c:pt>
              </c:strCache>
            </c:strRef>
          </c:cat>
          <c:val>
            <c:numRef>
              <c:f>(Sheet1!$B$11,Sheet1!$D$11)</c:f>
              <c:numCache>
                <c:formatCode>General</c:formatCode>
                <c:ptCount val="2"/>
                <c:pt idx="0">
                  <c:v>483</c:v>
                </c:pt>
                <c:pt idx="1">
                  <c:v>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00ED-48E0-9592-54D7E8ED3A5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 lang="zh-CN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11</xdr:row>
      <xdr:rowOff>28575</xdr:rowOff>
    </xdr:from>
    <xdr:to>
      <xdr:col>7</xdr:col>
      <xdr:colOff>675640</xdr:colOff>
      <xdr:row>22</xdr:row>
      <xdr:rowOff>1905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0</xdr:row>
      <xdr:rowOff>28575</xdr:rowOff>
    </xdr:from>
    <xdr:to>
      <xdr:col>13</xdr:col>
      <xdr:colOff>505460</xdr:colOff>
      <xdr:row>10</xdr:row>
      <xdr:rowOff>247015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22</xdr:row>
      <xdr:rowOff>66675</xdr:rowOff>
    </xdr:from>
    <xdr:to>
      <xdr:col>7</xdr:col>
      <xdr:colOff>675640</xdr:colOff>
      <xdr:row>32</xdr:row>
      <xdr:rowOff>105410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22</xdr:row>
      <xdr:rowOff>76200</xdr:rowOff>
    </xdr:from>
    <xdr:to>
      <xdr:col>13</xdr:col>
      <xdr:colOff>495935</xdr:colOff>
      <xdr:row>32</xdr:row>
      <xdr:rowOff>123825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28575</xdr:colOff>
      <xdr:row>11</xdr:row>
      <xdr:rowOff>19050</xdr:rowOff>
    </xdr:from>
    <xdr:to>
      <xdr:col>13</xdr:col>
      <xdr:colOff>495300</xdr:colOff>
      <xdr:row>22</xdr:row>
      <xdr:rowOff>38100</xdr:rowOff>
    </xdr:to>
    <xdr:graphicFrame macro="">
      <xdr:nvGraphicFramePr>
        <xdr:cNvPr id="8" name="图表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tabSelected="1" workbookViewId="0">
      <selection activeCell="R26" sqref="R26"/>
    </sheetView>
  </sheetViews>
  <sheetFormatPr defaultColWidth="9" defaultRowHeight="20.100000000000001" customHeight="1" x14ac:dyDescent="0.15"/>
  <cols>
    <col min="1" max="1" width="12.25" customWidth="1"/>
    <col min="2" max="2" width="11.25" customWidth="1"/>
    <col min="3" max="3" width="11.375" customWidth="1"/>
  </cols>
  <sheetData>
    <row r="1" spans="1:7" ht="20.100000000000001" customHeight="1" x14ac:dyDescent="0.15">
      <c r="A1" s="6" t="s">
        <v>0</v>
      </c>
      <c r="B1" s="6" t="s">
        <v>1</v>
      </c>
      <c r="C1" s="6"/>
      <c r="D1" s="6" t="s">
        <v>2</v>
      </c>
      <c r="E1" s="7"/>
      <c r="F1" s="6" t="s">
        <v>3</v>
      </c>
      <c r="G1" s="6"/>
    </row>
    <row r="2" spans="1:7" ht="20.100000000000001" customHeight="1" x14ac:dyDescent="0.15">
      <c r="A2" s="6"/>
      <c r="B2" s="1" t="s">
        <v>4</v>
      </c>
      <c r="C2" s="1" t="s">
        <v>5</v>
      </c>
      <c r="D2" s="1" t="s">
        <v>4</v>
      </c>
      <c r="E2" s="2" t="s">
        <v>5</v>
      </c>
      <c r="F2" s="1" t="s">
        <v>4</v>
      </c>
      <c r="G2" s="1" t="s">
        <v>5</v>
      </c>
    </row>
    <row r="3" spans="1:7" ht="20.100000000000001" customHeight="1" x14ac:dyDescent="0.15">
      <c r="A3" s="3" t="s">
        <v>6</v>
      </c>
      <c r="B3" s="3">
        <v>50</v>
      </c>
      <c r="C3" s="3">
        <v>5000</v>
      </c>
      <c r="D3" s="3">
        <v>30</v>
      </c>
      <c r="E3" s="3">
        <v>3200</v>
      </c>
      <c r="F3" s="3">
        <f>SUM(B3,D3)</f>
        <v>80</v>
      </c>
      <c r="G3" s="3">
        <f>SUM(C3,E3)</f>
        <v>8200</v>
      </c>
    </row>
    <row r="4" spans="1:7" ht="20.100000000000001" customHeight="1" x14ac:dyDescent="0.15">
      <c r="A4" s="4" t="s">
        <v>7</v>
      </c>
      <c r="B4" s="4">
        <v>70</v>
      </c>
      <c r="C4" s="4">
        <f>E4/D4*B4</f>
        <v>7000</v>
      </c>
      <c r="D4" s="4">
        <v>50</v>
      </c>
      <c r="E4" s="4">
        <f t="shared" ref="E4:E6" si="0">D4*100</f>
        <v>5000</v>
      </c>
      <c r="F4" s="4">
        <f t="shared" ref="F4:F10" si="1">SUM(B4,D4)</f>
        <v>120</v>
      </c>
      <c r="G4" s="4">
        <f t="shared" ref="G4:G10" si="2">SUM(C4,E4)</f>
        <v>12000</v>
      </c>
    </row>
    <row r="5" spans="1:7" ht="20.100000000000001" customHeight="1" x14ac:dyDescent="0.15">
      <c r="A5" s="3" t="s">
        <v>8</v>
      </c>
      <c r="B5" s="3">
        <v>68</v>
      </c>
      <c r="C5" s="3">
        <v>6500</v>
      </c>
      <c r="D5" s="3">
        <v>48</v>
      </c>
      <c r="E5" s="3">
        <f t="shared" si="0"/>
        <v>4800</v>
      </c>
      <c r="F5" s="3">
        <f t="shared" si="1"/>
        <v>116</v>
      </c>
      <c r="G5" s="3">
        <f t="shared" si="2"/>
        <v>11300</v>
      </c>
    </row>
    <row r="6" spans="1:7" ht="20.100000000000001" customHeight="1" x14ac:dyDescent="0.15">
      <c r="A6" s="4" t="s">
        <v>9</v>
      </c>
      <c r="B6" s="4">
        <v>13</v>
      </c>
      <c r="C6" s="4">
        <v>1250</v>
      </c>
      <c r="D6" s="4">
        <v>10</v>
      </c>
      <c r="E6" s="4">
        <f t="shared" si="0"/>
        <v>1000</v>
      </c>
      <c r="F6" s="4">
        <f t="shared" si="1"/>
        <v>23</v>
      </c>
      <c r="G6" s="4">
        <f t="shared" si="2"/>
        <v>2250</v>
      </c>
    </row>
    <row r="7" spans="1:7" ht="20.100000000000001" customHeight="1" x14ac:dyDescent="0.15">
      <c r="A7" s="3" t="s">
        <v>10</v>
      </c>
      <c r="B7" s="3">
        <v>89</v>
      </c>
      <c r="C7" s="3">
        <v>17520</v>
      </c>
      <c r="D7" s="3">
        <v>70</v>
      </c>
      <c r="E7" s="3">
        <v>13900</v>
      </c>
      <c r="F7" s="3">
        <f t="shared" si="1"/>
        <v>159</v>
      </c>
      <c r="G7" s="3">
        <f t="shared" si="2"/>
        <v>31420</v>
      </c>
    </row>
    <row r="8" spans="1:7" ht="20.100000000000001" customHeight="1" x14ac:dyDescent="0.15">
      <c r="A8" s="4" t="s">
        <v>11</v>
      </c>
      <c r="B8" s="4">
        <v>46</v>
      </c>
      <c r="C8" s="4">
        <v>3890</v>
      </c>
      <c r="D8" s="4">
        <v>30</v>
      </c>
      <c r="E8" s="4">
        <v>2693</v>
      </c>
      <c r="F8" s="4">
        <f t="shared" si="1"/>
        <v>76</v>
      </c>
      <c r="G8" s="4">
        <f t="shared" si="2"/>
        <v>6583</v>
      </c>
    </row>
    <row r="9" spans="1:7" ht="20.100000000000001" customHeight="1" x14ac:dyDescent="0.15">
      <c r="A9" s="3" t="s">
        <v>12</v>
      </c>
      <c r="B9" s="3">
        <v>38</v>
      </c>
      <c r="C9" s="3">
        <v>2195</v>
      </c>
      <c r="D9" s="3">
        <v>27</v>
      </c>
      <c r="E9" s="3">
        <v>1700</v>
      </c>
      <c r="F9" s="3">
        <f t="shared" si="1"/>
        <v>65</v>
      </c>
      <c r="G9" s="3">
        <f t="shared" si="2"/>
        <v>3895</v>
      </c>
    </row>
    <row r="10" spans="1:7" ht="20.100000000000001" customHeight="1" x14ac:dyDescent="0.15">
      <c r="A10" s="5" t="s">
        <v>13</v>
      </c>
      <c r="B10" s="5">
        <v>109</v>
      </c>
      <c r="C10" s="5">
        <v>42000</v>
      </c>
      <c r="D10" s="5">
        <v>80</v>
      </c>
      <c r="E10" s="5">
        <v>30870</v>
      </c>
      <c r="F10" s="5">
        <f t="shared" si="1"/>
        <v>189</v>
      </c>
      <c r="G10" s="5">
        <f t="shared" si="2"/>
        <v>72870</v>
      </c>
    </row>
    <row r="11" spans="1:7" ht="20.100000000000001" customHeight="1" x14ac:dyDescent="0.15">
      <c r="A11" s="1" t="s">
        <v>14</v>
      </c>
      <c r="B11" s="1">
        <f t="shared" ref="B11:G11" si="3">SUM(B3:B10)</f>
        <v>483</v>
      </c>
      <c r="C11" s="1">
        <f t="shared" si="3"/>
        <v>85355</v>
      </c>
      <c r="D11" s="1">
        <f t="shared" si="3"/>
        <v>345</v>
      </c>
      <c r="E11" s="1">
        <f t="shared" si="3"/>
        <v>63163</v>
      </c>
      <c r="F11" s="1">
        <f t="shared" si="3"/>
        <v>828</v>
      </c>
      <c r="G11" s="1">
        <f t="shared" si="3"/>
        <v>148518</v>
      </c>
    </row>
  </sheetData>
  <mergeCells count="4">
    <mergeCell ref="B1:C1"/>
    <mergeCell ref="D1:E1"/>
    <mergeCell ref="F1:G1"/>
    <mergeCell ref="A1:A2"/>
  </mergeCells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Client</cp:lastModifiedBy>
  <dcterms:created xsi:type="dcterms:W3CDTF">2016-06-18T06:39:00Z</dcterms:created>
  <dcterms:modified xsi:type="dcterms:W3CDTF">2019-05-15T10:08:04Z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
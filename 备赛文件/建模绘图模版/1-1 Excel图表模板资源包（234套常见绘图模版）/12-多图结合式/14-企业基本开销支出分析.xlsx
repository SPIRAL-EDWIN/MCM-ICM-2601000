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<sst xmlns="http://schemas.openxmlformats.org/spreadsheetml/2006/main" count="17" uniqueCount="17">
  <si>
    <t>企业基本开销支出分析图</t>
  </si>
  <si>
    <t>项目</t>
  </si>
  <si>
    <t>员工工资</t>
  </si>
  <si>
    <t>福利支出</t>
  </si>
  <si>
    <t>税费</t>
  </si>
  <si>
    <t>通讯宽带费</t>
  </si>
  <si>
    <t>硬件软件费</t>
  </si>
  <si>
    <t>房租水电</t>
  </si>
  <si>
    <t>推广费</t>
  </si>
  <si>
    <t>原料费</t>
  </si>
  <si>
    <t>其他费用</t>
  </si>
  <si>
    <t>季度支出总和</t>
  </si>
  <si>
    <t>一季度</t>
  </si>
  <si>
    <t>二季度</t>
  </si>
  <si>
    <t>三季度</t>
  </si>
  <si>
    <t>四季度</t>
  </si>
  <si>
    <t>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</si>
</sst>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20"/>
      <color rgb="FF3399FF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3" borderId="1" xfId="1" applyFont="1" applyFill="1" applyBorder="1" applyAlignment="1">
      <alignment horizontal="left" vertical="center"/>
    </xf>
    <xf numFmtId="9" fontId="4" fillId="4" borderId="1" xfId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9933FF"/>
      <color rgb="FF3399FF"/>
      <color rgb="FF99CC00"/>
      <color rgb="FFFFFF99"/>
      <color rgb="FFFF0066"/>
      <color rgb="FF990000"/>
      <color rgb="FFFF9933"/>
      <color rgb="FFFF99CC"/>
      <color rgb="FF91B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季度支出总和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172300</c:v>
                </c:pt>
                <c:pt idx="1">
                  <c:v>159700</c:v>
                </c:pt>
                <c:pt idx="2">
                  <c:v>113900</c:v>
                </c:pt>
                <c:pt idx="3">
                  <c:v>127000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A5-44FA-8AB0-6BA88D8A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6944"/>
        <c:axId val="122680832"/>
      </c:barChart>
      <c:catAx>
        <c:axId val="45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2680832"/>
        <c:crosses val="autoZero"/>
        <c:auto val="1"/>
        <c:lblAlgn val="ctr"/>
        <c:lblOffset val="100"/>
        <c:noMultiLvlLbl val="0"/>
      </c:catAx>
      <c:valAx>
        <c:axId val="1226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54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福利支出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1141</c:v>
                </c:pt>
                <c:pt idx="1">
                  <c:v>1819</c:v>
                </c:pt>
                <c:pt idx="2">
                  <c:v>1746</c:v>
                </c:pt>
                <c:pt idx="3">
                  <c:v>1218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18-480A-B34A-737180B5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53088"/>
        <c:axId val="124554624"/>
      </c:areaChart>
      <c:catAx>
        <c:axId val="12455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4554624"/>
        <c:crosses val="autoZero"/>
        <c:auto val="1"/>
        <c:lblAlgn val="ctr"/>
        <c:lblOffset val="100"/>
        <c:noMultiLvlLbl val="0"/>
      </c:catAx>
      <c:valAx>
        <c:axId val="12455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455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税费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4"/>
                <c:pt idx="0">
                  <c:v>1373</c:v>
                </c:pt>
                <c:pt idx="1">
                  <c:v>1272</c:v>
                </c:pt>
                <c:pt idx="2">
                  <c:v>1287</c:v>
                </c:pt>
                <c:pt idx="3">
                  <c:v>1574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EA-46D1-B5B8-5479949F9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43680"/>
        <c:axId val="124745216"/>
      </c:barChart>
      <c:catAx>
        <c:axId val="124743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4745216"/>
        <c:crosses val="autoZero"/>
        <c:auto val="1"/>
        <c:lblAlgn val="ctr"/>
        <c:lblOffset val="100"/>
        <c:noMultiLvlLbl val="0"/>
      </c:catAx>
      <c:valAx>
        <c:axId val="12474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74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173848805712903E-2"/>
          <c:y val="0.44915254237288099"/>
          <c:w val="0.89165230238857396"/>
          <c:h val="0.30329012961116603"/>
        </c:manualLayout>
      </c:layout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通讯宽带费</c:v>
                </c:pt>
              </c:strCache>
            </c:strRef>
          </c:tx>
          <c:spPr>
            <a:ln w="28575" cap="rnd">
              <a:solidFill>
                <a:srgbClr val="3399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Sheet1!$F$3:$F$6</c:f>
              <c:numCache>
                <c:formatCode>General</c:formatCode>
                <c:ptCount val="4"/>
                <c:pt idx="0">
                  <c:v>1316</c:v>
                </c:pt>
                <c:pt idx="1">
                  <c:v>1452</c:v>
                </c:pt>
                <c:pt idx="2">
                  <c:v>1870</c:v>
                </c:pt>
                <c:pt idx="3">
                  <c:v>1432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F7-4F50-9A45-E62028BDA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68480"/>
        <c:axId val="124870016"/>
      </c:lineChart>
      <c:catAx>
        <c:axId val="12486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4870016"/>
        <c:crosses val="autoZero"/>
        <c:auto val="1"/>
        <c:lblAlgn val="ctr"/>
        <c:lblOffset val="100"/>
        <c:noMultiLvlLbl val="0"/>
      </c:catAx>
      <c:valAx>
        <c:axId val="12487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8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硬件软件费</c:v>
                </c:pt>
              </c:strCache>
            </c:strRef>
          </c:tx>
          <c:spPr>
            <a:ln w="28575" cap="rnd">
              <a:solidFill>
                <a:srgbClr val="91BDE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3399FF"/>
              </a:solidFill>
              <a:ln w="38100">
                <a:solidFill>
                  <a:schemeClr val="bg1"/>
                </a:solidFill>
              </a:ln>
              <a:effectLst/>
            </c:spPr>
          </c:marke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Sheet1!$G$3:$G$6</c:f>
              <c:numCache>
                <c:formatCode>General</c:formatCode>
                <c:ptCount val="4"/>
                <c:pt idx="0">
                  <c:v>1027</c:v>
                </c:pt>
                <c:pt idx="1">
                  <c:v>1795</c:v>
                </c:pt>
                <c:pt idx="2">
                  <c:v>1457</c:v>
                </c:pt>
                <c:pt idx="3">
                  <c:v>1025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8F-41A9-829E-409A5F9F5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81920"/>
        <c:axId val="124896384"/>
      </c:lineChart>
      <c:catAx>
        <c:axId val="1248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4896384"/>
        <c:crosses val="autoZero"/>
        <c:auto val="1"/>
        <c:lblAlgn val="ctr"/>
        <c:lblOffset val="100"/>
        <c:noMultiLvlLbl val="0"/>
      </c:catAx>
      <c:valAx>
        <c:axId val="12489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48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推广费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Sheet1!$I$3:$I$6</c:f>
              <c:numCache>
                <c:formatCode>General</c:formatCode>
                <c:ptCount val="4"/>
                <c:pt idx="0">
                  <c:v>1166</c:v>
                </c:pt>
                <c:pt idx="1">
                  <c:v>1210</c:v>
                </c:pt>
                <c:pt idx="2">
                  <c:v>1189</c:v>
                </c:pt>
                <c:pt idx="3">
                  <c:v>1668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FB-4BB2-911D-8156110E4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43136"/>
        <c:axId val="134044672"/>
      </c:barChart>
      <c:catAx>
        <c:axId val="13404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4044672"/>
        <c:crosses val="autoZero"/>
        <c:auto val="1"/>
        <c:lblAlgn val="ctr"/>
        <c:lblOffset val="100"/>
        <c:noMultiLvlLbl val="0"/>
      </c:catAx>
      <c:valAx>
        <c:axId val="134044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0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173848805712903E-2"/>
          <c:y val="0.44915254237288099"/>
          <c:w val="0.89165230238857396"/>
          <c:h val="0.30329012961116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原料费</c:v>
                </c:pt>
              </c:strCache>
            </c:strRef>
          </c:tx>
          <c:spPr>
            <a:solidFill>
              <a:srgbClr val="3399FF"/>
            </a:solidFill>
            <a:ln w="28575" cap="rnd">
              <a:solidFill>
                <a:srgbClr val="3399FF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Sheet1!$J$3:$J$6</c:f>
              <c:numCache>
                <c:formatCode>General</c:formatCode>
                <c:ptCount val="4"/>
                <c:pt idx="0">
                  <c:v>1047</c:v>
                </c:pt>
                <c:pt idx="1">
                  <c:v>1811</c:v>
                </c:pt>
                <c:pt idx="2">
                  <c:v>1361</c:v>
                </c:pt>
                <c:pt idx="3">
                  <c:v>1805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70-4F36-9CED-87EA2E3959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060288"/>
        <c:axId val="134096000"/>
      </c:barChart>
      <c:catAx>
        <c:axId val="13406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4096000"/>
        <c:crosses val="autoZero"/>
        <c:auto val="1"/>
        <c:lblAlgn val="ctr"/>
        <c:lblOffset val="100"/>
        <c:noMultiLvlLbl val="0"/>
      </c:catAx>
      <c:valAx>
        <c:axId val="134096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06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房租水电</c:v>
                </c:pt>
              </c:strCache>
            </c:strRef>
          </c:tx>
          <c:spPr>
            <a:solidFill>
              <a:srgbClr val="3399FF"/>
            </a:solidFill>
            <a:ln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rgbClr val="3399FF"/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911-4A13-A1CE-AC45D7C9E4C2}"/>
              </c:ext>
            </c:extLst>
          </c:dPt>
          <c:dPt>
            <c:idx val="1"/>
            <c:bubble3D val="0"/>
            <c:spPr>
              <a:solidFill>
                <a:srgbClr val="3399FF"/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911-4A13-A1CE-AC45D7C9E4C2}"/>
              </c:ext>
            </c:extLst>
          </c:dPt>
          <c:dPt>
            <c:idx val="2"/>
            <c:bubble3D val="0"/>
            <c:spPr>
              <a:solidFill>
                <a:srgbClr val="3399FF"/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911-4A13-A1CE-AC45D7C9E4C2}"/>
              </c:ext>
            </c:extLst>
          </c:dPt>
          <c:dPt>
            <c:idx val="3"/>
            <c:bubble3D val="0"/>
            <c:spPr>
              <a:solidFill>
                <a:srgbClr val="3399FF"/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911-4A13-A1CE-AC45D7C9E4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Sheet1!$H$3:$H$6</c:f>
              <c:numCache>
                <c:formatCode>General</c:formatCode>
                <c:ptCount val="4"/>
                <c:pt idx="0">
                  <c:v>1297</c:v>
                </c:pt>
                <c:pt idx="1">
                  <c:v>1729</c:v>
                </c:pt>
                <c:pt idx="2">
                  <c:v>1478</c:v>
                </c:pt>
                <c:pt idx="3">
                  <c:v>1340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911-4A13-A1CE-AC45D7C9E4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>
                    <a:lumMod val="50000"/>
                  </a:schemeClr>
                </a:solidFill>
              </a:rPr>
              <a:t>季度支出总和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季度支出总和</c:v>
                </c:pt>
              </c:strCache>
            </c:strRef>
          </c:tx>
          <c:spPr>
            <a:solidFill>
              <a:srgbClr val="91BDE1"/>
            </a:solidFill>
            <a:ln>
              <a:noFill/>
            </a:ln>
            <a:effectLst/>
          </c:spP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Sheet1!$L$3:$L$6</c:f>
              <c:numCache>
                <c:formatCode>General</c:formatCode>
                <c:ptCount val="4"/>
                <c:pt idx="0">
                  <c:v>181818</c:v>
                </c:pt>
                <c:pt idx="1">
                  <c:v>172788</c:v>
                </c:pt>
                <c:pt idx="2">
                  <c:v>125760</c:v>
                </c:pt>
                <c:pt idx="3">
                  <c:v>139057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83-40E9-965D-499645E53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02272"/>
        <c:axId val="134503808"/>
      </c:areaChart>
      <c:barChart>
        <c:barDir val="col"/>
        <c:grouping val="clustered"/>
        <c:varyColors val="0"/>
        <c:ser>
          <c:idx val="1"/>
          <c:order val="1"/>
          <c:tx>
            <c:strRef>
              <c:f>Sheet1!$L$2</c:f>
              <c:strCache>
                <c:ptCount val="1"/>
                <c:pt idx="0">
                  <c:v>季度支出总和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Sheet1!$L$3:$L$6</c:f>
              <c:numCache>
                <c:formatCode>General</c:formatCode>
                <c:ptCount val="4"/>
                <c:pt idx="0">
                  <c:v>181818</c:v>
                </c:pt>
                <c:pt idx="1">
                  <c:v>172788</c:v>
                </c:pt>
                <c:pt idx="2">
                  <c:v>125760</c:v>
                </c:pt>
                <c:pt idx="3">
                  <c:v>139057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83-40E9-965D-499645E53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02272"/>
        <c:axId val="134503808"/>
      </c:barChart>
      <c:catAx>
        <c:axId val="13450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4503808"/>
        <c:crosses val="autoZero"/>
        <c:auto val="1"/>
        <c:lblAlgn val="ctr"/>
        <c:lblOffset val="100"/>
        <c:noMultiLvlLbl val="0"/>
      </c:catAx>
      <c:valAx>
        <c:axId val="1345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450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22</xdr:row>
      <xdr:rowOff>139700</xdr:rowOff>
    </xdr:from>
    <xdr:to>
      <xdr:col>17</xdr:col>
      <xdr:colOff>208915</xdr:colOff>
      <xdr:row>38</xdr:row>
      <xdr:rowOff>40005</xdr:rowOff>
    </xdr:to>
    <xdr:sp macro="" textlink="">
      <xdr:nvSpPr>
        <xdr:cNvPr id="46" name="矩形 45"/>
        <xdr:cNvSpPr/>
      </xdr:nvSpPr>
      <xdr:spPr>
        <a:xfrm>
          <a:off x="8286750" y="4590415"/>
          <a:ext cx="3618865" cy="264350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0</xdr:colOff>
      <xdr:row>7</xdr:row>
      <xdr:rowOff>42545</xdr:rowOff>
    </xdr:from>
    <xdr:to>
      <xdr:col>5</xdr:col>
      <xdr:colOff>621030</xdr:colOff>
      <xdr:row>22</xdr:row>
      <xdr:rowOff>146685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67945</xdr:colOff>
      <xdr:row>23</xdr:row>
      <xdr:rowOff>3810</xdr:rowOff>
    </xdr:from>
    <xdr:to>
      <xdr:col>14</xdr:col>
      <xdr:colOff>363220</xdr:colOff>
      <xdr:row>28</xdr:row>
      <xdr:rowOff>108585</xdr:rowOff>
    </xdr:to>
    <xdr:sp macro="" textlink="">
      <xdr:nvSpPr>
        <xdr:cNvPr id="25" name="矩形 24"/>
        <xdr:cNvSpPr/>
      </xdr:nvSpPr>
      <xdr:spPr>
        <a:xfrm>
          <a:off x="8335645" y="4625975"/>
          <a:ext cx="1666875" cy="96202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/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请在此输入一季度说明</a:t>
          </a:r>
        </a:p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请在此输入一季度说明</a:t>
          </a:r>
        </a:p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请在此输入一季度说明</a:t>
          </a:r>
          <a:endParaRPr lang="zh-CN" altLang="en-US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514350</xdr:colOff>
      <xdr:row>22</xdr:row>
      <xdr:rowOff>151765</xdr:rowOff>
    </xdr:from>
    <xdr:to>
      <xdr:col>17</xdr:col>
      <xdr:colOff>124460</xdr:colOff>
      <xdr:row>28</xdr:row>
      <xdr:rowOff>86360</xdr:rowOff>
    </xdr:to>
    <xdr:sp macro="" textlink="">
      <xdr:nvSpPr>
        <xdr:cNvPr id="26" name="矩形 25"/>
        <xdr:cNvSpPr/>
      </xdr:nvSpPr>
      <xdr:spPr>
        <a:xfrm>
          <a:off x="10153650" y="4602480"/>
          <a:ext cx="1667510" cy="96329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请在此输入二季度说明</a:t>
          </a:r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请在此输入二季度说明请在此输入二季度说明</a:t>
          </a:r>
          <a:endParaRPr lang="zh-CN" altLang="en-US" sz="11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67945</xdr:colOff>
      <xdr:row>30</xdr:row>
      <xdr:rowOff>116840</xdr:rowOff>
    </xdr:from>
    <xdr:to>
      <xdr:col>14</xdr:col>
      <xdr:colOff>363220</xdr:colOff>
      <xdr:row>36</xdr:row>
      <xdr:rowOff>50165</xdr:rowOff>
    </xdr:to>
    <xdr:sp macro="" textlink="">
      <xdr:nvSpPr>
        <xdr:cNvPr id="27" name="矩形 26"/>
        <xdr:cNvSpPr/>
      </xdr:nvSpPr>
      <xdr:spPr>
        <a:xfrm>
          <a:off x="8335645" y="5939155"/>
          <a:ext cx="1666875" cy="96202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请在此输入三季度说明</a:t>
          </a:r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请在此输入三季度说明请在此输入三季度说明</a:t>
          </a:r>
          <a:endParaRPr lang="zh-CN" altLang="en-US" sz="11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514350</xdr:colOff>
      <xdr:row>30</xdr:row>
      <xdr:rowOff>116840</xdr:rowOff>
    </xdr:from>
    <xdr:to>
      <xdr:col>17</xdr:col>
      <xdr:colOff>124460</xdr:colOff>
      <xdr:row>36</xdr:row>
      <xdr:rowOff>50165</xdr:rowOff>
    </xdr:to>
    <xdr:sp macro="" textlink="">
      <xdr:nvSpPr>
        <xdr:cNvPr id="28" name="矩形 27"/>
        <xdr:cNvSpPr/>
      </xdr:nvSpPr>
      <xdr:spPr>
        <a:xfrm>
          <a:off x="10153650" y="5939155"/>
          <a:ext cx="1667510" cy="96202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请在此输入四季度说明</a:t>
          </a:r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请在此输入四季度说明请在此输入四季度说明</a:t>
          </a:r>
          <a:endParaRPr lang="zh-CN" altLang="en-US" sz="11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430530</xdr:colOff>
      <xdr:row>28</xdr:row>
      <xdr:rowOff>126365</xdr:rowOff>
    </xdr:from>
    <xdr:to>
      <xdr:col>13</xdr:col>
      <xdr:colOff>678180</xdr:colOff>
      <xdr:row>30</xdr:row>
      <xdr:rowOff>69215</xdr:rowOff>
    </xdr:to>
    <xdr:sp macro="" textlink="">
      <xdr:nvSpPr>
        <xdr:cNvPr id="31" name="圆角矩形 30"/>
        <xdr:cNvSpPr/>
      </xdr:nvSpPr>
      <xdr:spPr>
        <a:xfrm>
          <a:off x="8698230" y="5605780"/>
          <a:ext cx="933450" cy="285750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/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一季度</a:t>
          </a:r>
        </a:p>
      </xdr:txBody>
    </xdr:sp>
    <xdr:clientData/>
  </xdr:twoCellAnchor>
  <xdr:twoCellAnchor>
    <xdr:from>
      <xdr:col>15</xdr:col>
      <xdr:colOff>219710</xdr:colOff>
      <xdr:row>28</xdr:row>
      <xdr:rowOff>126365</xdr:rowOff>
    </xdr:from>
    <xdr:to>
      <xdr:col>16</xdr:col>
      <xdr:colOff>467360</xdr:colOff>
      <xdr:row>30</xdr:row>
      <xdr:rowOff>69215</xdr:rowOff>
    </xdr:to>
    <xdr:sp macro="" textlink="">
      <xdr:nvSpPr>
        <xdr:cNvPr id="32" name="圆角矩形 31"/>
        <xdr:cNvSpPr/>
      </xdr:nvSpPr>
      <xdr:spPr>
        <a:xfrm>
          <a:off x="10544810" y="5605780"/>
          <a:ext cx="933450" cy="285750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二季度</a:t>
          </a:r>
        </a:p>
      </xdr:txBody>
    </xdr:sp>
    <xdr:clientData/>
  </xdr:twoCellAnchor>
  <xdr:twoCellAnchor>
    <xdr:from>
      <xdr:col>12</xdr:col>
      <xdr:colOff>430530</xdr:colOff>
      <xdr:row>36</xdr:row>
      <xdr:rowOff>59690</xdr:rowOff>
    </xdr:from>
    <xdr:to>
      <xdr:col>13</xdr:col>
      <xdr:colOff>678180</xdr:colOff>
      <xdr:row>38</xdr:row>
      <xdr:rowOff>2540</xdr:rowOff>
    </xdr:to>
    <xdr:sp macro="" textlink="">
      <xdr:nvSpPr>
        <xdr:cNvPr id="33" name="圆角矩形 32"/>
        <xdr:cNvSpPr/>
      </xdr:nvSpPr>
      <xdr:spPr>
        <a:xfrm>
          <a:off x="8698230" y="6910705"/>
          <a:ext cx="933450" cy="285750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三季度</a:t>
          </a:r>
        </a:p>
      </xdr:txBody>
    </xdr:sp>
    <xdr:clientData/>
  </xdr:twoCellAnchor>
  <xdr:twoCellAnchor>
    <xdr:from>
      <xdr:col>15</xdr:col>
      <xdr:colOff>217170</xdr:colOff>
      <xdr:row>36</xdr:row>
      <xdr:rowOff>41910</xdr:rowOff>
    </xdr:from>
    <xdr:to>
      <xdr:col>16</xdr:col>
      <xdr:colOff>464820</xdr:colOff>
      <xdr:row>37</xdr:row>
      <xdr:rowOff>155575</xdr:rowOff>
    </xdr:to>
    <xdr:sp macro="" textlink="">
      <xdr:nvSpPr>
        <xdr:cNvPr id="34" name="圆角矩形 33"/>
        <xdr:cNvSpPr/>
      </xdr:nvSpPr>
      <xdr:spPr>
        <a:xfrm>
          <a:off x="10542270" y="6892925"/>
          <a:ext cx="933450" cy="285115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四季度</a:t>
          </a:r>
        </a:p>
      </xdr:txBody>
    </xdr:sp>
    <xdr:clientData/>
  </xdr:twoCellAnchor>
  <xdr:twoCellAnchor>
    <xdr:from>
      <xdr:col>5</xdr:col>
      <xdr:colOff>645160</xdr:colOff>
      <xdr:row>22</xdr:row>
      <xdr:rowOff>152400</xdr:rowOff>
    </xdr:from>
    <xdr:to>
      <xdr:col>9</xdr:col>
      <xdr:colOff>311785</xdr:colOff>
      <xdr:row>30</xdr:row>
      <xdr:rowOff>93980</xdr:rowOff>
    </xdr:to>
    <xdr:graphicFrame macro="">
      <xdr:nvGraphicFramePr>
        <xdr:cNvPr id="35" name="图表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</xdr:colOff>
      <xdr:row>22</xdr:row>
      <xdr:rowOff>157480</xdr:rowOff>
    </xdr:from>
    <xdr:to>
      <xdr:col>5</xdr:col>
      <xdr:colOff>631190</xdr:colOff>
      <xdr:row>38</xdr:row>
      <xdr:rowOff>28575</xdr:rowOff>
    </xdr:to>
    <xdr:graphicFrame macro="">
      <xdr:nvGraphicFramePr>
        <xdr:cNvPr id="36" name="图表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644525</xdr:colOff>
      <xdr:row>30</xdr:row>
      <xdr:rowOff>99695</xdr:rowOff>
    </xdr:from>
    <xdr:to>
      <xdr:col>9</xdr:col>
      <xdr:colOff>311785</xdr:colOff>
      <xdr:row>38</xdr:row>
      <xdr:rowOff>39370</xdr:rowOff>
    </xdr:to>
    <xdr:graphicFrame macro="">
      <xdr:nvGraphicFramePr>
        <xdr:cNvPr id="37" name="图表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641350</xdr:colOff>
      <xdr:row>7</xdr:row>
      <xdr:rowOff>46990</xdr:rowOff>
    </xdr:from>
    <xdr:to>
      <xdr:col>9</xdr:col>
      <xdr:colOff>308610</xdr:colOff>
      <xdr:row>22</xdr:row>
      <xdr:rowOff>133985</xdr:rowOff>
    </xdr:to>
    <xdr:graphicFrame macro="">
      <xdr:nvGraphicFramePr>
        <xdr:cNvPr id="38" name="图表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323215</xdr:colOff>
      <xdr:row>22</xdr:row>
      <xdr:rowOff>147320</xdr:rowOff>
    </xdr:from>
    <xdr:to>
      <xdr:col>12</xdr:col>
      <xdr:colOff>2540</xdr:colOff>
      <xdr:row>30</xdr:row>
      <xdr:rowOff>89535</xdr:rowOff>
    </xdr:to>
    <xdr:graphicFrame macro="">
      <xdr:nvGraphicFramePr>
        <xdr:cNvPr id="42" name="图表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323215</xdr:colOff>
      <xdr:row>30</xdr:row>
      <xdr:rowOff>96520</xdr:rowOff>
    </xdr:from>
    <xdr:to>
      <xdr:col>12</xdr:col>
      <xdr:colOff>2540</xdr:colOff>
      <xdr:row>38</xdr:row>
      <xdr:rowOff>36195</xdr:rowOff>
    </xdr:to>
    <xdr:graphicFrame macro="">
      <xdr:nvGraphicFramePr>
        <xdr:cNvPr id="43" name="图表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321310</xdr:colOff>
      <xdr:row>7</xdr:row>
      <xdr:rowOff>55245</xdr:rowOff>
    </xdr:from>
    <xdr:to>
      <xdr:col>12</xdr:col>
      <xdr:colOff>1905</xdr:colOff>
      <xdr:row>22</xdr:row>
      <xdr:rowOff>128905</xdr:rowOff>
    </xdr:to>
    <xdr:graphicFrame macro="">
      <xdr:nvGraphicFramePr>
        <xdr:cNvPr id="44" name="图表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12065</xdr:colOff>
      <xdr:row>0</xdr:row>
      <xdr:rowOff>431165</xdr:rowOff>
    </xdr:from>
    <xdr:to>
      <xdr:col>17</xdr:col>
      <xdr:colOff>223520</xdr:colOff>
      <xdr:row>22</xdr:row>
      <xdr:rowOff>136525</xdr:rowOff>
    </xdr:to>
    <xdr:graphicFrame macro="">
      <xdr:nvGraphicFramePr>
        <xdr:cNvPr id="45" name="图表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showGridLines="0" tabSelected="1" topLeftCell="A10" zoomScale="90" zoomScaleNormal="90" workbookViewId="0">
      <selection activeCell="V37" sqref="V37"/>
    </sheetView>
  </sheetViews>
  <sheetFormatPr defaultColWidth="9" defaultRowHeight="13.5" x14ac:dyDescent="0.15"/>
  <cols>
    <col min="1" max="1" width="1" customWidth="1"/>
    <col min="2" max="2" width="6.25" customWidth="1"/>
    <col min="3" max="3" width="8.75" customWidth="1"/>
    <col min="4" max="4" width="8.875" customWidth="1"/>
    <col min="5" max="5" width="5.375" customWidth="1"/>
    <col min="6" max="7" width="10.875" customWidth="1"/>
    <col min="8" max="8" width="8.875" customWidth="1"/>
    <col min="9" max="9" width="9" customWidth="1"/>
    <col min="10" max="10" width="10.125" customWidth="1"/>
    <col min="11" max="11" width="13.25" customWidth="1"/>
    <col min="12" max="12" width="15.25" customWidth="1"/>
    <col min="18" max="18" width="2.875" customWidth="1"/>
  </cols>
  <sheetData>
    <row r="1" spans="1:18" ht="33.950000000000003" customHeight="1" x14ac:dyDescent="0.1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4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8" ht="18" customHeight="1" x14ac:dyDescent="0.15">
      <c r="A3" s="1"/>
      <c r="B3" s="4" t="s">
        <v>12</v>
      </c>
      <c r="C3" s="4">
        <v>172300</v>
      </c>
      <c r="D3" s="4">
        <v>1141</v>
      </c>
      <c r="E3" s="4">
        <v>1373</v>
      </c>
      <c r="F3" s="4">
        <v>1316</v>
      </c>
      <c r="G3" s="4">
        <v>1027</v>
      </c>
      <c r="H3" s="4">
        <v>1297</v>
      </c>
      <c r="I3" s="4">
        <v>1166</v>
      </c>
      <c r="J3" s="4">
        <v>1047</v>
      </c>
      <c r="K3" s="4">
        <v>1151</v>
      </c>
      <c r="L3" s="4">
        <f t="shared" ref="L3:L7" si="0">SUM(C3:K3)</f>
        <v>181818</v>
      </c>
    </row>
    <row r="4" spans="1:18" ht="18" customHeight="1" x14ac:dyDescent="0.15">
      <c r="A4" s="1"/>
      <c r="B4" s="5" t="s">
        <v>13</v>
      </c>
      <c r="C4" s="5">
        <v>159700</v>
      </c>
      <c r="D4" s="5">
        <v>1819</v>
      </c>
      <c r="E4" s="5">
        <v>1272</v>
      </c>
      <c r="F4" s="5">
        <v>1452</v>
      </c>
      <c r="G4" s="5">
        <v>1795</v>
      </c>
      <c r="H4" s="5">
        <v>1729</v>
      </c>
      <c r="I4" s="5">
        <v>1210</v>
      </c>
      <c r="J4" s="5">
        <v>1811</v>
      </c>
      <c r="K4" s="5">
        <v>2000</v>
      </c>
      <c r="L4" s="5">
        <f t="shared" si="0"/>
        <v>172788</v>
      </c>
    </row>
    <row r="5" spans="1:18" ht="18" customHeight="1" x14ac:dyDescent="0.15">
      <c r="A5" s="1"/>
      <c r="B5" s="6" t="s">
        <v>14</v>
      </c>
      <c r="C5" s="4">
        <v>113900</v>
      </c>
      <c r="D5" s="4">
        <v>1746</v>
      </c>
      <c r="E5" s="4">
        <v>1287</v>
      </c>
      <c r="F5" s="4">
        <v>1870</v>
      </c>
      <c r="G5" s="4">
        <v>1457</v>
      </c>
      <c r="H5" s="4">
        <v>1478</v>
      </c>
      <c r="I5" s="4">
        <v>1189</v>
      </c>
      <c r="J5" s="4">
        <v>1361</v>
      </c>
      <c r="K5" s="4">
        <v>1472</v>
      </c>
      <c r="L5" s="4">
        <f t="shared" si="0"/>
        <v>125760</v>
      </c>
    </row>
    <row r="6" spans="1:18" ht="18" customHeight="1" x14ac:dyDescent="0.15">
      <c r="A6" s="1"/>
      <c r="B6" s="7" t="s">
        <v>15</v>
      </c>
      <c r="C6" s="5">
        <v>127000</v>
      </c>
      <c r="D6" s="5">
        <v>1218</v>
      </c>
      <c r="E6" s="5">
        <v>1574</v>
      </c>
      <c r="F6" s="5">
        <v>1432</v>
      </c>
      <c r="G6" s="5">
        <v>1025</v>
      </c>
      <c r="H6" s="5">
        <v>1340</v>
      </c>
      <c r="I6" s="5">
        <v>1668</v>
      </c>
      <c r="J6" s="5">
        <v>1805</v>
      </c>
      <c r="K6" s="5">
        <v>1995</v>
      </c>
      <c r="L6" s="5">
        <f t="shared" si="0"/>
        <v>139057</v>
      </c>
    </row>
    <row r="7" spans="1:18" ht="18" customHeight="1" x14ac:dyDescent="0.15">
      <c r="A7" s="1"/>
      <c r="B7" s="6" t="s">
        <v>16</v>
      </c>
      <c r="C7" s="4">
        <f>SUM(C3:C6)</f>
        <v>572900</v>
      </c>
      <c r="D7" s="4">
        <f t="shared" ref="D7:K7" si="1">SUM(D3:D6)</f>
        <v>5924</v>
      </c>
      <c r="E7" s="4">
        <f t="shared" si="1"/>
        <v>5506</v>
      </c>
      <c r="F7" s="4">
        <f t="shared" si="1"/>
        <v>6070</v>
      </c>
      <c r="G7" s="4">
        <f t="shared" si="1"/>
        <v>5304</v>
      </c>
      <c r="H7" s="4">
        <f t="shared" si="1"/>
        <v>5844</v>
      </c>
      <c r="I7" s="4">
        <f t="shared" si="1"/>
        <v>5233</v>
      </c>
      <c r="J7" s="4">
        <f t="shared" si="1"/>
        <v>6024</v>
      </c>
      <c r="K7" s="4">
        <f t="shared" si="1"/>
        <v>6618</v>
      </c>
      <c r="L7" s="4">
        <f t="shared" si="0"/>
        <v>619423</v>
      </c>
    </row>
  </sheetData>
  <mergeCells count="1">
    <mergeCell ref="B1:R1"/>
  </mergeCells>
  <phoneticPr fontId="6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企业基本开销支出分析图.xlsx</vt:lpwstr>
  </property>
  <property fmtid="{D5CDD505-2E9C-101B-9397-08002B2CF9AE}" pid="4" name="fileid">
    <vt:lpwstr>704631</vt:lpwstr>
  </property>
</Properties>
</file>
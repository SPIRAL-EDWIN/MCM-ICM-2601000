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D10" i="1" l="1"/>
  <c r="C10" i="1"/>
  <c r="G10" i="1"/>
  <c r="G9" i="1"/>
  <c r="F9" i="1"/>
  <c r="E9" i="1"/>
  <c r="G8" i="1"/>
  <c r="F8" i="1"/>
  <c r="E8" i="1"/>
  <c r="G7" i="1"/>
  <c r="F7" i="1"/>
  <c r="E7" i="1"/>
  <c r="G6" i="1"/>
  <c r="F6" i="1"/>
  <c r="E6" i="1"/>
  <c r="G5" i="1"/>
  <c r="F5" i="1"/>
  <c r="E5" i="1"/>
  <c r="G4" i="1"/>
  <c r="F4" i="1"/>
  <c r="E4" i="1"/>
  <c r="G3" i="1"/>
  <c r="F3" i="1"/>
  <c r="E3" i="1"/>
</calcChain>
</file>

<file path=xl/sharedStrings.xml><?xml version="1.0" encoding="utf-8"?>
<sst xmlns="http://schemas.openxmlformats.org/spreadsheetml/2006/main" count="16" uniqueCount="15">
  <si>
    <t>城市</t>
  </si>
  <si>
    <t>2015年</t>
  </si>
  <si>
    <t>2016年</t>
  </si>
  <si>
    <t>2015年排名</t>
  </si>
  <si>
    <t>2016年排名</t>
  </si>
  <si>
    <t>增长比例</t>
  </si>
  <si>
    <t>北京</t>
  </si>
  <si>
    <t>上海</t>
  </si>
  <si>
    <t>武汉</t>
  </si>
  <si>
    <t>广州</t>
  </si>
  <si>
    <t>深圳</t>
  </si>
  <si>
    <t>南京</t>
  </si>
  <si>
    <t>成都</t>
  </si>
  <si>
    <t>合计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</si>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</sst>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3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1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400" b="1" i="0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不同年份销售量对比</a:t>
            </a:r>
          </a:p>
        </c:rich>
      </c:tx>
      <c:layout>
        <c:manualLayout>
          <c:xMode val="edge"/>
          <c:yMode val="edge"/>
          <c:x val="8.1056044465030296E-3"/>
          <c:y val="2.63794240492415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0159767610748"/>
          <c:y val="0.213893163332601"/>
          <c:w val="0.86788671023965103"/>
          <c:h val="0.6769399868102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2015年</c:v>
                </c:pt>
              </c:strCache>
            </c:strRef>
          </c:tx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2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Sheet1!$B$3:$B$9</c:f>
              <c:strCache>
                <c:ptCount val="7"/>
                <c:pt idx="0">
                  <c:v>北京</c:v>
                </c:pt>
                <c:pt idx="1">
                  <c:v>上海</c:v>
                </c:pt>
                <c:pt idx="2">
                  <c:v>武汉</c:v>
                </c:pt>
                <c:pt idx="3">
                  <c:v>广州</c:v>
                </c:pt>
                <c:pt idx="4">
                  <c:v>深圳</c:v>
                </c:pt>
                <c:pt idx="5">
                  <c:v>南京</c:v>
                </c:pt>
                <c:pt idx="6">
                  <c:v>成都</c:v>
                </c:pt>
              </c:strCache>
            </c:strRef>
          </c:cat>
          <c:val>
            <c:numRef>
              <c:f>Sheet1!$C$3:$C$9</c:f>
              <c:numCache>
                <c:formatCode>General</c:formatCode>
                <c:ptCount val="7"/>
                <c:pt idx="0">
                  <c:v>1256</c:v>
                </c:pt>
                <c:pt idx="1">
                  <c:v>1156</c:v>
                </c:pt>
                <c:pt idx="2">
                  <c:v>1024</c:v>
                </c:pt>
                <c:pt idx="3">
                  <c:v>987</c:v>
                </c:pt>
                <c:pt idx="4">
                  <c:v>1129</c:v>
                </c:pt>
                <c:pt idx="5">
                  <c:v>897</c:v>
                </c:pt>
                <c:pt idx="6">
                  <c:v>876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F95-4858-8FCA-887C9B6106DB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2016年</c:v>
                </c:pt>
              </c:strCache>
            </c:strRef>
          </c:tx>
          <c:spPr>
            <a:noFill/>
            <a:ln w="25400" cap="flat" cmpd="sng" algn="ctr">
              <a:solidFill>
                <a:schemeClr val="accent2"/>
              </a:solidFill>
              <a:miter lim="800000"/>
            </a:ln>
            <a:effectLst/>
          </c:spPr>
          <c:invertIfNegative val="0"/>
          <c:dLbls>
            <c:dLbl>
              <c:idx val="5"/>
              <c:layout>
                <c:manualLayout>
                  <c:x val="1.7431725740848301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1" i="0" u="none" strike="noStrike" kern="1200" baseline="0">
                      <a:solidFill>
                        <a:schemeClr val="dk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F95-4858-8FCA-887C9B6106DB}"/>
                </c:ext>
              </c:extLst>
            </c:dLbl>
            <c:dLbl>
              <c:idx val="6"/>
              <c:layout>
                <c:manualLayout>
                  <c:x val="2.1789657176060399E-2"/>
                  <c:y val="-6.5948560123103997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900" b="1" i="0" u="none" strike="noStrike" kern="1200" baseline="0">
                      <a:solidFill>
                        <a:schemeClr val="dk1"/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EF95-4858-8FCA-887C9B6106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rgbClr val="FF0000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Sheet1!$B$3:$B$9</c:f>
              <c:strCache>
                <c:ptCount val="7"/>
                <c:pt idx="0">
                  <c:v>北京</c:v>
                </c:pt>
                <c:pt idx="1">
                  <c:v>上海</c:v>
                </c:pt>
                <c:pt idx="2">
                  <c:v>武汉</c:v>
                </c:pt>
                <c:pt idx="3">
                  <c:v>广州</c:v>
                </c:pt>
                <c:pt idx="4">
                  <c:v>深圳</c:v>
                </c:pt>
                <c:pt idx="5">
                  <c:v>南京</c:v>
                </c:pt>
                <c:pt idx="6">
                  <c:v>成都</c:v>
                </c:pt>
              </c:strCache>
            </c:strRef>
          </c:cat>
          <c:val>
            <c:numRef>
              <c:f>Sheet1!$D$3:$D$9</c:f>
              <c:numCache>
                <c:formatCode>General</c:formatCode>
                <c:ptCount val="7"/>
                <c:pt idx="0">
                  <c:v>1489</c:v>
                </c:pt>
                <c:pt idx="1">
                  <c:v>1259</c:v>
                </c:pt>
                <c:pt idx="2">
                  <c:v>1109</c:v>
                </c:pt>
                <c:pt idx="3">
                  <c:v>1312</c:v>
                </c:pt>
                <c:pt idx="4">
                  <c:v>1235</c:v>
                </c:pt>
                <c:pt idx="5">
                  <c:v>906</c:v>
                </c:pt>
                <c:pt idx="6">
                  <c:v>861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F95-4858-8FCA-887C9B610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35"/>
        <c:axId val="132419584"/>
        <c:axId val="132421120"/>
      </c:barChart>
      <c:catAx>
        <c:axId val="13241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421120"/>
        <c:crosses val="autoZero"/>
        <c:auto val="1"/>
        <c:lblAlgn val="ctr"/>
        <c:lblOffset val="100"/>
        <c:noMultiLvlLbl val="0"/>
      </c:catAx>
      <c:valAx>
        <c:axId val="1324211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241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71372549019607801"/>
          <c:y val="4.8514599557227298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49000">
          <a:schemeClr val="lt1">
            <a:alpha val="100000"/>
          </a:schemeClr>
        </a:gs>
        <a:gs pos="100000">
          <a:schemeClr val="lt1">
            <a:lumMod val="75000"/>
          </a:schemeClr>
        </a:gs>
      </a:gsLst>
      <a:path path="circle"/>
    </a:gra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b="1" kern="1200">
          <a:solidFill>
            <a:schemeClr val="dk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en-US" altLang="zh-CN" sz="14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2015</a:t>
            </a:r>
            <a:r>
              <a:rPr lang="zh-CN" altLang="en-US" sz="14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年不同地区销售量</a:t>
            </a:r>
          </a:p>
        </c:rich>
      </c:tx>
      <c:layout>
        <c:manualLayout>
          <c:xMode val="edge"/>
          <c:yMode val="edge"/>
          <c:x val="4.74008532153579E-3"/>
          <c:y val="9.8877157700687206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Sheet1!$C$2</c:f>
              <c:strCache>
                <c:ptCount val="1"/>
                <c:pt idx="0">
                  <c:v>2015年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rotWithShape="0">
                  <a:schemeClr val="accent1">
                    <a:alpha val="25000"/>
                  </a:scheme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A8D-48C7-BC89-357ADE26E0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rotWithShape="0">
                  <a:schemeClr val="accent2">
                    <a:alpha val="25000"/>
                  </a:scheme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A8D-48C7-BC89-357ADE26E0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rotWithShape="0">
                  <a:schemeClr val="accent3">
                    <a:alpha val="25000"/>
                  </a:scheme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A8D-48C7-BC89-357ADE26E0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rotWithShape="0">
                  <a:schemeClr val="accent4">
                    <a:alpha val="25000"/>
                  </a:scheme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A8D-48C7-BC89-357ADE26E0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rotWithShape="0">
                  <a:schemeClr val="accent5">
                    <a:alpha val="25000"/>
                  </a:scheme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A8D-48C7-BC89-357ADE26E0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rotWithShape="0">
                  <a:schemeClr val="accent6">
                    <a:alpha val="25000"/>
                  </a:scheme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A8D-48C7-BC89-357ADE26E0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rotWithShape="0">
                  <a:schemeClr val="accent1">
                    <a:lumMod val="60000"/>
                    <a:alpha val="25000"/>
                  </a:scheme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2A8D-48C7-BC89-357ADE26E00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Sheet1!$B$3:$B$9</c:f>
              <c:strCache>
                <c:ptCount val="7"/>
                <c:pt idx="0">
                  <c:v>北京</c:v>
                </c:pt>
                <c:pt idx="1">
                  <c:v>上海</c:v>
                </c:pt>
                <c:pt idx="2">
                  <c:v>武汉</c:v>
                </c:pt>
                <c:pt idx="3">
                  <c:v>广州</c:v>
                </c:pt>
                <c:pt idx="4">
                  <c:v>深圳</c:v>
                </c:pt>
                <c:pt idx="5">
                  <c:v>南京</c:v>
                </c:pt>
                <c:pt idx="6">
                  <c:v>成都</c:v>
                </c:pt>
              </c:strCache>
            </c:strRef>
          </c:cat>
          <c:val>
            <c:numRef>
              <c:f>Sheet1!$C$3:$C$9</c:f>
              <c:numCache>
                <c:formatCode>General</c:formatCode>
                <c:ptCount val="7"/>
                <c:pt idx="0">
                  <c:v>1256</c:v>
                </c:pt>
                <c:pt idx="1">
                  <c:v>1156</c:v>
                </c:pt>
                <c:pt idx="2">
                  <c:v>1024</c:v>
                </c:pt>
                <c:pt idx="3">
                  <c:v>987</c:v>
                </c:pt>
                <c:pt idx="4">
                  <c:v>1129</c:v>
                </c:pt>
                <c:pt idx="5">
                  <c:v>897</c:v>
                </c:pt>
                <c:pt idx="6">
                  <c:v>876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2A8D-48C7-BC89-357ADE26E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5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6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b="1" kern="1200">
          <a:solidFill>
            <a:schemeClr val="dk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4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en-US" altLang="zh-CN" sz="14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2016</a:t>
            </a:r>
            <a:r>
              <a:rPr lang="zh-CN" altLang="en-US" sz="1400" b="1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年不同地区销售量</a:t>
            </a:r>
          </a:p>
        </c:rich>
      </c:tx>
      <c:layout>
        <c:manualLayout>
          <c:xMode val="edge"/>
          <c:yMode val="edge"/>
          <c:x val="1.7760392148448999E-2"/>
          <c:y val="1.973684210526319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Sheet1!$D$2</c:f>
              <c:strCache>
                <c:ptCount val="1"/>
                <c:pt idx="0">
                  <c:v>2016年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rotWithShape="0">
                  <a:schemeClr val="accent1">
                    <a:alpha val="25000"/>
                  </a:scheme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5FA0-4653-86B3-22C28B06D7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rotWithShape="0">
                  <a:schemeClr val="accent2">
                    <a:alpha val="25000"/>
                  </a:scheme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5FA0-4653-86B3-22C28B06D7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rotWithShape="0">
                  <a:schemeClr val="accent3">
                    <a:alpha val="25000"/>
                  </a:scheme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5FA0-4653-86B3-22C28B06D7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rotWithShape="0">
                  <a:schemeClr val="accent4">
                    <a:alpha val="25000"/>
                  </a:scheme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5FA0-4653-86B3-22C28B06D7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rotWithShape="0">
                  <a:schemeClr val="accent5">
                    <a:alpha val="25000"/>
                  </a:scheme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FA0-4653-86B3-22C28B06D7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rotWithShape="0">
                  <a:schemeClr val="accent6">
                    <a:alpha val="25000"/>
                  </a:scheme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FA0-4653-86B3-22C28B06D7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rotWithShape="0">
                  <a:schemeClr val="accent1">
                    <a:lumMod val="60000"/>
                    <a:alpha val="25000"/>
                  </a:scheme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5FA0-4653-86B3-22C28B06D7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Sheet1!$B$3:$B$9</c:f>
              <c:strCache>
                <c:ptCount val="7"/>
                <c:pt idx="0">
                  <c:v>北京</c:v>
                </c:pt>
                <c:pt idx="1">
                  <c:v>上海</c:v>
                </c:pt>
                <c:pt idx="2">
                  <c:v>武汉</c:v>
                </c:pt>
                <c:pt idx="3">
                  <c:v>广州</c:v>
                </c:pt>
                <c:pt idx="4">
                  <c:v>深圳</c:v>
                </c:pt>
                <c:pt idx="5">
                  <c:v>南京</c:v>
                </c:pt>
                <c:pt idx="6">
                  <c:v>成都</c:v>
                </c:pt>
              </c:strCache>
            </c:strRef>
          </c:cat>
          <c:val>
            <c:numRef>
              <c:f>Sheet1!$D$3:$D$9</c:f>
              <c:numCache>
                <c:formatCode>General</c:formatCode>
                <c:ptCount val="7"/>
                <c:pt idx="0">
                  <c:v>1489</c:v>
                </c:pt>
                <c:pt idx="1">
                  <c:v>1259</c:v>
                </c:pt>
                <c:pt idx="2">
                  <c:v>1109</c:v>
                </c:pt>
                <c:pt idx="3">
                  <c:v>1312</c:v>
                </c:pt>
                <c:pt idx="4">
                  <c:v>1235</c:v>
                </c:pt>
                <c:pt idx="5">
                  <c:v>906</c:v>
                </c:pt>
                <c:pt idx="6">
                  <c:v>861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5FA0-4653-86B3-22C28B06D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5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6"/>
        <c:txPr>
          <a:bodyPr rot="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dk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b="1" kern="1200">
          <a:solidFill>
            <a:schemeClr val="dk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10</xdr:row>
      <xdr:rowOff>48895</xdr:rowOff>
    </xdr:from>
    <xdr:to>
      <xdr:col>6</xdr:col>
      <xdr:colOff>676910</xdr:colOff>
      <xdr:row>27</xdr:row>
      <xdr:rowOff>22860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38735</xdr:colOff>
      <xdr:row>1</xdr:row>
      <xdr:rowOff>37465</xdr:rowOff>
    </xdr:from>
    <xdr:to>
      <xdr:col>12</xdr:col>
      <xdr:colOff>628650</xdr:colOff>
      <xdr:row>10</xdr:row>
      <xdr:rowOff>15240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10</xdr:row>
      <xdr:rowOff>59690</xdr:rowOff>
    </xdr:from>
    <xdr:to>
      <xdr:col>12</xdr:col>
      <xdr:colOff>636270</xdr:colOff>
      <xdr:row>27</xdr:row>
      <xdr:rowOff>40640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0"/>
  <sheetViews>
    <sheetView showGridLines="0" tabSelected="1" workbookViewId="0">
      <selection activeCell="O3" sqref="O3"/>
    </sheetView>
  </sheetViews>
  <sheetFormatPr defaultColWidth="9" defaultRowHeight="13.5" x14ac:dyDescent="0.15"/>
  <cols>
    <col min="1" max="1" width="3.375" customWidth="1"/>
    <col min="5" max="6" width="11.125" customWidth="1"/>
  </cols>
  <sheetData>
    <row r="2" spans="2:14" ht="24.95" customHeight="1" x14ac:dyDescent="0.15">
      <c r="B2" s="1" t="s">
        <v>0</v>
      </c>
      <c r="C2" s="1" t="s">
        <v>1</v>
      </c>
      <c r="D2" s="1" t="s">
        <v>2</v>
      </c>
      <c r="E2" s="2" t="s">
        <v>3</v>
      </c>
      <c r="F2" s="2" t="s">
        <v>4</v>
      </c>
      <c r="G2" s="2" t="s">
        <v>5</v>
      </c>
    </row>
    <row r="3" spans="2:14" ht="24.95" customHeight="1" x14ac:dyDescent="0.15">
      <c r="B3" s="3" t="s">
        <v>6</v>
      </c>
      <c r="C3" s="3">
        <v>1256</v>
      </c>
      <c r="D3" s="3">
        <v>1489</v>
      </c>
      <c r="E3" s="4">
        <f t="shared" ref="E3:E9" si="0">RANK(C3,$C$3:$C$9)</f>
        <v>1</v>
      </c>
      <c r="F3" s="4">
        <f t="shared" ref="F3:F9" si="1">RANK(D3,$D$3:$D$9)</f>
        <v>1</v>
      </c>
      <c r="G3" s="5">
        <f t="shared" ref="G3:G10" si="2">(D3-C3)/C3</f>
        <v>0.18550955414012738</v>
      </c>
    </row>
    <row r="4" spans="2:14" ht="24.95" customHeight="1" x14ac:dyDescent="0.15">
      <c r="B4" s="3" t="s">
        <v>7</v>
      </c>
      <c r="C4" s="3">
        <v>1156</v>
      </c>
      <c r="D4" s="3">
        <v>1259</v>
      </c>
      <c r="E4" s="4">
        <f t="shared" si="0"/>
        <v>2</v>
      </c>
      <c r="F4" s="4">
        <f t="shared" si="1"/>
        <v>3</v>
      </c>
      <c r="G4" s="5">
        <f t="shared" si="2"/>
        <v>8.9100346020761251E-2</v>
      </c>
    </row>
    <row r="5" spans="2:14" ht="24.95" customHeight="1" x14ac:dyDescent="0.15">
      <c r="B5" s="3" t="s">
        <v>8</v>
      </c>
      <c r="C5" s="3">
        <v>1024</v>
      </c>
      <c r="D5" s="3">
        <v>1109</v>
      </c>
      <c r="E5" s="4">
        <f t="shared" si="0"/>
        <v>4</v>
      </c>
      <c r="F5" s="4">
        <f t="shared" si="1"/>
        <v>5</v>
      </c>
      <c r="G5" s="5">
        <f t="shared" si="2"/>
        <v>8.30078125E-2</v>
      </c>
    </row>
    <row r="6" spans="2:14" ht="24.95" customHeight="1" x14ac:dyDescent="0.15">
      <c r="B6" s="3" t="s">
        <v>9</v>
      </c>
      <c r="C6" s="3">
        <v>987</v>
      </c>
      <c r="D6" s="3">
        <v>1312</v>
      </c>
      <c r="E6" s="4">
        <f t="shared" si="0"/>
        <v>5</v>
      </c>
      <c r="F6" s="4">
        <f t="shared" si="1"/>
        <v>2</v>
      </c>
      <c r="G6" s="5">
        <f t="shared" si="2"/>
        <v>0.3292806484295846</v>
      </c>
    </row>
    <row r="7" spans="2:14" ht="24.95" customHeight="1" x14ac:dyDescent="0.15">
      <c r="B7" s="3" t="s">
        <v>10</v>
      </c>
      <c r="C7" s="3">
        <v>1129</v>
      </c>
      <c r="D7" s="3">
        <v>1235</v>
      </c>
      <c r="E7" s="4">
        <f t="shared" si="0"/>
        <v>3</v>
      </c>
      <c r="F7" s="4">
        <f t="shared" si="1"/>
        <v>4</v>
      </c>
      <c r="G7" s="5">
        <f t="shared" si="2"/>
        <v>9.3888396811337468E-2</v>
      </c>
    </row>
    <row r="8" spans="2:14" ht="24.95" customHeight="1" x14ac:dyDescent="0.15">
      <c r="B8" s="3" t="s">
        <v>11</v>
      </c>
      <c r="C8" s="3">
        <v>897</v>
      </c>
      <c r="D8" s="3">
        <v>906</v>
      </c>
      <c r="E8" s="4">
        <f t="shared" si="0"/>
        <v>6</v>
      </c>
      <c r="F8" s="4">
        <f t="shared" si="1"/>
        <v>6</v>
      </c>
      <c r="G8" s="5">
        <f t="shared" si="2"/>
        <v>1.0033444816053512E-2</v>
      </c>
    </row>
    <row r="9" spans="2:14" ht="24.95" customHeight="1" x14ac:dyDescent="0.15">
      <c r="B9" s="3" t="s">
        <v>12</v>
      </c>
      <c r="C9" s="3">
        <v>876</v>
      </c>
      <c r="D9" s="3">
        <v>861</v>
      </c>
      <c r="E9" s="4">
        <f t="shared" si="0"/>
        <v>7</v>
      </c>
      <c r="F9" s="4">
        <f t="shared" si="1"/>
        <v>7</v>
      </c>
      <c r="G9" s="5">
        <f t="shared" si="2"/>
        <v>-1.7123287671232876E-2</v>
      </c>
    </row>
    <row r="10" spans="2:14" ht="24.95" customHeight="1" x14ac:dyDescent="0.15">
      <c r="B10" s="1" t="s">
        <v>13</v>
      </c>
      <c r="C10" s="1">
        <f>SUM(C3:C9)</f>
        <v>7325</v>
      </c>
      <c r="D10" s="1">
        <f>SUM(D3:D9)</f>
        <v>8171</v>
      </c>
      <c r="E10" s="2" t="s">
        <v>14</v>
      </c>
      <c r="F10" s="2" t="s">
        <v>14</v>
      </c>
      <c r="G10" s="6">
        <f t="shared" si="2"/>
        <v>0.11549488054607508</v>
      </c>
      <c r="N10" s="7"/>
    </row>
  </sheetData>
  <phoneticPr fontId="4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2006-09-13T11:21:00Z</dcterms:created>
  <dcterms:modified xsi:type="dcterms:W3CDTF">2019-05-15T10:06:09Z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
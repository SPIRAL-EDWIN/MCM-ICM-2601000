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D14" i="1" l="1"/>
  <c r="C14" i="1"/>
  <c r="B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<sst xmlns="http://schemas.openxmlformats.org/spreadsheetml/2006/main" count="19" uniqueCount="18">
  <si>
    <t>月份\产品名称</t>
  </si>
  <si>
    <t>A1</t>
  </si>
  <si>
    <t>A2</t>
  </si>
  <si>
    <t>A3</t>
  </si>
  <si>
    <t>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</si>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</sst>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3399FF"/>
      <color rgb="FF0099FF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6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sz="1600" b="1" i="0" u="none" strike="noStrike" kern="1200" cap="none" normalizeH="0" baseline="0">
                <a:solidFill>
                  <a:schemeClr val="tx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各种产品对比图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chemeClr val="accent1">
                  <a:alpha val="35000"/>
                </a:scheme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5679</c:v>
                </c:pt>
                <c:pt idx="1">
                  <c:v>6949</c:v>
                </c:pt>
                <c:pt idx="2">
                  <c:v>6329</c:v>
                </c:pt>
                <c:pt idx="3">
                  <c:v>6526</c:v>
                </c:pt>
                <c:pt idx="4">
                  <c:v>6573</c:v>
                </c:pt>
                <c:pt idx="5">
                  <c:v>7296</c:v>
                </c:pt>
                <c:pt idx="6">
                  <c:v>6398</c:v>
                </c:pt>
                <c:pt idx="7">
                  <c:v>8275</c:v>
                </c:pt>
                <c:pt idx="8">
                  <c:v>9632</c:v>
                </c:pt>
                <c:pt idx="9">
                  <c:v>10056</c:v>
                </c:pt>
                <c:pt idx="10">
                  <c:v>11326</c:v>
                </c:pt>
                <c:pt idx="11">
                  <c:v>12096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C2B-4384-B4ED-BB82DCF4621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chemeClr val="accent2">
                  <a:alpha val="35000"/>
                </a:scheme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6653</c:v>
                </c:pt>
                <c:pt idx="1">
                  <c:v>5569</c:v>
                </c:pt>
                <c:pt idx="2">
                  <c:v>4569</c:v>
                </c:pt>
                <c:pt idx="3">
                  <c:v>5562</c:v>
                </c:pt>
                <c:pt idx="4">
                  <c:v>6012</c:v>
                </c:pt>
                <c:pt idx="5">
                  <c:v>7259</c:v>
                </c:pt>
                <c:pt idx="6">
                  <c:v>8629</c:v>
                </c:pt>
                <c:pt idx="7">
                  <c:v>7956</c:v>
                </c:pt>
                <c:pt idx="8">
                  <c:v>8969</c:v>
                </c:pt>
                <c:pt idx="9">
                  <c:v>9972</c:v>
                </c:pt>
                <c:pt idx="10">
                  <c:v>9196</c:v>
                </c:pt>
                <c:pt idx="11">
                  <c:v>10231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C2B-4384-B4ED-BB82DCF4621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chemeClr val="accent3">
                  <a:alpha val="35000"/>
                </a:scheme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9869</c:v>
                </c:pt>
                <c:pt idx="1">
                  <c:v>8972</c:v>
                </c:pt>
                <c:pt idx="2">
                  <c:v>9642</c:v>
                </c:pt>
                <c:pt idx="3">
                  <c:v>8992</c:v>
                </c:pt>
                <c:pt idx="4">
                  <c:v>9626</c:v>
                </c:pt>
                <c:pt idx="5">
                  <c:v>8596</c:v>
                </c:pt>
                <c:pt idx="6">
                  <c:v>7996</c:v>
                </c:pt>
                <c:pt idx="7">
                  <c:v>8279</c:v>
                </c:pt>
                <c:pt idx="8">
                  <c:v>9326</c:v>
                </c:pt>
                <c:pt idx="9">
                  <c:v>9972</c:v>
                </c:pt>
                <c:pt idx="10">
                  <c:v>9156</c:v>
                </c:pt>
                <c:pt idx="11">
                  <c:v>9008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C2B-4384-B4ED-BB82DCF4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508480"/>
        <c:axId val="153526656"/>
      </c:barChart>
      <c:catAx>
        <c:axId val="15350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526656"/>
        <c:crosses val="autoZero"/>
        <c:auto val="1"/>
        <c:lblAlgn val="ctr"/>
        <c:lblOffset val="100"/>
        <c:noMultiLvlLbl val="0"/>
      </c:catAx>
      <c:valAx>
        <c:axId val="15352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50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76977152899824297"/>
          <c:y val="2.3909985935302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500" b="1" i="0" u="none" strike="noStrike" kern="1200" cap="all" spc="100" normalizeH="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sz="1500" b="1" i="0" u="none" strike="noStrike" kern="1200" cap="all" spc="100" normalizeH="0" baseline="0">
                <a:solidFill>
                  <a:schemeClr val="lt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各种产品占比图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269346594833501"/>
          <c:y val="0.19086806477302901"/>
          <c:w val="0.51245240328338504"/>
          <c:h val="0.73639500929121304"/>
        </c:manualLayout>
      </c:layout>
      <c:doughnut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rgbClr val="009999"/>
              </a:solidFill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C29-4359-A643-642E501B1BF6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EC29-4359-A643-642E501B1BF6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EC29-4359-A643-642E501B1B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accent1">
                      <a:lumMod val="60000"/>
                      <a:lumOff val="40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Sheet1!$B$1:$D$1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A3</c:v>
                </c:pt>
              </c:strCache>
            </c:strRef>
          </c:cat>
          <c:val>
            <c:numRef>
              <c:f>Sheet1!$B$14:$D$14</c:f>
              <c:numCache>
                <c:formatCode>General</c:formatCode>
                <c:ptCount val="3"/>
                <c:pt idx="0">
                  <c:v>97135</c:v>
                </c:pt>
                <c:pt idx="1">
                  <c:v>90577</c:v>
                </c:pt>
                <c:pt idx="2">
                  <c:v>109434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C29-4359-A643-642E501B1BF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rgbClr val="009999"/>
    </a:solidFill>
    <a:ln w="9525" cap="flat" cmpd="sng" algn="ctr">
      <a:solidFill>
        <a:schemeClr val="accent1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400" b="1" i="0" u="none" strike="noStrike" kern="1200" spc="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sz="1400" b="1" i="0" u="none" strike="noStrike" kern="1200" cap="none" spc="0" normalizeH="0" baseline="0">
                <a:solidFill>
                  <a:schemeClr val="tx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各月销售占比图</a:t>
            </a:r>
          </a:p>
        </c:rich>
      </c:tx>
      <c:layout>
        <c:manualLayout>
          <c:xMode val="edge"/>
          <c:yMode val="edge"/>
          <c:x val="0.25602996254681598"/>
          <c:y val="4.46096654275092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73F-434D-A7FC-614345B08E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73F-434D-A7FC-614345B08E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73F-434D-A7FC-614345B08E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73F-434D-A7FC-614345B08E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73F-434D-A7FC-614345B08E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73F-434D-A7FC-614345B08E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73F-434D-A7FC-614345B08E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73F-434D-A7FC-614345B08E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73F-434D-A7FC-614345B08E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73F-434D-A7FC-614345B08E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373F-434D-A7FC-614345B08EC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373F-434D-A7FC-614345B08EC7}"/>
              </c:ext>
            </c:extLst>
          </c:dPt>
          <c:dLbls>
            <c:dLbl>
              <c:idx val="0"/>
              <c:layout>
                <c:manualLayout>
                  <c:x val="-2.6742734890354801E-2"/>
                  <c:y val="0.13653683319220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73F-434D-A7FC-614345B08EC7}"/>
                </c:ext>
              </c:extLst>
            </c:dLbl>
            <c:dLbl>
              <c:idx val="1"/>
              <c:layout>
                <c:manualLayout>
                  <c:x val="-6.6609012356601494E-2"/>
                  <c:y val="0.1249371152026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73F-434D-A7FC-614345B08EC7}"/>
                </c:ext>
              </c:extLst>
            </c:dLbl>
            <c:dLbl>
              <c:idx val="2"/>
              <c:layout>
                <c:manualLayout>
                  <c:x val="-9.3679406647202895E-2"/>
                  <c:y val="5.86439520338768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73F-434D-A7FC-614345B08EC7}"/>
                </c:ext>
              </c:extLst>
            </c:dLbl>
            <c:dLbl>
              <c:idx val="3"/>
              <c:layout>
                <c:manualLayout>
                  <c:x val="-5.3831285649059797E-3"/>
                  <c:y val="-3.483452663377789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73F-434D-A7FC-614345B08EC7}"/>
                </c:ext>
              </c:extLst>
            </c:dLbl>
            <c:dLbl>
              <c:idx val="4"/>
              <c:layout>
                <c:manualLayout>
                  <c:x val="-8.5823085316582698E-2"/>
                  <c:y val="-7.03587702094859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73F-434D-A7FC-614345B08EC7}"/>
                </c:ext>
              </c:extLst>
            </c:dLbl>
            <c:dLbl>
              <c:idx val="5"/>
              <c:layout>
                <c:manualLayout>
                  <c:x val="-9.1542805744787598E-2"/>
                  <c:y val="-0.146727551249402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73F-434D-A7FC-614345B08EC7}"/>
                </c:ext>
              </c:extLst>
            </c:dLbl>
            <c:dLbl>
              <c:idx val="6"/>
              <c:layout>
                <c:manualLayout>
                  <c:x val="-2.8269063496665699E-2"/>
                  <c:y val="-9.52582557154953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73F-434D-A7FC-614345B08EC7}"/>
                </c:ext>
              </c:extLst>
            </c:dLbl>
            <c:dLbl>
              <c:idx val="10"/>
              <c:layout>
                <c:manualLayout>
                  <c:x val="0.11378055973340399"/>
                  <c:y val="0.1155288860267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73F-434D-A7FC-614345B08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22201</c:v>
                </c:pt>
                <c:pt idx="1">
                  <c:v>21490</c:v>
                </c:pt>
                <c:pt idx="2">
                  <c:v>20540</c:v>
                </c:pt>
                <c:pt idx="3">
                  <c:v>21080</c:v>
                </c:pt>
                <c:pt idx="4">
                  <c:v>22211</c:v>
                </c:pt>
                <c:pt idx="5">
                  <c:v>23151</c:v>
                </c:pt>
                <c:pt idx="6">
                  <c:v>23023</c:v>
                </c:pt>
                <c:pt idx="7">
                  <c:v>24510</c:v>
                </c:pt>
                <c:pt idx="8">
                  <c:v>27927</c:v>
                </c:pt>
                <c:pt idx="9">
                  <c:v>30000</c:v>
                </c:pt>
                <c:pt idx="10">
                  <c:v>29678</c:v>
                </c:pt>
                <c:pt idx="11">
                  <c:v>31335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373F-434D-A7FC-614345B08EC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>
      <a:gsLst>
        <a:gs pos="0">
          <a:schemeClr val="lt1"/>
        </a:gs>
        <a:gs pos="39000">
          <a:schemeClr val="lt1"/>
        </a:gs>
        <a:gs pos="100000">
          <a:schemeClr val="bg1">
            <a:lumMod val="75000"/>
          </a:schemeClr>
        </a:gs>
      </a:gsLst>
      <a:path path="circle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0</xdr:row>
      <xdr:rowOff>9525</xdr:rowOff>
    </xdr:from>
    <xdr:to>
      <xdr:col>11</xdr:col>
      <xdr:colOff>629920</xdr:colOff>
      <xdr:row>14</xdr:row>
      <xdr:rowOff>24765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14</xdr:row>
      <xdr:rowOff>47625</xdr:rowOff>
    </xdr:from>
    <xdr:to>
      <xdr:col>11</xdr:col>
      <xdr:colOff>581025</xdr:colOff>
      <xdr:row>31</xdr:row>
      <xdr:rowOff>147955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18415</xdr:colOff>
      <xdr:row>14</xdr:row>
      <xdr:rowOff>38100</xdr:rowOff>
    </xdr:from>
    <xdr:to>
      <xdr:col>5</xdr:col>
      <xdr:colOff>455295</xdr:colOff>
      <xdr:row>31</xdr:row>
      <xdr:rowOff>123190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tabSelected="1" zoomScale="90" zoomScaleNormal="90" workbookViewId="0">
      <selection activeCell="P25" sqref="P25"/>
    </sheetView>
  </sheetViews>
  <sheetFormatPr defaultColWidth="9" defaultRowHeight="13.5" x14ac:dyDescent="0.15"/>
  <cols>
    <col min="1" max="1" width="13.75" customWidth="1"/>
    <col min="2" max="5" width="9.5" customWidth="1"/>
  </cols>
  <sheetData>
    <row r="1" spans="1:5" ht="30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 x14ac:dyDescent="0.15">
      <c r="A2" s="2" t="s">
        <v>5</v>
      </c>
      <c r="B2" s="2">
        <v>5679</v>
      </c>
      <c r="C2" s="2">
        <v>6653</v>
      </c>
      <c r="D2" s="2">
        <v>9869</v>
      </c>
      <c r="E2" s="2">
        <f>SUM(B2:D2)</f>
        <v>22201</v>
      </c>
    </row>
    <row r="3" spans="1:5" ht="21.95" customHeight="1" x14ac:dyDescent="0.15">
      <c r="A3" s="3" t="s">
        <v>6</v>
      </c>
      <c r="B3" s="3">
        <v>6949</v>
      </c>
      <c r="C3" s="3">
        <v>5569</v>
      </c>
      <c r="D3" s="3">
        <v>8972</v>
      </c>
      <c r="E3" s="3">
        <f t="shared" ref="E3:E13" si="0">SUM(B3:D3)</f>
        <v>21490</v>
      </c>
    </row>
    <row r="4" spans="1:5" ht="21.95" customHeight="1" x14ac:dyDescent="0.15">
      <c r="A4" s="2" t="s">
        <v>7</v>
      </c>
      <c r="B4" s="2">
        <v>6329</v>
      </c>
      <c r="C4" s="2">
        <v>4569</v>
      </c>
      <c r="D4" s="2">
        <v>9642</v>
      </c>
      <c r="E4" s="2">
        <f t="shared" si="0"/>
        <v>20540</v>
      </c>
    </row>
    <row r="5" spans="1:5" ht="21.95" customHeight="1" x14ac:dyDescent="0.15">
      <c r="A5" s="3" t="s">
        <v>8</v>
      </c>
      <c r="B5" s="3">
        <v>6526</v>
      </c>
      <c r="C5" s="3">
        <v>5562</v>
      </c>
      <c r="D5" s="3">
        <v>8992</v>
      </c>
      <c r="E5" s="3">
        <f t="shared" si="0"/>
        <v>21080</v>
      </c>
    </row>
    <row r="6" spans="1:5" ht="21.95" customHeight="1" x14ac:dyDescent="0.15">
      <c r="A6" s="2" t="s">
        <v>9</v>
      </c>
      <c r="B6" s="2">
        <v>6573</v>
      </c>
      <c r="C6" s="2">
        <v>6012</v>
      </c>
      <c r="D6" s="2">
        <v>9626</v>
      </c>
      <c r="E6" s="2">
        <f t="shared" si="0"/>
        <v>22211</v>
      </c>
    </row>
    <row r="7" spans="1:5" ht="21.95" customHeight="1" x14ac:dyDescent="0.15">
      <c r="A7" s="3" t="s">
        <v>10</v>
      </c>
      <c r="B7" s="3">
        <v>7296</v>
      </c>
      <c r="C7" s="3">
        <v>7259</v>
      </c>
      <c r="D7" s="3">
        <v>8596</v>
      </c>
      <c r="E7" s="3">
        <f t="shared" si="0"/>
        <v>23151</v>
      </c>
    </row>
    <row r="8" spans="1:5" ht="21.95" customHeight="1" x14ac:dyDescent="0.15">
      <c r="A8" s="2" t="s">
        <v>11</v>
      </c>
      <c r="B8" s="2">
        <v>6398</v>
      </c>
      <c r="C8" s="2">
        <v>8629</v>
      </c>
      <c r="D8" s="2">
        <v>7996</v>
      </c>
      <c r="E8" s="2">
        <f t="shared" si="0"/>
        <v>23023</v>
      </c>
    </row>
    <row r="9" spans="1:5" ht="21.95" customHeight="1" x14ac:dyDescent="0.15">
      <c r="A9" s="3" t="s">
        <v>12</v>
      </c>
      <c r="B9" s="3">
        <v>8275</v>
      </c>
      <c r="C9" s="3">
        <v>7956</v>
      </c>
      <c r="D9" s="3">
        <v>8279</v>
      </c>
      <c r="E9" s="3">
        <f t="shared" si="0"/>
        <v>24510</v>
      </c>
    </row>
    <row r="10" spans="1:5" ht="21.95" customHeight="1" x14ac:dyDescent="0.15">
      <c r="A10" s="2" t="s">
        <v>13</v>
      </c>
      <c r="B10" s="2">
        <v>9632</v>
      </c>
      <c r="C10" s="2">
        <v>8969</v>
      </c>
      <c r="D10" s="2">
        <v>9326</v>
      </c>
      <c r="E10" s="2">
        <f t="shared" si="0"/>
        <v>27927</v>
      </c>
    </row>
    <row r="11" spans="1:5" ht="21.95" customHeight="1" x14ac:dyDescent="0.15">
      <c r="A11" s="3" t="s">
        <v>14</v>
      </c>
      <c r="B11" s="3">
        <v>10056</v>
      </c>
      <c r="C11" s="3">
        <v>9972</v>
      </c>
      <c r="D11" s="3">
        <v>9972</v>
      </c>
      <c r="E11" s="3">
        <f t="shared" si="0"/>
        <v>30000</v>
      </c>
    </row>
    <row r="12" spans="1:5" ht="21.95" customHeight="1" x14ac:dyDescent="0.15">
      <c r="A12" s="2" t="s">
        <v>15</v>
      </c>
      <c r="B12" s="2">
        <v>11326</v>
      </c>
      <c r="C12" s="2">
        <v>9196</v>
      </c>
      <c r="D12" s="2">
        <v>9156</v>
      </c>
      <c r="E12" s="2">
        <f t="shared" si="0"/>
        <v>29678</v>
      </c>
    </row>
    <row r="13" spans="1:5" ht="21.95" customHeight="1" x14ac:dyDescent="0.15">
      <c r="A13" s="3" t="s">
        <v>16</v>
      </c>
      <c r="B13" s="3">
        <v>12096</v>
      </c>
      <c r="C13" s="3">
        <v>10231</v>
      </c>
      <c r="D13" s="3">
        <v>9008</v>
      </c>
      <c r="E13" s="3">
        <f t="shared" si="0"/>
        <v>31335</v>
      </c>
    </row>
    <row r="14" spans="1:5" ht="27" customHeight="1" x14ac:dyDescent="0.15">
      <c r="A14" s="1" t="s">
        <v>4</v>
      </c>
      <c r="B14" s="1">
        <f>SUM(B2:B13)</f>
        <v>97135</v>
      </c>
      <c r="C14" s="1">
        <f t="shared" ref="C14:D14" si="1">SUM(C2:C13)</f>
        <v>90577</v>
      </c>
      <c r="D14" s="1">
        <f t="shared" si="1"/>
        <v>109434</v>
      </c>
      <c r="E14" s="1" t="s">
        <v>17</v>
      </c>
    </row>
  </sheetData>
  <phoneticPr fontId="3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
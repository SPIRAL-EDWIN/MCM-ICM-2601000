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770" windowHeight="9390"/>
  </bookViews>
  <sheets>
    <sheet name="Sheet1" sheetId="1" r:id="rId1"/>
  </sheets>
  <calcPr calcId="162913" concurrentCalc="0"/>
</workbook>
</file>

<file path=xl/calcChain.xml><?xml version="1.0" encoding="utf-8"?>
<calcChain xmlns="http://schemas.openxmlformats.org/spreadsheetml/2006/main">
  <c r="B6" i="1" l="1"/>
  <c r="C6" i="1"/>
  <c r="D6" i="1"/>
  <c r="E6" i="1"/>
  <c r="F6" i="1"/>
  <c r="G6" i="1"/>
  <c r="H6" i="1"/>
  <c r="B5" i="1"/>
  <c r="C5" i="1"/>
  <c r="D5" i="1"/>
  <c r="E5" i="1"/>
  <c r="F5" i="1"/>
  <c r="G5" i="1"/>
  <c r="H5" i="1"/>
  <c r="H4" i="1"/>
  <c r="H3" i="1"/>
</calcChain>
</file>

<file path=xl/sharedStrings.xml><?xml version="1.0" encoding="utf-8"?>
<sst xmlns="http://schemas.openxmlformats.org/spreadsheetml/2006/main" count="13" uniqueCount="13">
  <si>
    <t>外贸进出口年中分析报告</t>
  </si>
  <si>
    <t>项目</t>
  </si>
  <si>
    <t>一月</t>
  </si>
  <si>
    <t>二月</t>
  </si>
  <si>
    <t>三月</t>
  </si>
  <si>
    <t>四月</t>
  </si>
  <si>
    <t>五月</t>
  </si>
  <si>
    <t>六月</t>
  </si>
  <si>
    <t>总计</t>
  </si>
  <si>
    <t>出口总值</t>
  </si>
  <si>
    <t>进口总值</t>
  </si>
  <si>
    <t>进出口总值</t>
  </si>
  <si>
    <t>进出口差额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</si>
</sst>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11"/>
      <color theme="1" tint="0.249977111117893"/>
      <name val="微软雅黑"/>
      <family val="2"/>
      <charset val="134"/>
    </font>
    <font>
      <sz val="18"/>
      <color rgb="FF543941"/>
      <name val="微软雅黑"/>
      <family val="2"/>
      <charset val="134"/>
    </font>
    <font>
      <sz val="11"/>
      <color theme="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>
      <alignment vertical="center"/>
    </xf>
    <xf numFmtId="0" fontId="1" fillId="0" borderId="1" xfId="0" applyNumberFormat="1" applyFont="1" applyBorder="1">
      <alignment vertical="center"/>
    </xf>
    <xf numFmtId="0" fontId="1" fillId="4" borderId="1" xfId="0" applyNumberFormat="1" applyFont="1" applyFill="1" applyBorder="1">
      <alignment vertical="center"/>
    </xf>
    <xf numFmtId="0" fontId="1" fillId="5" borderId="1" xfId="0" applyNumberFormat="1" applyFont="1" applyFill="1" applyBorder="1">
      <alignment vertical="center"/>
    </xf>
    <xf numFmtId="0" fontId="4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colors>
    <mruColors>
      <color rgb="FF000000"/>
      <color rgb="FF543941"/>
      <color rgb="FFA991A8"/>
      <color rgb="FFBDABC3"/>
      <color rgb="FFDDD5E1"/>
      <color rgb="FFE5DFE8"/>
      <color rgb="FFD13561"/>
      <color rgb="FFFBEEF1"/>
      <color rgb="FFE99DB3"/>
      <color rgb="FFED19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  <a:r>
              <a:rPr lang="zh-CN" altLang="en-US">
                <a:solidFill>
                  <a:schemeClr val="tx1">
                    <a:lumMod val="65000"/>
                    <a:lumOff val="35000"/>
                  </a:schemeClr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rPr>
              <a:t>各月进口和出口总值一览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一月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Sheet1!$A$3:$A$4</c:f>
              <c:strCache>
                <c:ptCount val="2"/>
                <c:pt idx="0">
                  <c:v>出口总值</c:v>
                </c:pt>
                <c:pt idx="1">
                  <c:v>进口总值</c:v>
                </c:pt>
              </c:strCache>
            </c:strRef>
          </c:cat>
          <c:val>
            <c:numRef>
              <c:f>Sheet1!$B$3:$B$4</c:f>
              <c:numCache>
                <c:formatCode>General</c:formatCode>
                <c:ptCount val="2"/>
                <c:pt idx="0">
                  <c:v>314</c:v>
                </c:pt>
                <c:pt idx="1">
                  <c:v>458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2AD-4AA0-BAA7-219EFC95E6B9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二月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Sheet1!$A$3:$A$4</c:f>
              <c:strCache>
                <c:ptCount val="2"/>
                <c:pt idx="0">
                  <c:v>出口总值</c:v>
                </c:pt>
                <c:pt idx="1">
                  <c:v>进口总值</c:v>
                </c:pt>
              </c:strCache>
            </c:strRef>
          </c:cat>
          <c:val>
            <c:numRef>
              <c:f>Sheet1!$C$3:$C$4</c:f>
              <c:numCache>
                <c:formatCode>General</c:formatCode>
                <c:ptCount val="2"/>
                <c:pt idx="0">
                  <c:v>457</c:v>
                </c:pt>
                <c:pt idx="1">
                  <c:v>242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2AD-4AA0-BAA7-219EFC95E6B9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三月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Sheet1!$A$3:$A$4</c:f>
              <c:strCache>
                <c:ptCount val="2"/>
                <c:pt idx="0">
                  <c:v>出口总值</c:v>
                </c:pt>
                <c:pt idx="1">
                  <c:v>进口总值</c:v>
                </c:pt>
              </c:strCache>
            </c:strRef>
          </c:cat>
          <c:val>
            <c:numRef>
              <c:f>Sheet1!$D$3:$D$4</c:f>
              <c:numCache>
                <c:formatCode>General</c:formatCode>
                <c:ptCount val="2"/>
                <c:pt idx="0">
                  <c:v>320</c:v>
                </c:pt>
                <c:pt idx="1">
                  <c:v>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E2AD-4AA0-BAA7-219EFC95E6B9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四月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Sheet1!$A$3:$A$4</c:f>
              <c:strCache>
                <c:ptCount val="2"/>
                <c:pt idx="0">
                  <c:v>出口总值</c:v>
                </c:pt>
                <c:pt idx="1">
                  <c:v>进口总值</c:v>
                </c:pt>
              </c:strCache>
            </c:strRef>
          </c:cat>
          <c:val>
            <c:numRef>
              <c:f>Sheet1!$E$3:$E$4</c:f>
              <c:numCache>
                <c:formatCode>General</c:formatCode>
                <c:ptCount val="2"/>
                <c:pt idx="0">
                  <c:v>429</c:v>
                </c:pt>
                <c:pt idx="1">
                  <c:v>414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E2AD-4AA0-BAA7-219EFC95E6B9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五月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Sheet1!$A$3:$A$4</c:f>
              <c:strCache>
                <c:ptCount val="2"/>
                <c:pt idx="0">
                  <c:v>出口总值</c:v>
                </c:pt>
                <c:pt idx="1">
                  <c:v>进口总值</c:v>
                </c:pt>
              </c:strCache>
            </c:strRef>
          </c:cat>
          <c:val>
            <c:numRef>
              <c:f>Sheet1!$F$3:$F$4</c:f>
              <c:numCache>
                <c:formatCode>General</c:formatCode>
                <c:ptCount val="2"/>
                <c:pt idx="0">
                  <c:v>300</c:v>
                </c:pt>
                <c:pt idx="1">
                  <c:v>295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E2AD-4AA0-BAA7-219EFC95E6B9}"/>
            </c:ext>
          </c:extLst>
        </c:ser>
        <c:ser>
          <c:idx val="5"/>
          <c:order val="5"/>
          <c:tx>
            <c:strRef>
              <c:f>Sheet1!$G$2</c:f>
              <c:strCache>
                <c:ptCount val="1"/>
                <c:pt idx="0">
                  <c:v>六月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Sheet1!$A$3:$A$4</c:f>
              <c:strCache>
                <c:ptCount val="2"/>
                <c:pt idx="0">
                  <c:v>出口总值</c:v>
                </c:pt>
                <c:pt idx="1">
                  <c:v>进口总值</c:v>
                </c:pt>
              </c:strCache>
            </c:strRef>
          </c:cat>
          <c:val>
            <c:numRef>
              <c:f>Sheet1!$G$3:$G$4</c:f>
              <c:numCache>
                <c:formatCode>General</c:formatCode>
                <c:ptCount val="2"/>
                <c:pt idx="0">
                  <c:v>240</c:v>
                </c:pt>
                <c:pt idx="1">
                  <c:v>450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E2AD-4AA0-BAA7-219EFC95E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7"/>
        <c:overlap val="100"/>
        <c:axId val="152960384"/>
        <c:axId val="152789760"/>
      </c:barChart>
      <c:lineChart>
        <c:grouping val="stacked"/>
        <c:varyColors val="0"/>
        <c:ser>
          <c:idx val="6"/>
          <c:order val="6"/>
          <c:tx>
            <c:strRef>
              <c:f>Sheet1!$H$2</c:f>
              <c:strCache>
                <c:ptCount val="1"/>
                <c:pt idx="0">
                  <c:v>总计</c:v>
                </c:pt>
              </c:strCache>
            </c:strRef>
          </c:tx>
          <c:spPr>
            <a:ln w="28575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9525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</c:marker>
          <c:cat>
            <c:strRef>
              <c:f>Sheet1!$A$3:$A$4</c:f>
              <c:strCache>
                <c:ptCount val="2"/>
                <c:pt idx="0">
                  <c:v>出口总值</c:v>
                </c:pt>
                <c:pt idx="1">
                  <c:v>进口总值</c:v>
                </c:pt>
              </c:strCache>
            </c:strRef>
          </c:cat>
          <c:val>
            <c:numRef>
              <c:f>Sheet1!$H$3:$H$4</c:f>
              <c:numCache>
                <c:formatCode>General</c:formatCode>
                <c:ptCount val="2"/>
                <c:pt idx="0">
                  <c:v>2060</c:v>
                </c:pt>
                <c:pt idx="1">
                  <c:v>2359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E2AD-4AA0-BAA7-219EFC95E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960384"/>
        <c:axId val="152789760"/>
      </c:lineChart>
      <c:catAx>
        <c:axId val="1529603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  <a:endParaRPr lang="zh-CN"/>
          </a:p>
        </c:txPr>
        <c:crossAx val="152789760"/>
        <c:crosses val="autoZero"/>
        <c:auto val="1"/>
        <c:lblAlgn val="ctr"/>
        <c:lblOffset val="100"/>
        <c:noMultiLvlLbl val="0"/>
      </c:catAx>
      <c:valAx>
        <c:axId val="15278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  <a:endParaRPr lang="zh-CN"/>
          </a:p>
        </c:txPr>
        <c:crossAx val="15296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  <a:endParaRPr lang="zh-CN"/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  <a:endParaRPr lang="zh-CN"/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  <a:endParaRPr lang="zh-CN"/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charset="0"/>
              <a:ea typeface="微软雅黑" charset="0"/>
              <a:cs typeface="微软雅黑" charset="0"/>
              <a:sym typeface="微软雅黑" charset="0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65000"/>
              <a:lumOff val="35000"/>
            </a:schemeClr>
          </a:solidFill>
          <a:latin typeface="微软雅黑" charset="0"/>
          <a:ea typeface="微软雅黑" charset="0"/>
          <a:cs typeface="微软雅黑" charset="0"/>
          <a:sym typeface="微软雅黑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charset="0"/>
              <a:ea typeface="微软雅黑" charset="0"/>
              <a:cs typeface="微软雅黑" charset="0"/>
              <a:sym typeface="微软雅黑" charset="0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Sheet1!$A$5</c:f>
              <c:strCache>
                <c:ptCount val="1"/>
                <c:pt idx="0">
                  <c:v>进出口总值</c:v>
                </c:pt>
              </c:strCache>
            </c:strRef>
          </c:tx>
          <c:spPr>
            <a:ln w="3175">
              <a:solidFill>
                <a:schemeClr val="lt1"/>
              </a:solidFill>
            </a:ln>
          </c:spPr>
          <c:dPt>
            <c:idx val="0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317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55B-4B32-8907-48CAC92D76AB}"/>
              </c:ext>
            </c:extLst>
          </c:dPt>
          <c:dPt>
            <c:idx val="1"/>
            <c:bubble3D val="0"/>
            <c:spPr>
              <a:solidFill>
                <a:schemeClr val="tx1">
                  <a:lumMod val="65000"/>
                  <a:lumOff val="35000"/>
                </a:schemeClr>
              </a:solidFill>
              <a:ln w="317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55B-4B32-8907-48CAC92D76AB}"/>
              </c:ext>
            </c:extLst>
          </c:dPt>
          <c:dPt>
            <c:idx val="2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 w="317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55B-4B32-8907-48CAC92D76AB}"/>
              </c:ext>
            </c:extLst>
          </c:dPt>
          <c:dPt>
            <c:idx val="3"/>
            <c:bubble3D val="0"/>
            <c:spPr>
              <a:solidFill>
                <a:schemeClr val="bg1">
                  <a:lumMod val="65000"/>
                </a:schemeClr>
              </a:solidFill>
              <a:ln w="317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55B-4B32-8907-48CAC92D76AB}"/>
              </c:ext>
            </c:extLst>
          </c:dPt>
          <c:dPt>
            <c:idx val="4"/>
            <c:bubble3D val="0"/>
            <c:spPr>
              <a:solidFill>
                <a:schemeClr val="bg1">
                  <a:lumMod val="75000"/>
                </a:schemeClr>
              </a:solidFill>
              <a:ln w="317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155B-4B32-8907-48CAC92D76AB}"/>
              </c:ext>
            </c:extLst>
          </c:dPt>
          <c:dPt>
            <c:idx val="5"/>
            <c:bubble3D val="0"/>
            <c:spPr>
              <a:solidFill>
                <a:schemeClr val="bg1">
                  <a:lumMod val="85000"/>
                </a:schemeClr>
              </a:solidFill>
              <a:ln w="3175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155B-4B32-8907-48CAC92D76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charset="0"/>
                    <a:ea typeface="微软雅黑" charset="0"/>
                    <a:cs typeface="微软雅黑" charset="0"/>
                    <a:sym typeface="微软雅黑" charset="0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Sheet1!$B$2:$G$2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</c:strCache>
            </c:strRef>
          </c:cat>
          <c:val>
            <c:numRef>
              <c:f>Sheet1!$B$5:$G$5</c:f>
              <c:numCache>
                <c:formatCode>General</c:formatCode>
                <c:ptCount val="6"/>
                <c:pt idx="0">
                  <c:v>772</c:v>
                </c:pt>
                <c:pt idx="1">
                  <c:v>699</c:v>
                </c:pt>
                <c:pt idx="2">
                  <c:v>820</c:v>
                </c:pt>
                <c:pt idx="3">
                  <c:v>843</c:v>
                </c:pt>
                <c:pt idx="4">
                  <c:v>595</c:v>
                </c:pt>
                <c:pt idx="5">
                  <c:v>690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155B-4B32-8907-48CAC92D76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65000"/>
              <a:lumOff val="35000"/>
            </a:schemeClr>
          </a:solidFill>
          <a:latin typeface="微软雅黑" charset="0"/>
          <a:ea typeface="微软雅黑" charset="0"/>
          <a:cs typeface="微软雅黑" charset="0"/>
          <a:sym typeface="微软雅黑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软雅黑" charset="0"/>
              <a:ea typeface="微软雅黑" charset="0"/>
              <a:cs typeface="微软雅黑" charset="0"/>
              <a:sym typeface="微软雅黑" charset="0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Sheet1!$A$6</c:f>
              <c:strCache>
                <c:ptCount val="1"/>
                <c:pt idx="0">
                  <c:v>进出口差额</c:v>
                </c:pt>
              </c:strCache>
            </c:strRef>
          </c:tx>
          <c:spPr>
            <a:ln w="7620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circle"/>
            <c:size val="15"/>
            <c:spPr>
              <a:solidFill>
                <a:schemeClr val="bg1"/>
              </a:solidFill>
              <a:ln w="76200">
                <a:solidFill>
                  <a:schemeClr val="tx1">
                    <a:lumMod val="75000"/>
                    <a:lumOff val="2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微软雅黑" charset="0"/>
                    <a:ea typeface="微软雅黑" charset="0"/>
                    <a:cs typeface="微软雅黑" charset="0"/>
                    <a:sym typeface="微软雅黑" charset="0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Sheet1!$B$2:$G$2</c:f>
              <c:strCache>
                <c:ptCount val="6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</c:strCache>
            </c:strRef>
          </c:cat>
          <c:val>
            <c:numRef>
              <c:f>Sheet1!$B$6:$G$6</c:f>
              <c:numCache>
                <c:formatCode>General</c:formatCode>
                <c:ptCount val="6"/>
                <c:pt idx="0">
                  <c:v>-144</c:v>
                </c:pt>
                <c:pt idx="1">
                  <c:v>215</c:v>
                </c:pt>
                <c:pt idx="2">
                  <c:v>-180</c:v>
                </c:pt>
                <c:pt idx="3">
                  <c:v>15</c:v>
                </c:pt>
                <c:pt idx="4">
                  <c:v>5</c:v>
                </c:pt>
                <c:pt idx="5">
                  <c:v>-210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04D-4BAF-9F59-FE351DDCBA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3857024"/>
        <c:axId val="153859968"/>
      </c:lineChart>
      <c:catAx>
        <c:axId val="1538570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9050" cap="flat" cmpd="sng" algn="ctr">
            <a:solidFill>
              <a:schemeClr val="bg1">
                <a:lumMod val="65000"/>
              </a:schemeClr>
            </a:solidFill>
            <a:prstDash val="dash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  <a:endParaRPr lang="zh-CN"/>
          </a:p>
        </c:txPr>
        <c:crossAx val="153859968"/>
        <c:crosses val="autoZero"/>
        <c:auto val="1"/>
        <c:lblAlgn val="ctr"/>
        <c:lblOffset val="100"/>
        <c:noMultiLvlLbl val="0"/>
      </c:catAx>
      <c:valAx>
        <c:axId val="15385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charset="0"/>
                <a:ea typeface="微软雅黑" charset="0"/>
                <a:cs typeface="微软雅黑" charset="0"/>
                <a:sym typeface="微软雅黑" charset="0"/>
              </a:defRPr>
            </a:pPr>
            <a:endParaRPr lang="zh-CN"/>
          </a:p>
        </c:txPr>
        <c:crossAx val="15385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65000"/>
              <a:lumOff val="35000"/>
            </a:schemeClr>
          </a:solidFill>
          <a:latin typeface="微软雅黑" charset="0"/>
          <a:ea typeface="微软雅黑" charset="0"/>
          <a:cs typeface="微软雅黑" charset="0"/>
          <a:sym typeface="微软雅黑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6</xdr:row>
      <xdr:rowOff>38100</xdr:rowOff>
    </xdr:from>
    <xdr:to>
      <xdr:col>4</xdr:col>
      <xdr:colOff>1270</xdr:colOff>
      <xdr:row>19</xdr:row>
      <xdr:rowOff>57785</xdr:rowOff>
    </xdr:to>
    <xdr:graphicFrame macro="">
      <xdr:nvGraphicFramePr>
        <xdr:cNvPr id="9" name="图表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50800</xdr:colOff>
      <xdr:row>6</xdr:row>
      <xdr:rowOff>38100</xdr:rowOff>
    </xdr:from>
    <xdr:to>
      <xdr:col>8</xdr:col>
      <xdr:colOff>13335</xdr:colOff>
      <xdr:row>19</xdr:row>
      <xdr:rowOff>57785</xdr:rowOff>
    </xdr:to>
    <xdr:graphicFrame macro="">
      <xdr:nvGraphicFramePr>
        <xdr:cNvPr id="10" name="图表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123825</xdr:colOff>
      <xdr:row>6</xdr:row>
      <xdr:rowOff>123825</xdr:rowOff>
    </xdr:from>
    <xdr:to>
      <xdr:col>5</xdr:col>
      <xdr:colOff>247650</xdr:colOff>
      <xdr:row>8</xdr:row>
      <xdr:rowOff>114300</xdr:rowOff>
    </xdr:to>
    <xdr:sp macro="" textlink="">
      <xdr:nvSpPr>
        <xdr:cNvPr id="12" name="圆角矩形 11"/>
        <xdr:cNvSpPr/>
      </xdr:nvSpPr>
      <xdr:spPr>
        <a:xfrm>
          <a:off x="4371975" y="1621790"/>
          <a:ext cx="1238250" cy="409575"/>
        </a:xfrm>
        <a:prstGeom prst="round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zh-CN" altLang="en-US" sz="1400">
              <a:latin typeface="微软雅黑" charset="0"/>
              <a:ea typeface="微软雅黑" charset="0"/>
            </a:rPr>
            <a:t>总：</a:t>
          </a:r>
          <a:r>
            <a:rPr lang="en-US" altLang="zh-CN" sz="1400">
              <a:latin typeface="微软雅黑" charset="0"/>
              <a:ea typeface="微软雅黑" charset="0"/>
            </a:rPr>
            <a:t>4419</a:t>
          </a:r>
        </a:p>
      </xdr:txBody>
    </xdr:sp>
    <xdr:clientData/>
  </xdr:twoCellAnchor>
  <xdr:twoCellAnchor>
    <xdr:from>
      <xdr:col>0</xdr:col>
      <xdr:colOff>47625</xdr:colOff>
      <xdr:row>19</xdr:row>
      <xdr:rowOff>95250</xdr:rowOff>
    </xdr:from>
    <xdr:to>
      <xdr:col>8</xdr:col>
      <xdr:colOff>8890</xdr:colOff>
      <xdr:row>32</xdr:row>
      <xdr:rowOff>114935</xdr:rowOff>
    </xdr:to>
    <xdr:graphicFrame macro="">
      <xdr:nvGraphicFramePr>
        <xdr:cNvPr id="13" name="图表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857885</xdr:colOff>
      <xdr:row>19</xdr:row>
      <xdr:rowOff>200025</xdr:rowOff>
    </xdr:from>
    <xdr:to>
      <xdr:col>7</xdr:col>
      <xdr:colOff>952500</xdr:colOff>
      <xdr:row>25</xdr:row>
      <xdr:rowOff>151765</xdr:rowOff>
    </xdr:to>
    <xdr:sp macro="" textlink="">
      <xdr:nvSpPr>
        <xdr:cNvPr id="14" name="椭圆 13"/>
        <xdr:cNvSpPr/>
      </xdr:nvSpPr>
      <xdr:spPr>
        <a:xfrm>
          <a:off x="7334885" y="4422140"/>
          <a:ext cx="1209040" cy="1209040"/>
        </a:xfrm>
        <a:prstGeom prst="ellipse">
          <a:avLst/>
        </a:prstGeom>
        <a:solidFill>
          <a:schemeClr val="tx1">
            <a:lumMod val="75000"/>
            <a:lumOff val="2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zh-CN" altLang="en-US" sz="1400">
              <a:latin typeface="微软雅黑" charset="0"/>
              <a:ea typeface="微软雅黑" charset="0"/>
            </a:rPr>
            <a:t>总</a:t>
          </a:r>
        </a:p>
        <a:p>
          <a:pPr algn="ctr"/>
          <a:r>
            <a:rPr lang="en-US" altLang="zh-CN" sz="2400">
              <a:latin typeface="微软雅黑" charset="0"/>
              <a:ea typeface="微软雅黑" charset="0"/>
            </a:rPr>
            <a:t>-299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6"/>
  <sheetViews>
    <sheetView showGridLines="0" tabSelected="1" workbookViewId="0">
      <selection activeCell="R14" sqref="R14"/>
    </sheetView>
  </sheetViews>
  <sheetFormatPr defaultColWidth="9" defaultRowHeight="16.5" x14ac:dyDescent="0.15"/>
  <cols>
    <col min="1" max="1" width="11.875" style="1" customWidth="1"/>
    <col min="2" max="8" width="14.625" style="1" customWidth="1"/>
    <col min="9" max="16383" width="9" style="1"/>
  </cols>
  <sheetData>
    <row r="1" spans="1:8 16384:16384" ht="30" customHeight="1" x14ac:dyDescent="0.15">
      <c r="A1" s="9" t="s">
        <v>0</v>
      </c>
      <c r="B1" s="9"/>
      <c r="C1" s="9"/>
      <c r="D1" s="9"/>
      <c r="E1" s="9"/>
      <c r="F1" s="9"/>
      <c r="G1" s="9"/>
      <c r="H1" s="9"/>
    </row>
    <row r="2" spans="1:8 16384:16384" ht="21.9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</row>
    <row r="3" spans="1:8 16384:16384" x14ac:dyDescent="0.15">
      <c r="A3" s="4" t="s">
        <v>9</v>
      </c>
      <c r="B3" s="4">
        <v>314</v>
      </c>
      <c r="C3" s="4">
        <v>457</v>
      </c>
      <c r="D3" s="4">
        <v>320</v>
      </c>
      <c r="E3" s="4">
        <v>429</v>
      </c>
      <c r="F3" s="5">
        <v>300</v>
      </c>
      <c r="G3" s="5">
        <v>240</v>
      </c>
      <c r="H3" s="5">
        <f>SUM(B3:G3)</f>
        <v>2060</v>
      </c>
    </row>
    <row r="4" spans="1:8 16384:16384" x14ac:dyDescent="0.15">
      <c r="A4" s="6" t="s">
        <v>10</v>
      </c>
      <c r="B4" s="6">
        <v>458</v>
      </c>
      <c r="C4" s="6">
        <v>242</v>
      </c>
      <c r="D4" s="6">
        <v>500</v>
      </c>
      <c r="E4" s="6">
        <v>414</v>
      </c>
      <c r="F4" s="7">
        <v>295</v>
      </c>
      <c r="G4" s="7">
        <v>450</v>
      </c>
      <c r="H4" s="7">
        <f>SUM(B4:G4)</f>
        <v>2359</v>
      </c>
    </row>
    <row r="5" spans="1:8 16384:16384" s="1" customFormat="1" x14ac:dyDescent="0.15">
      <c r="A5" s="4" t="s">
        <v>11</v>
      </c>
      <c r="B5" s="4">
        <f t="shared" ref="B5:G5" si="0">B3+B4</f>
        <v>772</v>
      </c>
      <c r="C5" s="4">
        <f t="shared" si="0"/>
        <v>699</v>
      </c>
      <c r="D5" s="4">
        <f t="shared" si="0"/>
        <v>820</v>
      </c>
      <c r="E5" s="4">
        <f t="shared" si="0"/>
        <v>843</v>
      </c>
      <c r="F5" s="5">
        <f t="shared" si="0"/>
        <v>595</v>
      </c>
      <c r="G5" s="5">
        <f t="shared" si="0"/>
        <v>690</v>
      </c>
      <c r="H5" s="5">
        <f>SUM(B5:G5)</f>
        <v>4419</v>
      </c>
      <c r="XFD5" s="8"/>
    </row>
    <row r="6" spans="1:8 16384:16384" s="1" customFormat="1" x14ac:dyDescent="0.15">
      <c r="A6" s="6" t="s">
        <v>12</v>
      </c>
      <c r="B6" s="6">
        <f t="shared" ref="B6:G6" si="1">B3-B4</f>
        <v>-144</v>
      </c>
      <c r="C6" s="6">
        <f t="shared" si="1"/>
        <v>215</v>
      </c>
      <c r="D6" s="6">
        <f t="shared" si="1"/>
        <v>-180</v>
      </c>
      <c r="E6" s="6">
        <f t="shared" si="1"/>
        <v>15</v>
      </c>
      <c r="F6" s="7">
        <f t="shared" si="1"/>
        <v>5</v>
      </c>
      <c r="G6" s="7">
        <f t="shared" si="1"/>
        <v>-210</v>
      </c>
      <c r="H6" s="7">
        <f>SUM(B6:G6)</f>
        <v>-299</v>
      </c>
      <c r="XFD6" s="8"/>
    </row>
  </sheetData>
  <mergeCells count="1">
    <mergeCell ref="A1:H1"/>
  </mergeCells>
  <phoneticPr fontId="5" type="noConversion"/>
  <pageMargins left="0.75" right="0.75" top="1" bottom="1" header="0.51180555555555596" footer="0.51180555555555596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2015-12-29T15:38:00Z</dcterms:created>
  <dcterms:modified xsi:type="dcterms:W3CDTF">2019-05-15T10:07:57Z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2052-10.1.0.5777</vt:lpwstr>
  </property>
</Properties>
</file>
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385" windowHeight="8370"/>
  </bookViews>
  <sheets>
    <sheet name="2-数据总结报告" sheetId="1" r:id="rId1"/>
  </sheets>
  <definedNames>
    <definedName name="A">OFFSET('2-数据总结报告'!$B$2,'2-数据总结报告'!$K$2,1,1,3)</definedName>
  </definedNames>
  <calcPr calcId="162913" concurrentCalc="0"/>
</workbook>
</file>

<file path=xl/calcChain.xml><?xml version="1.0" encoding="utf-8"?>
<calcChain xmlns="http://schemas.openxmlformats.org/spreadsheetml/2006/main">
  <c r="G8" i="1" l="1"/>
  <c r="G3" i="1"/>
  <c r="G4" i="1"/>
  <c r="G5" i="1"/>
  <c r="G6" i="1"/>
  <c r="G7" i="1"/>
  <c r="H8" i="1"/>
  <c r="H7" i="1"/>
  <c r="H6" i="1"/>
  <c r="H5" i="1"/>
  <c r="K4" i="1"/>
  <c r="H4" i="1"/>
  <c r="H3" i="1"/>
</calcChain>
</file>

<file path=xl/sharedStrings.xml><?xml version="1.0" encoding="utf-8"?>
<sst xmlns="http://schemas.openxmlformats.org/spreadsheetml/2006/main" count="15" uniqueCount="15">
  <si>
    <t>姓名</t>
  </si>
  <si>
    <t>一季度</t>
  </si>
  <si>
    <t>二季度</t>
  </si>
  <si>
    <t>三季度</t>
  </si>
  <si>
    <t>四季度</t>
  </si>
  <si>
    <t>年度总计</t>
  </si>
  <si>
    <t>个人占比</t>
  </si>
  <si>
    <t>2015年度季度数据分析</t>
  </si>
  <si>
    <t>王万历</t>
  </si>
  <si>
    <t>李光丽</t>
  </si>
  <si>
    <t>黄晓莉</t>
  </si>
  <si>
    <t>谢林毅</t>
  </si>
  <si>
    <t>2015年全年总销售额达到3174万，比去年增长了28%，各个季度总体比去年同期都高，同时，总销量迈进同行业TOP5。</t>
  </si>
  <si>
    <t>张敏</t>
  </si>
  <si>
    <t>陈芬雅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</si>
</sst>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宋体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1"/>
      <color indexed="63"/>
      <name val="微软雅黑"/>
      <family val="2"/>
      <charset val="134"/>
    </font>
    <font>
      <sz val="16"/>
      <color indexed="54"/>
      <name val="微软雅黑"/>
      <family val="2"/>
      <charset val="134"/>
    </font>
    <font>
      <sz val="26"/>
      <color indexed="54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9" fontId="3" fillId="3" borderId="3" xfId="1" applyFont="1" applyFill="1" applyBorder="1" applyAlignment="1">
      <alignment horizontal="left" vertical="center"/>
    </xf>
    <xf numFmtId="9" fontId="3" fillId="4" borderId="3" xfId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000000"/>
      <color rgb="FF60497B"/>
      <color rgb="FFFFFFFF"/>
      <color rgb="FFE5E0EC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25" b="0" i="0" u="none" strike="noStrike" kern="1200" baseline="0">
                <a:solidFill>
                  <a:srgbClr val="404040">
                    <a:alpha val="100000"/>
                  </a:srgb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  <a:r>
              <a:rPr lang="zh-CN" altLang="en-US"/>
              <a:t>销售数据按季度一览表</a:t>
            </a:r>
            <a:endParaRPr lang="zh-CN" altLang="en-US" sz="1625" b="0" i="0" u="none" strike="noStrike" baseline="0">
              <a:solidFill>
                <a:srgbClr val="404040">
                  <a:alpha val="100000"/>
                </a:srgbClr>
              </a:solidFill>
              <a:latin typeface="幼圆" panose="02010509060101010101" charset="-122"/>
              <a:ea typeface="幼圆" panose="02010509060101010101" charset="-122"/>
              <a:cs typeface="幼圆" panose="02010509060101010101" charset="-122"/>
            </a:endParaRPr>
          </a:p>
        </c:rich>
      </c:tx>
      <c:layout>
        <c:manualLayout>
          <c:xMode val="edge"/>
          <c:yMode val="edge"/>
          <c:x val="0.29282367328393299"/>
          <c:y val="2.9228214949123001E-2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599377855906"/>
          <c:y val="0.12943930548973101"/>
          <c:w val="0.83795440172829305"/>
          <c:h val="0.69521433432387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'2-数据总结报告'!$B$3</c:f>
              <c:strCache>
                <c:ptCount val="1"/>
                <c:pt idx="0">
                  <c:v>王万历</c:v>
                </c:pt>
              </c:strCache>
            </c:strRef>
          </c:tx>
          <c:spPr>
            <a:solidFill>
              <a:srgbClr val="3F3151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'2-数据总结报告'!$C$2:$F$2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'2-数据总结报告'!$C$3:$F$3</c:f>
              <c:numCache>
                <c:formatCode>General</c:formatCode>
                <c:ptCount val="4"/>
                <c:pt idx="0">
                  <c:v>89</c:v>
                </c:pt>
                <c:pt idx="1">
                  <c:v>135</c:v>
                </c:pt>
                <c:pt idx="2">
                  <c:v>140</c:v>
                </c:pt>
                <c:pt idx="3">
                  <c:v>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D9-4565-8B37-24184D28231B}"/>
            </c:ext>
          </c:extLst>
        </c:ser>
        <c:ser>
          <c:idx val="1"/>
          <c:order val="1"/>
          <c:tx>
            <c:strRef>
              <c:f>'2-数据总结报告'!$B$4</c:f>
              <c:strCache>
                <c:ptCount val="1"/>
                <c:pt idx="0">
                  <c:v>李光丽</c:v>
                </c:pt>
              </c:strCache>
            </c:strRef>
          </c:tx>
          <c:spPr>
            <a:solidFill>
              <a:srgbClr val="60497B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'2-数据总结报告'!$C$2:$F$2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'2-数据总结报告'!$C$4:$F$4</c:f>
              <c:numCache>
                <c:formatCode>General</c:formatCode>
                <c:ptCount val="4"/>
                <c:pt idx="0">
                  <c:v>129</c:v>
                </c:pt>
                <c:pt idx="1">
                  <c:v>80</c:v>
                </c:pt>
                <c:pt idx="2">
                  <c:v>172</c:v>
                </c:pt>
                <c:pt idx="3">
                  <c:v>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6D9-4565-8B37-24184D28231B}"/>
            </c:ext>
          </c:extLst>
        </c:ser>
        <c:ser>
          <c:idx val="2"/>
          <c:order val="2"/>
          <c:tx>
            <c:strRef>
              <c:f>'2-数据总结报告'!$B$5</c:f>
              <c:strCache>
                <c:ptCount val="1"/>
                <c:pt idx="0">
                  <c:v>黄晓莉</c:v>
                </c:pt>
              </c:strCache>
            </c:strRef>
          </c:tx>
          <c:spPr>
            <a:solidFill>
              <a:srgbClr val="95B3D7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'2-数据总结报告'!$C$2:$F$2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'2-数据总结报告'!$C$5:$F$5</c:f>
              <c:numCache>
                <c:formatCode>General</c:formatCode>
                <c:ptCount val="4"/>
                <c:pt idx="0">
                  <c:v>100</c:v>
                </c:pt>
                <c:pt idx="1">
                  <c:v>159</c:v>
                </c:pt>
                <c:pt idx="2">
                  <c:v>180</c:v>
                </c:pt>
                <c:pt idx="3">
                  <c:v>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6D9-4565-8B37-24184D28231B}"/>
            </c:ext>
          </c:extLst>
        </c:ser>
        <c:ser>
          <c:idx val="3"/>
          <c:order val="3"/>
          <c:tx>
            <c:strRef>
              <c:f>'2-数据总结报告'!$B$6</c:f>
              <c:strCache>
                <c:ptCount val="1"/>
                <c:pt idx="0">
                  <c:v>谢林毅</c:v>
                </c:pt>
              </c:strCache>
            </c:strRef>
          </c:tx>
          <c:spPr>
            <a:solidFill>
              <a:srgbClr val="538ED5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'2-数据总结报告'!$C$2:$F$2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'2-数据总结报告'!$C$6:$F$6</c:f>
              <c:numCache>
                <c:formatCode>General</c:formatCode>
                <c:ptCount val="4"/>
                <c:pt idx="0">
                  <c:v>70</c:v>
                </c:pt>
                <c:pt idx="1">
                  <c:v>196</c:v>
                </c:pt>
                <c:pt idx="2">
                  <c:v>134</c:v>
                </c:pt>
                <c:pt idx="3">
                  <c:v>185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6D9-4565-8B37-24184D28231B}"/>
            </c:ext>
          </c:extLst>
        </c:ser>
        <c:ser>
          <c:idx val="4"/>
          <c:order val="4"/>
          <c:tx>
            <c:strRef>
              <c:f>'2-数据总结报告'!$B$7</c:f>
              <c:strCache>
                <c:ptCount val="1"/>
                <c:pt idx="0">
                  <c:v>张敏</c:v>
                </c:pt>
              </c:strCache>
            </c:strRef>
          </c:tx>
          <c:spPr>
            <a:solidFill>
              <a:srgbClr val="5EC1DC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'2-数据总结报告'!$C$2:$F$2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'2-数据总结报告'!$C$7:$F$7</c:f>
              <c:numCache>
                <c:formatCode>General</c:formatCode>
                <c:ptCount val="4"/>
                <c:pt idx="0">
                  <c:v>125</c:v>
                </c:pt>
                <c:pt idx="1">
                  <c:v>138</c:v>
                </c:pt>
                <c:pt idx="2">
                  <c:v>116</c:v>
                </c:pt>
                <c:pt idx="3">
                  <c:v>166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6D9-4565-8B37-24184D28231B}"/>
            </c:ext>
          </c:extLst>
        </c:ser>
        <c:ser>
          <c:idx val="5"/>
          <c:order val="5"/>
          <c:tx>
            <c:strRef>
              <c:f>'2-数据总结报告'!$B$8</c:f>
              <c:strCache>
                <c:ptCount val="1"/>
                <c:pt idx="0">
                  <c:v>陈芬雅</c:v>
                </c:pt>
              </c:strCache>
            </c:strRef>
          </c:tx>
          <c:spPr>
            <a:solidFill>
              <a:srgbClr val="C2D69A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'2-数据总结报告'!$C$2:$F$2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'2-数据总结报告'!$C$8:$F$8</c:f>
              <c:numCache>
                <c:formatCode>General</c:formatCode>
                <c:ptCount val="4"/>
                <c:pt idx="0">
                  <c:v>140</c:v>
                </c:pt>
                <c:pt idx="1">
                  <c:v>100</c:v>
                </c:pt>
                <c:pt idx="2">
                  <c:v>157</c:v>
                </c:pt>
                <c:pt idx="3">
                  <c:v>120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36D9-4565-8B37-24184D28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70048"/>
        <c:axId val="152771584"/>
      </c:barChart>
      <c:catAx>
        <c:axId val="152770048"/>
        <c:scaling>
          <c:orientation val="minMax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B6DDE8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404040">
                    <a:alpha val="100000"/>
                  </a:srgb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  <a:endParaRPr lang="zh-CN"/>
          </a:p>
        </c:txPr>
        <c:crossAx val="152771584"/>
        <c:crosses val="autoZero"/>
        <c:auto val="1"/>
        <c:lblAlgn val="ctr"/>
        <c:lblOffset val="100"/>
        <c:tickLblSkip val="1"/>
        <c:noMultiLvlLbl val="0"/>
      </c:catAx>
      <c:valAx>
        <c:axId val="15277158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B2A1C7">
                  <a:alpha val="10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80808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2770048"/>
        <c:crosses val="autoZero"/>
        <c:crossBetween val="between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6.8141316589569997E-2"/>
          <c:y val="0.92068931884558303"/>
          <c:w val="0.91374999999999995"/>
          <c:h val="6.8000000000000005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20" b="0" i="0" u="none" strike="noStrike" kern="1200" baseline="0">
              <a:solidFill>
                <a:srgbClr val="40404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CCC0DA">
        <a:alpha val="100000"/>
      </a:srgbClr>
    </a:solidFill>
    <a:ln w="317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25" b="0" i="0" u="none" strike="noStrike" kern="1200" baseline="0">
                <a:solidFill>
                  <a:srgbClr val="40404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/>
              <a:t>销售人员占比分析表</a:t>
            </a:r>
            <a:endParaRPr lang="zh-CN" altLang="en-US" sz="1425" b="0" i="0" u="none" strike="noStrike" baseline="0">
              <a:solidFill>
                <a:srgbClr val="40404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9246050611598101"/>
          <c:y val="2.9289361842322E-2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113808670730099"/>
          <c:y val="0.18410466553452501"/>
          <c:w val="0.54482549009578096"/>
          <c:h val="0.483274747028128"/>
        </c:manualLayout>
      </c:layout>
      <c:pieChart>
        <c:varyColors val="1"/>
        <c:ser>
          <c:idx val="0"/>
          <c:order val="0"/>
          <c:tx>
            <c:strRef>
              <c:f>'2-数据总结报告'!$H$2</c:f>
              <c:strCache>
                <c:ptCount val="1"/>
                <c:pt idx="0">
                  <c:v>个人占比</c:v>
                </c:pt>
              </c:strCache>
            </c:strRef>
          </c:tx>
          <c:spPr>
            <a:solidFill>
              <a:srgbClr val="195E71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dPt>
            <c:idx val="0"/>
            <c:bubble3D val="0"/>
            <c:spPr>
              <a:solidFill>
                <a:srgbClr val="DBD5E3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276-45EA-B82C-783E23F6D157}"/>
              </c:ext>
            </c:extLst>
          </c:dPt>
          <c:dPt>
            <c:idx val="1"/>
            <c:bubble3D val="0"/>
            <c:spPr>
              <a:solidFill>
                <a:srgbClr val="C8C0D4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276-45EA-B82C-783E23F6D157}"/>
              </c:ext>
            </c:extLst>
          </c:dPt>
          <c:dPt>
            <c:idx val="2"/>
            <c:bubble3D val="0"/>
            <c:spPr>
              <a:solidFill>
                <a:srgbClr val="B3A7C5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276-45EA-B82C-783E23F6D157}"/>
              </c:ext>
            </c:extLst>
          </c:dPt>
          <c:dPt>
            <c:idx val="3"/>
            <c:bubble3D val="0"/>
            <c:spPr>
              <a:solidFill>
                <a:srgbClr val="A28DBB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276-45EA-B82C-783E23F6D157}"/>
              </c:ext>
            </c:extLst>
          </c:dPt>
          <c:dPt>
            <c:idx val="4"/>
            <c:bubble3D val="0"/>
            <c:spPr>
              <a:solidFill>
                <a:srgbClr val="947DB1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276-45EA-B82C-783E23F6D157}"/>
              </c:ext>
            </c:extLst>
          </c:dPt>
          <c:dPt>
            <c:idx val="5"/>
            <c:bubble3D val="0"/>
            <c:spPr>
              <a:solidFill>
                <a:srgbClr val="886DA9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276-45EA-B82C-783E23F6D157}"/>
              </c:ext>
            </c:extLst>
          </c:dPt>
          <c:dLbls>
            <c:spPr>
              <a:noFill/>
              <a:ln w="3175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404040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endParaRPr lang="zh-CN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'2-数据总结报告'!$B$3:$B$8</c:f>
              <c:strCache>
                <c:ptCount val="6"/>
                <c:pt idx="0">
                  <c:v>王万历</c:v>
                </c:pt>
                <c:pt idx="1">
                  <c:v>李光丽</c:v>
                </c:pt>
                <c:pt idx="2">
                  <c:v>黄晓莉</c:v>
                </c:pt>
                <c:pt idx="3">
                  <c:v>谢林毅</c:v>
                </c:pt>
                <c:pt idx="4">
                  <c:v>张敏</c:v>
                </c:pt>
                <c:pt idx="5">
                  <c:v>陈芬雅</c:v>
                </c:pt>
              </c:strCache>
            </c:strRef>
          </c:cat>
          <c:val>
            <c:numRef>
              <c:f>'2-数据总结报告'!$H$3:$H$8</c:f>
              <c:numCache>
                <c:formatCode>0%</c:formatCode>
                <c:ptCount val="6"/>
                <c:pt idx="0">
                  <c:v>0.13201008191556396</c:v>
                </c:pt>
                <c:pt idx="1">
                  <c:v>0.14902331442974165</c:v>
                </c:pt>
                <c:pt idx="2">
                  <c:v>0.20006301197227475</c:v>
                </c:pt>
                <c:pt idx="3">
                  <c:v>0.18431001890359169</c:v>
                </c:pt>
                <c:pt idx="4">
                  <c:v>0.17170762444864524</c:v>
                </c:pt>
                <c:pt idx="5">
                  <c:v>0.16288594833018274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A276-45EA-B82C-783E23F6D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115569009062546"/>
          <c:y val="0.84939193270297297"/>
          <c:w val="0.77825"/>
          <c:h val="0.14274999999999999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125" b="0" i="0" u="none" strike="noStrike" kern="1200" baseline="0">
              <a:solidFill>
                <a:srgbClr val="404040"/>
              </a:solidFill>
              <a:latin typeface="幼圆" panose="02010509060101010101" charset="-122"/>
              <a:ea typeface="幼圆" panose="02010509060101010101" charset="-122"/>
              <a:cs typeface="幼圆" panose="02010509060101010101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4F1F5">
        <a:alpha val="100000"/>
      </a:srgbClr>
    </a:solidFill>
    <a:ln w="3175" cap="flat" cmpd="sng" algn="ctr">
      <a:solidFill>
        <a:srgbClr val="B2A1C7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202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8</xdr:row>
      <xdr:rowOff>57150</xdr:rowOff>
    </xdr:from>
    <xdr:to>
      <xdr:col>8</xdr:col>
      <xdr:colOff>47625</xdr:colOff>
      <xdr:row>34</xdr:row>
      <xdr:rowOff>161925</xdr:rowOff>
    </xdr:to>
    <xdr:graphicFrame macro="">
      <xdr:nvGraphicFramePr>
        <xdr:cNvPr id="1047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85725</xdr:colOff>
      <xdr:row>8</xdr:row>
      <xdr:rowOff>66675</xdr:rowOff>
    </xdr:from>
    <xdr:to>
      <xdr:col>14</xdr:col>
      <xdr:colOff>9525</xdr:colOff>
      <xdr:row>34</xdr:row>
      <xdr:rowOff>161925</xdr:rowOff>
    </xdr:to>
    <xdr:graphicFrame macro="">
      <xdr:nvGraphicFramePr>
        <xdr:cNvPr id="1048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3</xdr:row>
      <xdr:rowOff>104775</xdr:rowOff>
    </xdr:from>
    <xdr:to>
      <xdr:col>9</xdr:col>
      <xdr:colOff>485775</xdr:colOff>
      <xdr:row>7</xdr:row>
      <xdr:rowOff>133985</xdr:rowOff>
    </xdr:to>
    <xdr:pic>
      <xdr:nvPicPr>
        <xdr:cNvPr id="1049" name="图片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0" y="733425"/>
          <a:ext cx="904875" cy="905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"/>
  <sheetViews>
    <sheetView showGridLines="0" tabSelected="1" workbookViewId="0">
      <selection activeCell="X17" sqref="X17"/>
    </sheetView>
  </sheetViews>
  <sheetFormatPr defaultColWidth="9" defaultRowHeight="13.5" x14ac:dyDescent="0.15"/>
  <cols>
    <col min="1" max="1" width="3" customWidth="1"/>
    <col min="2" max="2" width="11.375" customWidth="1"/>
    <col min="3" max="6" width="9.5" customWidth="1"/>
    <col min="8" max="8" width="8.875" customWidth="1"/>
  </cols>
  <sheetData>
    <row r="2" spans="1:14" ht="18" customHeight="1" x14ac:dyDescent="0.15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8" t="s">
        <v>6</v>
      </c>
      <c r="I2" s="11" t="s">
        <v>7</v>
      </c>
      <c r="J2" s="11"/>
      <c r="K2" s="11"/>
      <c r="L2" s="11"/>
      <c r="M2" s="11"/>
      <c r="N2" s="11"/>
    </row>
    <row r="3" spans="1:14" ht="18" customHeight="1" x14ac:dyDescent="0.15">
      <c r="A3" s="1"/>
      <c r="B3" s="4" t="s">
        <v>8</v>
      </c>
      <c r="C3" s="4">
        <v>89</v>
      </c>
      <c r="D3" s="4">
        <v>135</v>
      </c>
      <c r="E3" s="4">
        <v>140</v>
      </c>
      <c r="F3" s="5">
        <v>55</v>
      </c>
      <c r="G3" s="4">
        <f t="shared" ref="G3:G8" si="0">SUM($C3:$F3)</f>
        <v>419</v>
      </c>
      <c r="H3" s="9">
        <f t="shared" ref="H3:H8" si="1">G3/SUM($G$3:$G$8)</f>
        <v>0.13201008191556396</v>
      </c>
      <c r="I3" s="11"/>
      <c r="J3" s="11"/>
      <c r="K3" s="11"/>
      <c r="L3" s="11"/>
      <c r="M3" s="11"/>
      <c r="N3" s="11"/>
    </row>
    <row r="4" spans="1:14" ht="18" customHeight="1" x14ac:dyDescent="0.15">
      <c r="A4" s="1"/>
      <c r="B4" s="6" t="s">
        <v>9</v>
      </c>
      <c r="C4" s="6">
        <v>129</v>
      </c>
      <c r="D4" s="6">
        <v>80</v>
      </c>
      <c r="E4" s="6">
        <v>172</v>
      </c>
      <c r="F4" s="7">
        <v>92</v>
      </c>
      <c r="G4" s="6">
        <f t="shared" si="0"/>
        <v>473</v>
      </c>
      <c r="H4" s="10">
        <f t="shared" si="1"/>
        <v>0.14902331442974165</v>
      </c>
      <c r="I4" s="14"/>
      <c r="J4" s="15"/>
      <c r="K4" s="13">
        <f>SUM(G3:G8)</f>
        <v>3174</v>
      </c>
      <c r="L4" s="13"/>
      <c r="M4" s="13"/>
      <c r="N4" s="13"/>
    </row>
    <row r="5" spans="1:14" ht="18" customHeight="1" x14ac:dyDescent="0.15">
      <c r="A5" s="1"/>
      <c r="B5" s="4" t="s">
        <v>10</v>
      </c>
      <c r="C5" s="4">
        <v>100</v>
      </c>
      <c r="D5" s="4">
        <v>159</v>
      </c>
      <c r="E5" s="4">
        <v>180</v>
      </c>
      <c r="F5" s="5">
        <v>196</v>
      </c>
      <c r="G5" s="4">
        <f t="shared" si="0"/>
        <v>635</v>
      </c>
      <c r="H5" s="9">
        <f t="shared" si="1"/>
        <v>0.20006301197227475</v>
      </c>
      <c r="I5" s="16"/>
      <c r="J5" s="17"/>
      <c r="K5" s="13"/>
      <c r="L5" s="13"/>
      <c r="M5" s="13"/>
      <c r="N5" s="13"/>
    </row>
    <row r="6" spans="1:14" ht="16.5" x14ac:dyDescent="0.15">
      <c r="A6" s="1"/>
      <c r="B6" s="6" t="s">
        <v>11</v>
      </c>
      <c r="C6" s="6">
        <v>70</v>
      </c>
      <c r="D6" s="6">
        <v>196</v>
      </c>
      <c r="E6" s="6">
        <v>134</v>
      </c>
      <c r="F6" s="7">
        <v>185</v>
      </c>
      <c r="G6" s="6">
        <f t="shared" si="0"/>
        <v>585</v>
      </c>
      <c r="H6" s="10">
        <f t="shared" si="1"/>
        <v>0.18431001890359169</v>
      </c>
      <c r="I6" s="16"/>
      <c r="J6" s="17"/>
      <c r="K6" s="12" t="s">
        <v>12</v>
      </c>
      <c r="L6" s="12"/>
      <c r="M6" s="12"/>
      <c r="N6" s="12"/>
    </row>
    <row r="7" spans="1:14" ht="16.5" x14ac:dyDescent="0.15">
      <c r="A7" s="1"/>
      <c r="B7" s="4" t="s">
        <v>13</v>
      </c>
      <c r="C7" s="4">
        <v>125</v>
      </c>
      <c r="D7" s="4">
        <v>138</v>
      </c>
      <c r="E7" s="4">
        <v>116</v>
      </c>
      <c r="F7" s="5">
        <v>166</v>
      </c>
      <c r="G7" s="4">
        <f t="shared" si="0"/>
        <v>545</v>
      </c>
      <c r="H7" s="9">
        <f t="shared" si="1"/>
        <v>0.17170762444864524</v>
      </c>
      <c r="I7" s="16"/>
      <c r="J7" s="17"/>
      <c r="K7" s="12"/>
      <c r="L7" s="12"/>
      <c r="M7" s="12"/>
      <c r="N7" s="12"/>
    </row>
    <row r="8" spans="1:14" ht="16.5" x14ac:dyDescent="0.15">
      <c r="A8" s="1"/>
      <c r="B8" s="6" t="s">
        <v>14</v>
      </c>
      <c r="C8" s="6">
        <v>140</v>
      </c>
      <c r="D8" s="6">
        <v>100</v>
      </c>
      <c r="E8" s="6">
        <v>157</v>
      </c>
      <c r="F8" s="7">
        <v>120</v>
      </c>
      <c r="G8" s="6">
        <f t="shared" si="0"/>
        <v>517</v>
      </c>
      <c r="H8" s="10">
        <f t="shared" si="1"/>
        <v>0.16288594833018274</v>
      </c>
      <c r="I8" s="18"/>
      <c r="J8" s="19"/>
      <c r="K8" s="12"/>
      <c r="L8" s="12"/>
      <c r="M8" s="12"/>
      <c r="N8" s="12"/>
    </row>
  </sheetData>
  <mergeCells count="4">
    <mergeCell ref="I2:N3"/>
    <mergeCell ref="K6:N8"/>
    <mergeCell ref="K4:N5"/>
    <mergeCell ref="I4:J8"/>
  </mergeCells>
  <phoneticPr fontId="8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2-数据总结报告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cp:revision>1</cp:revision>
  <dcterms:created xsi:type="dcterms:W3CDTF">2009-01-09T01:26:00Z</dcterms:created>
  <dcterms:modified xsi:type="dcterms:W3CDTF">2019-05-15T10:08:51Z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  <property fmtid="{D5CDD505-2E9C-101B-9397-08002B2CF9AE}" pid="3" name="name">
    <vt:lpwstr>自动化带公式图表数据报告.xls</vt:lpwstr>
  </property>
  <property fmtid="{D5CDD505-2E9C-101B-9397-08002B2CF9AE}" pid="4" name="fileid">
    <vt:lpwstr>660475</vt:lpwstr>
  </property>
</Properties>
</file>
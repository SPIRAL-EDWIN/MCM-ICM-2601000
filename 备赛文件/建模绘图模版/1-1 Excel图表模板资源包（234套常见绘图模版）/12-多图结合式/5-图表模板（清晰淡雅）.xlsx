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8645" windowHeight="9330"/>
  </bookViews>
  <sheets>
    <sheet name="Sheet1" sheetId="1" r:id="rId1"/>
    <sheet name="Sheet2" sheetId="2" r:id="rId2"/>
    <sheet name="Sheet3" sheetId="3" r:id="rId3"/>
  </sheets>
  <calcPr calcId="162913" concurrentCalc="0"/>
</workbook>
</file>

<file path=xl/calcChain.xml><?xml version="1.0" encoding="utf-8"?>
<calcChain xmlns="http://schemas.openxmlformats.org/spreadsheetml/2006/main">
  <c r="I4" i="1" l="1"/>
  <c r="I3" i="1"/>
  <c r="I5" i="1"/>
  <c r="I6" i="1"/>
  <c r="L33" i="1"/>
  <c r="L32" i="1"/>
  <c r="M9" i="1"/>
  <c r="H9" i="1"/>
  <c r="G9" i="1"/>
  <c r="F9" i="1"/>
  <c r="E9" i="1"/>
  <c r="D9" i="1"/>
</calcChain>
</file>

<file path=xl/sharedStrings.xml><?xml version="1.0" encoding="utf-8"?>
<sst xmlns="http://schemas.openxmlformats.org/spreadsheetml/2006/main" count="23" uniqueCount="19">
  <si>
    <t xml:space="preserve"> function</t>
  </si>
  <si>
    <t xml:space="preserve"> ▼</t>
  </si>
  <si>
    <t>ITEMS Detail</t>
  </si>
  <si>
    <t>在线透视</t>
  </si>
  <si>
    <t>项1</t>
  </si>
  <si>
    <t>项2</t>
  </si>
  <si>
    <t>项3</t>
  </si>
  <si>
    <t>项4</t>
  </si>
  <si>
    <t>项5</t>
  </si>
  <si>
    <t>图表可视化</t>
  </si>
  <si>
    <t>目标</t>
  </si>
  <si>
    <t>完成</t>
  </si>
  <si>
    <t>总任务完成度</t>
  </si>
  <si>
    <t>Chart Visual</t>
  </si>
  <si>
    <t>COMPLETE</t>
  </si>
  <si>
    <t>总完成比例</t>
  </si>
  <si>
    <t>各部分完成比例</t>
  </si>
  <si>
    <t>未完成</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</si>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</sst>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charset val="134"/>
      <scheme val="minor"/>
    </font>
    <font>
      <sz val="11"/>
      <color theme="1"/>
      <name val="微软雅黑"/>
      <family val="2"/>
      <charset val="134"/>
    </font>
    <font>
      <sz val="16"/>
      <color theme="1" tint="0.249977111117893"/>
      <name val="微软雅黑"/>
      <family val="2"/>
      <charset val="134"/>
    </font>
    <font>
      <sz val="11"/>
      <color theme="0" tint="-0.34998626667073579"/>
      <name val="微软雅黑"/>
      <family val="2"/>
      <charset val="134"/>
    </font>
    <font>
      <sz val="14"/>
      <color theme="1" tint="0.34998626667073579"/>
      <name val="微软雅黑"/>
      <family val="2"/>
      <charset val="134"/>
    </font>
    <font>
      <sz val="11"/>
      <color rgb="FF53ACF2"/>
      <name val="微软雅黑"/>
      <family val="2"/>
      <charset val="134"/>
    </font>
    <font>
      <sz val="11"/>
      <color theme="0" tint="-0.249977111117893"/>
      <name val="微软雅黑"/>
      <family val="2"/>
      <charset val="134"/>
    </font>
    <font>
      <sz val="11"/>
      <color theme="0"/>
      <name val="微软雅黑"/>
      <family val="2"/>
      <charset val="134"/>
    </font>
    <font>
      <sz val="11"/>
      <color theme="1" tint="0.499984740745262"/>
      <name val="微软雅黑"/>
      <family val="2"/>
      <charset val="134"/>
    </font>
    <font>
      <sz val="24"/>
      <color rgb="FF53ACF2"/>
      <name val="微软雅黑"/>
      <family val="2"/>
      <charset val="134"/>
    </font>
    <font>
      <sz val="11"/>
      <color theme="1"/>
      <name val="Arial"/>
      <family val="2"/>
    </font>
    <font>
      <sz val="16"/>
      <color rgb="FF53ACF2"/>
      <name val="Arial"/>
      <family val="2"/>
    </font>
    <font>
      <sz val="24"/>
      <color theme="1"/>
      <name val="微软雅黑"/>
      <family val="2"/>
      <charset val="134"/>
    </font>
    <font>
      <sz val="11"/>
      <color theme="9" tint="0.39997558519241921"/>
      <name val="微软雅黑"/>
      <family val="2"/>
      <charset val="134"/>
    </font>
    <font>
      <sz val="9"/>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rgb="FFEDF0F5"/>
        <bgColor indexed="64"/>
      </patternFill>
    </fill>
  </fills>
  <borders count="2">
    <border>
      <left/>
      <right/>
      <top/>
      <bottom/>
      <diagonal/>
    </border>
    <border>
      <left/>
      <right/>
      <top style="thin">
        <color theme="0" tint="-0.249977111117893"/>
      </top>
      <bottom/>
      <diagonal/>
    </border>
  </borders>
  <cellStyleXfs count="1">
    <xf numFmtId="0" fontId="0" fillId="0" borderId="0">
      <alignment vertical="center"/>
    </xf>
  </cellStyleXfs>
  <cellXfs count="24">
    <xf numFmtId="0" fontId="0" fillId="0" borderId="0" xfId="0">
      <alignment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NumberFormat="1"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3" borderId="0" xfId="0" applyFont="1" applyFill="1" applyAlignment="1">
      <alignment horizontal="left" vertical="center"/>
    </xf>
    <xf numFmtId="10" fontId="3" fillId="3" borderId="0" xfId="0" applyNumberFormat="1" applyFont="1" applyFill="1" applyAlignment="1">
      <alignment horizontal="right" vertical="center"/>
    </xf>
    <xf numFmtId="10" fontId="7" fillId="2" borderId="0" xfId="0" applyNumberFormat="1" applyFont="1" applyFill="1" applyAlignment="1">
      <alignment horizontal="center" vertical="center"/>
    </xf>
    <xf numFmtId="0" fontId="10" fillId="3" borderId="0" xfId="0" applyFont="1" applyFill="1" applyAlignment="1">
      <alignment horizontal="center" vertical="center"/>
    </xf>
    <xf numFmtId="0" fontId="1" fillId="2" borderId="1" xfId="0" applyNumberFormat="1" applyFont="1" applyFill="1" applyBorder="1" applyAlignment="1">
      <alignment horizontal="center" vertical="center"/>
    </xf>
    <xf numFmtId="0" fontId="5" fillId="2" borderId="0" xfId="0" applyFont="1" applyFill="1" applyAlignment="1">
      <alignment horizontal="right" vertical="center"/>
    </xf>
    <xf numFmtId="0" fontId="13" fillId="2" borderId="0" xfId="0" applyFont="1" applyFill="1" applyAlignment="1">
      <alignment horizontal="right" vertical="center"/>
    </xf>
    <xf numFmtId="10" fontId="5" fillId="2" borderId="0" xfId="0" applyNumberFormat="1" applyFont="1" applyFill="1" applyAlignment="1">
      <alignment horizontal="center" vertical="center"/>
    </xf>
    <xf numFmtId="10" fontId="13" fillId="2" borderId="0" xfId="0" applyNumberFormat="1" applyFont="1" applyFill="1" applyAlignment="1">
      <alignment horizontal="center" vertical="center"/>
    </xf>
    <xf numFmtId="0" fontId="4" fillId="2" borderId="0" xfId="0" applyFont="1" applyFill="1" applyAlignment="1">
      <alignment horizontal="center"/>
    </xf>
    <xf numFmtId="0" fontId="12" fillId="2" borderId="0" xfId="0" applyFont="1" applyFill="1" applyAlignment="1">
      <alignment horizontal="center" vertical="center"/>
    </xf>
    <xf numFmtId="0" fontId="2" fillId="2" borderId="0" xfId="0" applyNumberFormat="1" applyFont="1" applyFill="1" applyAlignment="1">
      <alignment horizontal="left" vertical="center" indent="1"/>
    </xf>
    <xf numFmtId="0" fontId="11" fillId="2" borderId="0" xfId="0" applyFont="1" applyFill="1" applyAlignment="1">
      <alignment horizontal="center" vertical="center"/>
    </xf>
    <xf numFmtId="0" fontId="9" fillId="2" borderId="0" xfId="0" applyNumberFormat="1" applyFont="1" applyFill="1" applyAlignment="1">
      <alignment horizontal="left" vertical="center" indent="1"/>
    </xf>
  </cellXfs>
  <cellStyles count="1">
    <cellStyle name="常规" xfId="0" builtinId="0"/>
  </cellStyles>
  <dxfs count="0"/>
  <tableStyles count="0" defaultTableStyle="TableStyleMedium2" defaultPivotStyle="PivotStyleLight16"/>
  <colors>
    <mruColors>
      <color rgb="FFEDF0F5"/>
      <color rgb="FFA2D0F1"/>
      <color rgb="FFEEF4F2"/>
      <color rgb="FF53A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microsoft.com/office/2011/relationships/chartStyle" Target="style1.xml"/><Relationship Id="rId2" Type="http://schemas.microsoft.com/office/2011/relationships/chartColorStyle" Target="colors1.xml"/><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63882396358696E-2"/>
          <c:y val="0.33208333333333301"/>
          <c:w val="0.84154262516914702"/>
          <c:h val="0.50009259259259298"/>
        </c:manualLayout>
      </c:layout>
      <c:areaChart>
        <c:grouping val="standard"/>
        <c:varyColors val="0"/>
        <c:ser>
          <c:idx val="0"/>
          <c:order val="0"/>
          <c:tx>
            <c:strRef>
              <c:f>Sheet1!$C$7</c:f>
              <c:strCache>
                <c:ptCount val="1"/>
                <c:pt idx="0">
                  <c:v>目标</c:v>
                </c:pt>
              </c:strCache>
            </c:strRef>
          </c:tx>
          <c:spPr>
            <a:solidFill>
              <a:schemeClr val="bg1">
                <a:lumMod val="95000"/>
              </a:schemeClr>
            </a:solidFill>
            <a:ln w="12700">
              <a:solidFill>
                <a:schemeClr val="bg1">
                  <a:lumMod val="75000"/>
                </a:schemeClr>
              </a:solidFill>
            </a:ln>
            <a:effectLst/>
          </c:spPr>
          <c:cat>
            <c:strRef>
              <c:f>Sheet1!$D$6:$H$6</c:f>
              <c:strCache>
                <c:ptCount val="5"/>
                <c:pt idx="0">
                  <c:v>项1</c:v>
                </c:pt>
                <c:pt idx="1">
                  <c:v>项2</c:v>
                </c:pt>
                <c:pt idx="2">
                  <c:v>项3</c:v>
                </c:pt>
                <c:pt idx="3">
                  <c:v>项4</c:v>
                </c:pt>
                <c:pt idx="4">
                  <c:v>项5</c:v>
                </c:pt>
              </c:strCache>
            </c:strRef>
          </c:cat>
          <c:val>
            <c:numRef>
              <c:f>Sheet1!$D$7:$H$7</c:f>
              <c:numCache>
                <c:formatCode>General</c:formatCode>
                <c:ptCount val="5"/>
                <c:pt idx="0">
                  <c:v>220</c:v>
                </c:pt>
                <c:pt idx="1">
                  <c:v>300</c:v>
                </c:pt>
                <c:pt idx="2">
                  <c:v>450</c:v>
                </c:pt>
                <c:pt idx="3">
                  <c:v>220</c:v>
                </c:pt>
                <c:pt idx="4">
                  <c:v>350</c:v>
                </c:pt>
              </c:numCache>
            </c:numRef>
          </c:val>
          <c:extLst xmlns:c16r2="http://schemas.microsoft.com/office/drawing/2015/06/chart">
            <c:ext xmlns:c16="http://schemas.microsoft.com/office/drawing/2014/chart" uri="{C3380CC4-5D6E-409C-BE32-E72D297353CC}">
              <c16:uniqueId val="{00000000-8A6A-4A02-8043-CB6D4A968EA2}"/>
            </c:ext>
          </c:extLst>
        </c:ser>
        <c:ser>
          <c:idx val="1"/>
          <c:order val="1"/>
          <c:tx>
            <c:strRef>
              <c:f>Sheet1!$C$8</c:f>
              <c:strCache>
                <c:ptCount val="1"/>
                <c:pt idx="0">
                  <c:v>完成</c:v>
                </c:pt>
              </c:strCache>
            </c:strRef>
          </c:tx>
          <c:spPr>
            <a:solidFill>
              <a:srgbClr val="53ACF2">
                <a:alpha val="30000"/>
              </a:srgbClr>
            </a:solidFill>
            <a:ln w="12700">
              <a:solidFill>
                <a:srgbClr val="53ACF2"/>
              </a:solidFill>
            </a:ln>
            <a:effectLst/>
          </c:spPr>
          <c:cat>
            <c:strRef>
              <c:f>Sheet1!$D$6:$H$6</c:f>
              <c:strCache>
                <c:ptCount val="5"/>
                <c:pt idx="0">
                  <c:v>项1</c:v>
                </c:pt>
                <c:pt idx="1">
                  <c:v>项2</c:v>
                </c:pt>
                <c:pt idx="2">
                  <c:v>项3</c:v>
                </c:pt>
                <c:pt idx="3">
                  <c:v>项4</c:v>
                </c:pt>
                <c:pt idx="4">
                  <c:v>项5</c:v>
                </c:pt>
              </c:strCache>
            </c:strRef>
          </c:cat>
          <c:val>
            <c:numRef>
              <c:f>Sheet1!$D$8:$H$8</c:f>
              <c:numCache>
                <c:formatCode>General</c:formatCode>
                <c:ptCount val="5"/>
                <c:pt idx="0">
                  <c:v>120</c:v>
                </c:pt>
                <c:pt idx="1">
                  <c:v>90</c:v>
                </c:pt>
                <c:pt idx="2">
                  <c:v>375</c:v>
                </c:pt>
                <c:pt idx="3">
                  <c:v>110</c:v>
                </c:pt>
                <c:pt idx="4">
                  <c:v>320</c:v>
                </c:pt>
              </c:numCache>
            </c:numRef>
          </c:val>
          <c:extLst xmlns:c16r2="http://schemas.microsoft.com/office/drawing/2015/06/chart">
            <c:ext xmlns:c16="http://schemas.microsoft.com/office/drawing/2014/chart" uri="{C3380CC4-5D6E-409C-BE32-E72D297353CC}">
              <c16:uniqueId val="{00000001-8A6A-4A02-8043-CB6D4A968EA2}"/>
            </c:ext>
          </c:extLst>
        </c:ser>
        <c:dLbls>
          <c:showLegendKey val="0"/>
          <c:showVal val="0"/>
          <c:showCatName val="0"/>
          <c:showSerName val="0"/>
          <c:showPercent val="0"/>
          <c:showBubbleSize val="0"/>
        </c:dLbls>
        <c:axId val="35321344"/>
        <c:axId val="35322880"/>
      </c:areaChart>
      <c:catAx>
        <c:axId val="35321344"/>
        <c:scaling>
          <c:orientation val="minMax"/>
        </c:scaling>
        <c:delete val="0"/>
        <c:axPos val="b"/>
        <c:majorGridlines>
          <c:spPr>
            <a:ln w="22225" cap="flat" cmpd="sng" algn="ctr">
              <a:solidFill>
                <a:schemeClr val="bg1">
                  <a:lumMod val="95000"/>
                </a:schemeClr>
              </a:solidFill>
              <a:round/>
            </a:ln>
            <a:effectLst/>
          </c:spPr>
        </c:majorGridlines>
        <c:numFmt formatCode="General" sourceLinked="0"/>
        <c:majorTickMark val="out"/>
        <c:minorTickMark val="none"/>
        <c:tickLblPos val="high"/>
        <c:spPr>
          <a:noFill/>
          <a:ln w="9525" cap="flat" cmpd="sng" algn="ctr">
            <a:solidFill>
              <a:schemeClr val="tx1">
                <a:lumMod val="15000"/>
                <a:lumOff val="85000"/>
              </a:schemeClr>
            </a:solidFill>
            <a:round/>
          </a:ln>
          <a:effectLst/>
        </c:spPr>
        <c:txPr>
          <a:bodyPr rot="-60000000" spcFirstLastPara="0" vertOverflow="ellipsis" vert="horz" wrap="square" anchor="ctr" anchorCtr="0"/>
          <a:lstStyle/>
          <a:p>
            <a:pPr>
              <a:defRPr lang="zh-CN" sz="900" b="1"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crossAx val="35322880"/>
        <c:crosses val="autoZero"/>
        <c:auto val="1"/>
        <c:lblAlgn val="ctr"/>
        <c:lblOffset val="1000"/>
        <c:noMultiLvlLbl val="0"/>
      </c:catAx>
      <c:valAx>
        <c:axId val="35322880"/>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bg1">
                    <a:lumMod val="75000"/>
                  </a:schemeClr>
                </a:solidFill>
                <a:latin typeface="+mn-lt"/>
                <a:ea typeface="+mn-ea"/>
                <a:cs typeface="+mn-cs"/>
              </a:defRPr>
            </a:pPr>
            <a:endParaRPr lang="zh-CN"/>
          </a:p>
        </c:txPr>
        <c:crossAx val="35321344"/>
        <c:crosses val="autoZero"/>
        <c:crossBetween val="midCat"/>
      </c:valAx>
      <c:spPr>
        <a:noFill/>
        <a:ln>
          <a:noFill/>
        </a:ln>
        <a:effectLst/>
      </c:spPr>
    </c:plotArea>
    <c:legend>
      <c:legendPos val="b"/>
      <c:layout>
        <c:manualLayout>
          <c:xMode val="edge"/>
          <c:yMode val="edge"/>
          <c:x val="0.70033214417517498"/>
          <c:y val="0.89143518518518505"/>
          <c:w val="0.29597736498954402"/>
          <c:h val="7.7314814814814795E-2"/>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showDLblsOverMax val="0"/>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en-US" altLang="zh-CN" sz="1800"/>
              <a:t>P</a:t>
            </a:r>
            <a:r>
              <a:rPr lang="en-US" sz="1800"/>
              <a:t>roportion</a:t>
            </a:r>
          </a:p>
        </c:rich>
      </c:tx>
      <c:layout>
        <c:manualLayout>
          <c:xMode val="edge"/>
          <c:yMode val="edge"/>
          <c:x val="8.4721829991527796E-3"/>
          <c:y val="5.2083333333333301E-2"/>
        </c:manualLayout>
      </c:layout>
      <c:overlay val="0"/>
      <c:spPr>
        <a:noFill/>
        <a:ln>
          <a:noFill/>
        </a:ln>
        <a:effectLst/>
      </c:spPr>
    </c:title>
    <c:autoTitleDeleted val="0"/>
    <c:plotArea>
      <c:layout>
        <c:manualLayout>
          <c:layoutTarget val="inner"/>
          <c:xMode val="edge"/>
          <c:yMode val="edge"/>
          <c:x val="6.2129341993787099E-2"/>
          <c:y val="0.37878787878787901"/>
          <c:w val="0.875741316012426"/>
          <c:h val="0.46601010101010099"/>
        </c:manualLayout>
      </c:layout>
      <c:barChart>
        <c:barDir val="col"/>
        <c:grouping val="percentStacked"/>
        <c:varyColors val="0"/>
        <c:ser>
          <c:idx val="0"/>
          <c:order val="0"/>
          <c:tx>
            <c:strRef>
              <c:f>Sheet1!$C$8</c:f>
              <c:strCache>
                <c:ptCount val="1"/>
                <c:pt idx="0">
                  <c:v>完成</c:v>
                </c:pt>
              </c:strCache>
            </c:strRef>
          </c:tx>
          <c:spPr>
            <a:solidFill>
              <a:srgbClr val="53ACF2"/>
            </a:solidFill>
            <a:ln>
              <a:noFill/>
            </a:ln>
            <a:effectLst/>
          </c:spPr>
          <c:invertIfNegative val="0"/>
          <c:cat>
            <c:strRef>
              <c:f>Sheet1!$D$6:$H$6</c:f>
              <c:strCache>
                <c:ptCount val="5"/>
                <c:pt idx="0">
                  <c:v>项1</c:v>
                </c:pt>
                <c:pt idx="1">
                  <c:v>项2</c:v>
                </c:pt>
                <c:pt idx="2">
                  <c:v>项3</c:v>
                </c:pt>
                <c:pt idx="3">
                  <c:v>项4</c:v>
                </c:pt>
                <c:pt idx="4">
                  <c:v>项5</c:v>
                </c:pt>
              </c:strCache>
            </c:strRef>
          </c:cat>
          <c:val>
            <c:numRef>
              <c:f>Sheet1!$D$8:$H$8</c:f>
              <c:numCache>
                <c:formatCode>General</c:formatCode>
                <c:ptCount val="5"/>
                <c:pt idx="0">
                  <c:v>120</c:v>
                </c:pt>
                <c:pt idx="1">
                  <c:v>90</c:v>
                </c:pt>
                <c:pt idx="2">
                  <c:v>375</c:v>
                </c:pt>
                <c:pt idx="3">
                  <c:v>110</c:v>
                </c:pt>
                <c:pt idx="4">
                  <c:v>320</c:v>
                </c:pt>
              </c:numCache>
            </c:numRef>
          </c:val>
          <c:extLst xmlns:c16r2="http://schemas.microsoft.com/office/drawing/2015/06/chart">
            <c:ext xmlns:c16="http://schemas.microsoft.com/office/drawing/2014/chart" uri="{C3380CC4-5D6E-409C-BE32-E72D297353CC}">
              <c16:uniqueId val="{00000000-50A5-4996-8CB7-6094ACC91B1F}"/>
            </c:ext>
          </c:extLst>
        </c:ser>
        <c:ser>
          <c:idx val="1"/>
          <c:order val="1"/>
          <c:tx>
            <c:v>未完成</c:v>
          </c:tx>
          <c:spPr>
            <a:solidFill>
              <a:schemeClr val="bg1">
                <a:lumMod val="95000"/>
              </a:schemeClr>
            </a:solidFill>
            <a:ln>
              <a:noFill/>
            </a:ln>
            <a:effectLst/>
          </c:spPr>
          <c:invertIfNegative val="0"/>
          <c:cat>
            <c:strRef>
              <c:f>Sheet1!$D$6:$H$6</c:f>
              <c:strCache>
                <c:ptCount val="5"/>
                <c:pt idx="0">
                  <c:v>项1</c:v>
                </c:pt>
                <c:pt idx="1">
                  <c:v>项2</c:v>
                </c:pt>
                <c:pt idx="2">
                  <c:v>项3</c:v>
                </c:pt>
                <c:pt idx="3">
                  <c:v>项4</c:v>
                </c:pt>
                <c:pt idx="4">
                  <c:v>项5</c:v>
                </c:pt>
              </c:strCache>
            </c:strRef>
          </c:cat>
          <c:val>
            <c:numRef>
              <c:f>Sheet1!$D$9:$H$9</c:f>
              <c:numCache>
                <c:formatCode>General</c:formatCode>
                <c:ptCount val="5"/>
                <c:pt idx="0">
                  <c:v>100</c:v>
                </c:pt>
                <c:pt idx="1">
                  <c:v>210</c:v>
                </c:pt>
                <c:pt idx="2">
                  <c:v>75</c:v>
                </c:pt>
                <c:pt idx="3">
                  <c:v>110</c:v>
                </c:pt>
                <c:pt idx="4">
                  <c:v>30</c:v>
                </c:pt>
              </c:numCache>
            </c:numRef>
          </c:val>
          <c:extLst xmlns:c16r2="http://schemas.microsoft.com/office/drawing/2015/06/chart">
            <c:ext xmlns:c16="http://schemas.microsoft.com/office/drawing/2014/chart" uri="{C3380CC4-5D6E-409C-BE32-E72D297353CC}">
              <c16:uniqueId val="{00000001-50A5-4996-8CB7-6094ACC91B1F}"/>
            </c:ext>
          </c:extLst>
        </c:ser>
        <c:dLbls>
          <c:showLegendKey val="0"/>
          <c:showVal val="0"/>
          <c:showCatName val="0"/>
          <c:showSerName val="0"/>
          <c:showPercent val="0"/>
          <c:showBubbleSize val="0"/>
        </c:dLbls>
        <c:gapWidth val="150"/>
        <c:overlap val="100"/>
        <c:axId val="132621440"/>
        <c:axId val="132622976"/>
      </c:barChart>
      <c:catAx>
        <c:axId val="1326214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bg1">
                    <a:lumMod val="65000"/>
                  </a:schemeClr>
                </a:solidFill>
                <a:latin typeface="+mn-lt"/>
                <a:ea typeface="+mn-ea"/>
                <a:cs typeface="+mn-cs"/>
              </a:defRPr>
            </a:pPr>
            <a:endParaRPr lang="zh-CN"/>
          </a:p>
        </c:txPr>
        <c:crossAx val="132622976"/>
        <c:crosses val="autoZero"/>
        <c:auto val="1"/>
        <c:lblAlgn val="ctr"/>
        <c:lblOffset val="100"/>
        <c:noMultiLvlLbl val="0"/>
      </c:catAx>
      <c:valAx>
        <c:axId val="132622976"/>
        <c:scaling>
          <c:orientation val="minMax"/>
        </c:scaling>
        <c:delete val="1"/>
        <c:axPos val="l"/>
        <c:numFmt formatCode="0%" sourceLinked="1"/>
        <c:majorTickMark val="none"/>
        <c:minorTickMark val="none"/>
        <c:tickLblPos val="nextTo"/>
        <c:crossAx val="1326214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763293310463107E-3"/>
          <c:y val="7.2180160452821093E-2"/>
          <c:w val="0.90676280457483804"/>
          <c:h val="0.85563967909435801"/>
        </c:manualLayout>
      </c:layout>
      <c:pieChart>
        <c:varyColors val="1"/>
        <c:ser>
          <c:idx val="0"/>
          <c:order val="0"/>
          <c:spPr>
            <a:solidFill>
              <a:srgbClr val="53ACF2"/>
            </a:solidFill>
          </c:spPr>
          <c:explosion val="3"/>
          <c:dPt>
            <c:idx val="0"/>
            <c:bubble3D val="0"/>
            <c:spPr>
              <a:solidFill>
                <a:srgbClr val="53ACF2"/>
              </a:solidFill>
              <a:ln w="19050">
                <a:noFill/>
              </a:ln>
              <a:effectLst/>
            </c:spPr>
            <c:extLst xmlns:c16r2="http://schemas.microsoft.com/office/drawing/2015/06/chart">
              <c:ext xmlns:c16="http://schemas.microsoft.com/office/drawing/2014/chart" uri="{C3380CC4-5D6E-409C-BE32-E72D297353CC}">
                <c16:uniqueId val="{00000001-EA78-4D82-83AB-5EF6422F4A7A}"/>
              </c:ext>
            </c:extLst>
          </c:dPt>
          <c:dPt>
            <c:idx val="1"/>
            <c:bubble3D val="0"/>
            <c:spPr>
              <a:solidFill>
                <a:schemeClr val="bg1">
                  <a:lumMod val="95000"/>
                </a:schemeClr>
              </a:solidFill>
              <a:ln w="19050">
                <a:noFill/>
              </a:ln>
              <a:effectLst/>
            </c:spPr>
            <c:extLst xmlns:c16r2="http://schemas.microsoft.com/office/drawing/2015/06/chart">
              <c:ext xmlns:c16="http://schemas.microsoft.com/office/drawing/2014/chart" uri="{C3380CC4-5D6E-409C-BE32-E72D297353CC}">
                <c16:uniqueId val="{00000003-EA78-4D82-83AB-5EF6422F4A7A}"/>
              </c:ext>
            </c:extLst>
          </c:dPt>
          <c:dLbls>
            <c:dLbl>
              <c:idx val="0"/>
              <c:layout>
                <c:manualLayout>
                  <c:x val="-0.265975648607993"/>
                  <c:y val="-0.22002549477786101"/>
                </c:manualLayout>
              </c:layout>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32968672302337099"/>
                      <c:h val="0.146329240791782"/>
                    </c:manualLayout>
                  </c15:layout>
                </c:ext>
                <c:ext xmlns:c16="http://schemas.microsoft.com/office/drawing/2014/chart" uri="{C3380CC4-5D6E-409C-BE32-E72D297353CC}">
                  <c16:uniqueId val="{00000001-EA78-4D82-83AB-5EF6422F4A7A}"/>
                </c:ext>
              </c:extLst>
            </c:dLbl>
            <c:dLbl>
              <c:idx val="1"/>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EA78-4D82-83AB-5EF6422F4A7A}"/>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val>
            <c:numRef>
              <c:f>Sheet1!$I$5:$I$6</c:f>
              <c:numCache>
                <c:formatCode>0.00%</c:formatCode>
                <c:ptCount val="2"/>
                <c:pt idx="0">
                  <c:v>0.65909090909090906</c:v>
                </c:pt>
                <c:pt idx="1">
                  <c:v>0.34090909090909094</c:v>
                </c:pt>
              </c:numCache>
            </c:numRef>
          </c:val>
          <c:extLst xmlns:c16r2="http://schemas.microsoft.com/office/drawing/2015/06/chart">
            <c:ext xmlns:c16="http://schemas.microsoft.com/office/drawing/2014/chart" uri="{C3380CC4-5D6E-409C-BE32-E72D297353CC}">
              <c16:uniqueId val="{00000004-EA78-4D82-83AB-5EF6422F4A7A}"/>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a:solidFill>
                  <a:schemeClr val="tx1">
                    <a:lumMod val="65000"/>
                    <a:lumOff val="35000"/>
                  </a:schemeClr>
                </a:solidFill>
                <a:latin typeface="微软雅黑" panose="020B0503020204020204" charset="-122"/>
                <a:ea typeface="微软雅黑" panose="020B0503020204020204" charset="-122"/>
              </a:rPr>
              <a:t>实际完成数</a:t>
            </a:r>
          </a:p>
        </c:rich>
      </c:tx>
      <c:layout>
        <c:manualLayout>
          <c:xMode val="edge"/>
          <c:yMode val="edge"/>
          <c:x val="2.3974501108647499E-2"/>
          <c:y val="7.0976809557273396E-2"/>
        </c:manualLayout>
      </c:layout>
      <c:overlay val="0"/>
      <c:spPr>
        <a:noFill/>
        <a:ln>
          <a:noFill/>
        </a:ln>
        <a:effectLst/>
      </c:spPr>
    </c:title>
    <c:autoTitleDeleted val="0"/>
    <c:plotArea>
      <c:layout>
        <c:manualLayout>
          <c:layoutTarget val="inner"/>
          <c:xMode val="edge"/>
          <c:yMode val="edge"/>
          <c:x val="3.0487804878048801E-2"/>
          <c:y val="0.314359334738815"/>
          <c:w val="0.93902439024390205"/>
          <c:h val="0.58046380885453297"/>
        </c:manualLayout>
      </c:layout>
      <c:scatterChart>
        <c:scatterStyle val="lineMarker"/>
        <c:varyColors val="0"/>
        <c:ser>
          <c:idx val="0"/>
          <c:order val="0"/>
          <c:tx>
            <c:strRef>
              <c:f>Sheet1!$C$8</c:f>
              <c:strCache>
                <c:ptCount val="1"/>
                <c:pt idx="0">
                  <c:v>完成</c:v>
                </c:pt>
              </c:strCache>
            </c:strRef>
          </c:tx>
          <c:spPr>
            <a:ln w="19050" cap="rnd">
              <a:noFill/>
              <a:round/>
            </a:ln>
            <a:effectLst/>
          </c:spPr>
          <c:marker>
            <c:symbol val="circle"/>
            <c:size val="30"/>
            <c:spPr>
              <a:solidFill>
                <a:srgbClr val="53ACF2"/>
              </a:solidFill>
              <a:ln w="9525">
                <a:noFill/>
              </a:ln>
              <a:effectLst/>
            </c:spPr>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bg1"/>
                    </a:solidFill>
                    <a:latin typeface="+mn-lt"/>
                    <a:ea typeface="+mn-ea"/>
                    <a:cs typeface="+mn-cs"/>
                  </a:defRPr>
                </a:pPr>
                <a:endParaRPr lang="zh-CN"/>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percentage"/>
            <c:noEndCap val="1"/>
            <c:val val="100"/>
            <c:spPr>
              <a:noFill/>
              <a:ln w="9525" cap="flat" cmpd="sng" algn="ctr">
                <a:solidFill>
                  <a:schemeClr val="bg1">
                    <a:lumMod val="65000"/>
                  </a:schemeClr>
                </a:solidFill>
                <a:round/>
              </a:ln>
              <a:effectLst/>
            </c:spPr>
          </c:errBars>
          <c:xVal>
            <c:strRef>
              <c:f>Sheet1!$D$6:$H$6</c:f>
              <c:strCache>
                <c:ptCount val="5"/>
                <c:pt idx="0">
                  <c:v>项1</c:v>
                </c:pt>
                <c:pt idx="1">
                  <c:v>项2</c:v>
                </c:pt>
                <c:pt idx="2">
                  <c:v>项3</c:v>
                </c:pt>
                <c:pt idx="3">
                  <c:v>项4</c:v>
                </c:pt>
                <c:pt idx="4">
                  <c:v>项5</c:v>
                </c:pt>
              </c:strCache>
            </c:strRef>
          </c:xVal>
          <c:yVal>
            <c:numRef>
              <c:f>Sheet1!$D$8:$H$8</c:f>
              <c:numCache>
                <c:formatCode>General</c:formatCode>
                <c:ptCount val="5"/>
                <c:pt idx="0">
                  <c:v>120</c:v>
                </c:pt>
                <c:pt idx="1">
                  <c:v>90</c:v>
                </c:pt>
                <c:pt idx="2">
                  <c:v>375</c:v>
                </c:pt>
                <c:pt idx="3">
                  <c:v>110</c:v>
                </c:pt>
                <c:pt idx="4">
                  <c:v>320</c:v>
                </c:pt>
              </c:numCache>
            </c:numRef>
          </c:yVal>
          <c:smooth val="0"/>
          <c:extLst xmlns:c16r2="http://schemas.microsoft.com/office/drawing/2015/06/chart">
            <c:ext xmlns:c16="http://schemas.microsoft.com/office/drawing/2014/chart" uri="{C3380CC4-5D6E-409C-BE32-E72D297353CC}">
              <c16:uniqueId val="{00000000-39A7-4FDB-9AE8-F55D7B171F25}"/>
            </c:ext>
          </c:extLst>
        </c:ser>
        <c:dLbls>
          <c:showLegendKey val="0"/>
          <c:showVal val="1"/>
          <c:showCatName val="0"/>
          <c:showSerName val="0"/>
          <c:showPercent val="0"/>
          <c:showBubbleSize val="0"/>
        </c:dLbls>
        <c:axId val="133821568"/>
        <c:axId val="133823104"/>
      </c:scatterChart>
      <c:valAx>
        <c:axId val="133821568"/>
        <c:scaling>
          <c:orientation val="minMax"/>
        </c:scaling>
        <c:delete val="0"/>
        <c:axPos val="b"/>
        <c:majorTickMark val="in"/>
        <c:minorTickMark val="none"/>
        <c:tickLblPos val="nextTo"/>
        <c:spPr>
          <a:noFill/>
          <a:ln>
            <a:solidFill>
              <a:schemeClr val="bg1">
                <a:lumMod val="75000"/>
              </a:schemeClr>
            </a:solidFill>
          </a:ln>
          <a:effectLst/>
        </c:spPr>
        <c:txPr>
          <a:bodyPr rot="-60000000" spcFirstLastPara="0" vertOverflow="ellipsis" vert="horz" wrap="square" anchor="ctr" anchorCtr="1"/>
          <a:lstStyle/>
          <a:p>
            <a:pPr>
              <a:defRPr lang="zh-CN" sz="900" b="0" i="0" u="none" strike="noStrike" kern="1200" baseline="0">
                <a:solidFill>
                  <a:schemeClr val="bg1"/>
                </a:solidFill>
                <a:latin typeface="+mn-lt"/>
                <a:ea typeface="+mn-ea"/>
                <a:cs typeface="+mn-cs"/>
              </a:defRPr>
            </a:pPr>
            <a:endParaRPr lang="zh-CN"/>
          </a:p>
        </c:txPr>
        <c:crossAx val="133823104"/>
        <c:crosses val="autoZero"/>
        <c:crossBetween val="midCat"/>
      </c:valAx>
      <c:valAx>
        <c:axId val="133823104"/>
        <c:scaling>
          <c:orientation val="minMax"/>
        </c:scaling>
        <c:delete val="1"/>
        <c:axPos val="l"/>
        <c:majorGridlines>
          <c:spPr>
            <a:ln w="9525" cap="flat" cmpd="sng" algn="ctr">
              <a:solidFill>
                <a:schemeClr val="bg1">
                  <a:lumMod val="95000"/>
                </a:schemeClr>
              </a:solidFill>
              <a:prstDash val="sysDot"/>
              <a:round/>
            </a:ln>
            <a:effectLst/>
          </c:spPr>
        </c:majorGridlines>
        <c:numFmt formatCode="General" sourceLinked="1"/>
        <c:majorTickMark val="none"/>
        <c:minorTickMark val="none"/>
        <c:tickLblPos val="nextTo"/>
        <c:crossAx val="13382156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8433113721"/>
          <c:y val="2.8874734607218702E-2"/>
          <c:w val="0.64050415353766799"/>
          <c:h val="0.94946921443736698"/>
        </c:manualLayout>
      </c:layout>
      <c:doughnutChart>
        <c:varyColors val="1"/>
        <c:ser>
          <c:idx val="0"/>
          <c:order val="0"/>
          <c:spPr>
            <a:solidFill>
              <a:srgbClr val="53ACF2"/>
            </a:solidFill>
            <a:ln w="50800">
              <a:solidFill>
                <a:schemeClr val="bg1"/>
              </a:solidFill>
            </a:ln>
          </c:spPr>
          <c:dPt>
            <c:idx val="0"/>
            <c:bubble3D val="0"/>
            <c:spPr>
              <a:solidFill>
                <a:srgbClr val="53ACF2"/>
              </a:solidFill>
              <a:ln w="50800">
                <a:solidFill>
                  <a:schemeClr val="bg1"/>
                </a:solidFill>
              </a:ln>
              <a:effectLst/>
            </c:spPr>
            <c:extLst xmlns:c16r2="http://schemas.microsoft.com/office/drawing/2015/06/chart">
              <c:ext xmlns:c16="http://schemas.microsoft.com/office/drawing/2014/chart" uri="{C3380CC4-5D6E-409C-BE32-E72D297353CC}">
                <c16:uniqueId val="{00000001-EF8A-4BA8-A0F7-48BE554BF4D7}"/>
              </c:ext>
            </c:extLst>
          </c:dPt>
          <c:dPt>
            <c:idx val="1"/>
            <c:bubble3D val="0"/>
            <c:spPr>
              <a:solidFill>
                <a:schemeClr val="accent6">
                  <a:lumMod val="60000"/>
                  <a:lumOff val="40000"/>
                </a:schemeClr>
              </a:solidFill>
              <a:ln w="50800">
                <a:solidFill>
                  <a:schemeClr val="bg1"/>
                </a:solidFill>
              </a:ln>
              <a:effectLst/>
            </c:spPr>
            <c:extLst xmlns:c16r2="http://schemas.microsoft.com/office/drawing/2015/06/chart">
              <c:ext xmlns:c16="http://schemas.microsoft.com/office/drawing/2014/chart" uri="{C3380CC4-5D6E-409C-BE32-E72D297353CC}">
                <c16:uniqueId val="{00000003-EF8A-4BA8-A0F7-48BE554BF4D7}"/>
              </c:ext>
            </c:extLst>
          </c:dPt>
          <c:val>
            <c:numRef>
              <c:f>Sheet1!$I$5:$I$6</c:f>
              <c:numCache>
                <c:formatCode>0.00%</c:formatCode>
                <c:ptCount val="2"/>
                <c:pt idx="0">
                  <c:v>0.65909090909090906</c:v>
                </c:pt>
                <c:pt idx="1">
                  <c:v>0.34090909090909094</c:v>
                </c:pt>
              </c:numCache>
            </c:numRef>
          </c:val>
          <c:extLst xmlns:c16r2="http://schemas.microsoft.com/office/drawing/2015/06/chart">
            <c:ext xmlns:c16="http://schemas.microsoft.com/office/drawing/2014/chart" uri="{C3380CC4-5D6E-409C-BE32-E72D297353CC}">
              <c16:uniqueId val="{00000004-EF8A-4BA8-A0F7-48BE554BF4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1.png"/><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15875</xdr:colOff>
      <xdr:row>9</xdr:row>
      <xdr:rowOff>136525</xdr:rowOff>
    </xdr:from>
    <xdr:to>
      <xdr:col>8</xdr:col>
      <xdr:colOff>1062990</xdr:colOff>
      <xdr:row>22</xdr:row>
      <xdr:rowOff>155575</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184150</xdr:colOff>
      <xdr:row>23</xdr:row>
      <xdr:rowOff>12065</xdr:rowOff>
    </xdr:from>
    <xdr:to>
      <xdr:col>8</xdr:col>
      <xdr:colOff>1061720</xdr:colOff>
      <xdr:row>34</xdr:row>
      <xdr:rowOff>53975</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298450</xdr:colOff>
      <xdr:row>24</xdr:row>
      <xdr:rowOff>12700</xdr:rowOff>
    </xdr:from>
    <xdr:to>
      <xdr:col>8</xdr:col>
      <xdr:colOff>975360</xdr:colOff>
      <xdr:row>25</xdr:row>
      <xdr:rowOff>12700</xdr:rowOff>
    </xdr:to>
    <xdr:sp macro="" textlink="">
      <xdr:nvSpPr>
        <xdr:cNvPr id="4" name="圆角矩形 3"/>
        <xdr:cNvSpPr/>
      </xdr:nvSpPr>
      <xdr:spPr>
        <a:xfrm>
          <a:off x="6508750" y="5041900"/>
          <a:ext cx="676910" cy="20955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0"/>
        <a:lstStyle/>
        <a:p>
          <a:pPr algn="ctr"/>
          <a:r>
            <a:rPr lang="zh-CN" altLang="en-US" sz="1100">
              <a:solidFill>
                <a:schemeClr val="bg1">
                  <a:lumMod val="65000"/>
                </a:schemeClr>
              </a:solidFill>
              <a:latin typeface="微软雅黑" panose="020B0503020204020204" charset="-122"/>
              <a:ea typeface="微软雅黑" panose="020B0503020204020204" charset="-122"/>
            </a:rPr>
            <a:t>未完部分</a:t>
          </a:r>
        </a:p>
      </xdr:txBody>
    </xdr:sp>
    <xdr:clientData/>
  </xdr:twoCellAnchor>
  <xdr:twoCellAnchor editAs="oneCell">
    <xdr:from>
      <xdr:col>6</xdr:col>
      <xdr:colOff>193675</xdr:colOff>
      <xdr:row>24</xdr:row>
      <xdr:rowOff>155575</xdr:rowOff>
    </xdr:from>
    <xdr:to>
      <xdr:col>7</xdr:col>
      <xdr:colOff>517525</xdr:colOff>
      <xdr:row>27</xdr:row>
      <xdr:rowOff>3175</xdr:rowOff>
    </xdr:to>
    <xdr:sp macro="" textlink="">
      <xdr:nvSpPr>
        <xdr:cNvPr id="5" name="文本框 4"/>
        <xdr:cNvSpPr txBox="1"/>
      </xdr:nvSpPr>
      <xdr:spPr>
        <a:xfrm>
          <a:off x="5032375" y="5184775"/>
          <a:ext cx="1009650" cy="4762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ltLang="zh-CN" sz="1100">
              <a:solidFill>
                <a:schemeClr val="bg1">
                  <a:lumMod val="65000"/>
                </a:schemeClr>
              </a:solidFill>
            </a:rPr>
            <a:t>Input your</a:t>
          </a:r>
        </a:p>
        <a:p>
          <a:pPr algn="l"/>
          <a:r>
            <a:rPr lang="en-US" altLang="zh-CN" sz="1100">
              <a:solidFill>
                <a:schemeClr val="bg1">
                  <a:lumMod val="65000"/>
                </a:schemeClr>
              </a:solidFill>
            </a:rPr>
            <a:t>txet</a:t>
          </a:r>
        </a:p>
      </xdr:txBody>
    </xdr:sp>
    <xdr:clientData/>
  </xdr:twoCellAnchor>
  <xdr:twoCellAnchor editAs="oneCell">
    <xdr:from>
      <xdr:col>12</xdr:col>
      <xdr:colOff>295275</xdr:colOff>
      <xdr:row>3</xdr:row>
      <xdr:rowOff>57150</xdr:rowOff>
    </xdr:from>
    <xdr:to>
      <xdr:col>12</xdr:col>
      <xdr:colOff>638175</xdr:colOff>
      <xdr:row>4</xdr:row>
      <xdr:rowOff>190500</xdr:rowOff>
    </xdr:to>
    <xdr:pic>
      <xdr:nvPicPr>
        <xdr:cNvPr id="6" name="图片 5" descr="更新"/>
        <xdr:cNvPicPr>
          <a:picLocks noChangeAspect="1"/>
        </xdr:cNvPicPr>
      </xdr:nvPicPr>
      <xdr:blipFill>
        <a:blip xmlns:r="http://schemas.openxmlformats.org/officeDocument/2006/relationships" r:embed="rId3"/>
        <a:stretch>
          <a:fillRect/>
        </a:stretch>
      </xdr:blipFill>
      <xdr:spPr>
        <a:xfrm>
          <a:off x="9134475" y="685800"/>
          <a:ext cx="342900" cy="342900"/>
        </a:xfrm>
        <a:prstGeom prst="rect">
          <a:avLst/>
        </a:prstGeom>
      </xdr:spPr>
    </xdr:pic>
    <xdr:clientData/>
  </xdr:twoCellAnchor>
  <xdr:twoCellAnchor>
    <xdr:from>
      <xdr:col>10</xdr:col>
      <xdr:colOff>34925</xdr:colOff>
      <xdr:row>13</xdr:row>
      <xdr:rowOff>47625</xdr:rowOff>
    </xdr:from>
    <xdr:to>
      <xdr:col>13</xdr:col>
      <xdr:colOff>8255</xdr:colOff>
      <xdr:row>20</xdr:row>
      <xdr:rowOff>31115</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26035</xdr:colOff>
      <xdr:row>23</xdr:row>
      <xdr:rowOff>10160</xdr:rowOff>
    </xdr:from>
    <xdr:to>
      <xdr:col>5</xdr:col>
      <xdr:colOff>676910</xdr:colOff>
      <xdr:row>34</xdr:row>
      <xdr:rowOff>71120</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505460</xdr:colOff>
      <xdr:row>24</xdr:row>
      <xdr:rowOff>12065</xdr:rowOff>
    </xdr:from>
    <xdr:to>
      <xdr:col>5</xdr:col>
      <xdr:colOff>496570</xdr:colOff>
      <xdr:row>25</xdr:row>
      <xdr:rowOff>12065</xdr:rowOff>
    </xdr:to>
    <xdr:sp macro="" textlink="">
      <xdr:nvSpPr>
        <xdr:cNvPr id="10" name="圆角矩形 9"/>
        <xdr:cNvSpPr/>
      </xdr:nvSpPr>
      <xdr:spPr>
        <a:xfrm>
          <a:off x="3972560" y="5041265"/>
          <a:ext cx="676910" cy="20955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solidFill>
                <a:schemeClr val="bg1">
                  <a:lumMod val="65000"/>
                </a:schemeClr>
              </a:solidFill>
              <a:latin typeface="微软雅黑" panose="020B0503020204020204" charset="-122"/>
              <a:ea typeface="微软雅黑" panose="020B0503020204020204" charset="-122"/>
            </a:rPr>
            <a:t>气球图</a:t>
          </a:r>
        </a:p>
      </xdr:txBody>
    </xdr:sp>
    <xdr:clientData/>
  </xdr:twoCellAnchor>
  <xdr:twoCellAnchor>
    <xdr:from>
      <xdr:col>10</xdr:col>
      <xdr:colOff>5715</xdr:colOff>
      <xdr:row>22</xdr:row>
      <xdr:rowOff>31115</xdr:rowOff>
    </xdr:from>
    <xdr:to>
      <xdr:col>13</xdr:col>
      <xdr:colOff>12065</xdr:colOff>
      <xdr:row>29</xdr:row>
      <xdr:rowOff>96520</xdr:rowOff>
    </xdr:to>
    <xdr:graphicFrame macro="">
      <xdr:nvGraphicFramePr>
        <xdr:cNvPr id="11" name="图表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513080</xdr:colOff>
      <xdr:row>4</xdr:row>
      <xdr:rowOff>20320</xdr:rowOff>
    </xdr:from>
    <xdr:to>
      <xdr:col>0</xdr:col>
      <xdr:colOff>914400</xdr:colOff>
      <xdr:row>6</xdr:row>
      <xdr:rowOff>17780</xdr:rowOff>
    </xdr:to>
    <xdr:pic>
      <xdr:nvPicPr>
        <xdr:cNvPr id="12" name="图片 11" descr="柱状图"/>
        <xdr:cNvPicPr>
          <a:picLocks noChangeAspect="1"/>
        </xdr:cNvPicPr>
      </xdr:nvPicPr>
      <xdr:blipFill>
        <a:blip xmlns:r="http://schemas.openxmlformats.org/officeDocument/2006/relationships" r:embed="rId7"/>
        <a:stretch>
          <a:fillRect/>
        </a:stretch>
      </xdr:blipFill>
      <xdr:spPr>
        <a:xfrm>
          <a:off x="513080" y="858520"/>
          <a:ext cx="401320" cy="416560"/>
        </a:xfrm>
        <a:prstGeom prst="rect">
          <a:avLst/>
        </a:prstGeom>
      </xdr:spPr>
    </xdr:pic>
    <xdr:clientData/>
  </xdr:twoCellAnchor>
  <xdr:twoCellAnchor editAs="oneCell">
    <xdr:from>
      <xdr:col>8</xdr:col>
      <xdr:colOff>379730</xdr:colOff>
      <xdr:row>2</xdr:row>
      <xdr:rowOff>154940</xdr:rowOff>
    </xdr:from>
    <xdr:to>
      <xdr:col>8</xdr:col>
      <xdr:colOff>780415</xdr:colOff>
      <xdr:row>4</xdr:row>
      <xdr:rowOff>151765</xdr:rowOff>
    </xdr:to>
    <xdr:pic>
      <xdr:nvPicPr>
        <xdr:cNvPr id="13" name="图片 12" descr="列表"/>
        <xdr:cNvPicPr>
          <a:picLocks noChangeAspect="1"/>
        </xdr:cNvPicPr>
      </xdr:nvPicPr>
      <xdr:blipFill>
        <a:blip xmlns:r="http://schemas.openxmlformats.org/officeDocument/2006/relationships" r:embed="rId8"/>
        <a:stretch>
          <a:fillRect/>
        </a:stretch>
      </xdr:blipFill>
      <xdr:spPr>
        <a:xfrm>
          <a:off x="6590030" y="574040"/>
          <a:ext cx="400685" cy="415925"/>
        </a:xfrm>
        <a:prstGeom prst="rect">
          <a:avLst/>
        </a:prstGeom>
      </xdr:spPr>
    </xdr:pic>
    <xdr:clientData/>
  </xdr:twoCellAnchor>
  <xdr:twoCellAnchor>
    <xdr:from>
      <xdr:col>0</xdr:col>
      <xdr:colOff>200025</xdr:colOff>
      <xdr:row>12</xdr:row>
      <xdr:rowOff>127000</xdr:rowOff>
    </xdr:from>
    <xdr:to>
      <xdr:col>0</xdr:col>
      <xdr:colOff>1297305</xdr:colOff>
      <xdr:row>35</xdr:row>
      <xdr:rowOff>25400</xdr:rowOff>
    </xdr:to>
    <xdr:sp macro="" textlink="">
      <xdr:nvSpPr>
        <xdr:cNvPr id="14" name="文本框 13"/>
        <xdr:cNvSpPr txBox="1"/>
      </xdr:nvSpPr>
      <xdr:spPr>
        <a:xfrm>
          <a:off x="200025" y="2641600"/>
          <a:ext cx="1097280" cy="47180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altLang="zh-CN" sz="1100">
              <a:solidFill>
                <a:schemeClr val="bg1">
                  <a:lumMod val="75000"/>
                </a:schemeClr>
              </a:solidFill>
            </a:rPr>
            <a:t>    INPUT YOUR TEXT HERE </a:t>
          </a:r>
          <a:r>
            <a:rPr lang="en-US" altLang="zh-CN">
              <a:solidFill>
                <a:schemeClr val="bg1">
                  <a:lumMod val="75000"/>
                </a:schemeClr>
              </a:solidFill>
              <a:sym typeface="+mn-ea"/>
            </a:rPr>
            <a:t>INPUT YOUR TEXT HERE INPUT YOUR TEXT HERE INPUT YOUR TEXT HERE INPUT YOUR TEXT HERE INPUT YOUR TEXT HERE INPUT YOUR TEXT HERE INPUT YOUR TEXT HERE INPUT YOUR TEXT HERE INPUT YOUR TEXT HERE INPUT YOUR TEXT HERE INPUT YOUR TEXT HERE INPUT YOUR TEXT HERE INPUT YOUR TEXT HERE INPUT YOUR TEXT HERE INPUT YOUR TEXT HERE INPUT YOUR TEXT HERE </a:t>
          </a:r>
          <a:endParaRPr lang="en-US" altLang="zh-CN" sz="1100">
            <a:solidFill>
              <a:schemeClr val="bg1">
                <a:lumMod val="75000"/>
              </a:schemeClr>
            </a:solidFill>
            <a:sym typeface="+mn-ea"/>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0.89468</cdr:y>
    </cdr:from>
    <cdr:to>
      <cdr:x>0.30976</cdr:x>
      <cdr:y>0.97454</cdr:y>
    </cdr:to>
    <cdr:sp macro="" textlink="">
      <cdr:nvSpPr>
        <cdr:cNvPr id="2" name="文本框 1"/>
        <cdr:cNvSpPr txBox="1"/>
      </cdr:nvSpPr>
      <cdr:spPr>
        <a:xfrm xmlns:a="http://schemas.openxmlformats.org/drawingml/2006/main">
          <a:off x="0" y="2454275"/>
          <a:ext cx="1598930" cy="219075"/>
        </a:xfrm>
        <a:prstGeom xmlns:a="http://schemas.openxmlformats.org/drawingml/2006/main" prst="rect">
          <a:avLst/>
        </a:prstGeom>
        <a:ln xmlns:a="http://schemas.openxmlformats.org/drawingml/2006/main">
          <a:noFill/>
        </a:ln>
      </cdr:spPr>
      <cdr:txBody>
        <a:bodyPr xmlns:a="http://schemas.openxmlformats.org/drawingml/2006/main" vertOverflow="clip" horzOverflow="clip" wrap="square" rtlCol="0" anchor="ctr" anchorCtr="0"/>
        <a:lstStyle xmlns:a="http://schemas.openxmlformats.org/drawingml/2006/main"/>
        <a:p xmlns:a="http://schemas.openxmlformats.org/drawingml/2006/main">
          <a:pPr algn="ctr"/>
          <a:r>
            <a:rPr lang="en-US" altLang="zh-CN" sz="1200" b="1">
              <a:solidFill>
                <a:schemeClr val="bg1">
                  <a:lumMod val="65000"/>
                </a:schemeClr>
              </a:solidFill>
              <a:latin typeface="微软雅黑" panose="020B0503020204020204" charset="-122"/>
              <a:ea typeface="微软雅黑" panose="020B0503020204020204" charset="-122"/>
            </a:rPr>
            <a:t>T</a:t>
          </a:r>
          <a:r>
            <a:rPr lang="zh-CN" altLang="en-US" sz="1200" b="1">
              <a:solidFill>
                <a:schemeClr val="bg1">
                  <a:lumMod val="65000"/>
                </a:schemeClr>
              </a:solidFill>
              <a:latin typeface="微软雅黑" panose="020B0503020204020204" charset="-122"/>
              <a:ea typeface="微软雅黑" panose="020B0503020204020204" charset="-122"/>
            </a:rPr>
            <a:t>rend up to now</a:t>
          </a:r>
        </a:p>
      </cdr:txBody>
    </cdr:sp>
  </cdr:relSizeAnchor>
</c:userShape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showGridLines="0" showRowColHeaders="0" tabSelected="1" zoomScale="85" zoomScaleNormal="85" workbookViewId="0">
      <selection activeCell="T38" sqref="T38"/>
    </sheetView>
  </sheetViews>
  <sheetFormatPr defaultColWidth="9" defaultRowHeight="16.5" x14ac:dyDescent="0.15"/>
  <cols>
    <col min="1" max="1" width="18.5" style="1" customWidth="1"/>
    <col min="2" max="8" width="9" style="1"/>
    <col min="9" max="9" width="14.125" style="1"/>
    <col min="10" max="10" width="2.375" style="1" customWidth="1"/>
    <col min="11" max="12" width="9" style="1"/>
    <col min="13" max="13" width="11.5" style="1"/>
    <col min="14" max="14" width="6" style="1" customWidth="1"/>
    <col min="15" max="16384" width="9" style="1"/>
  </cols>
  <sheetData>
    <row r="1" spans="1:14" x14ac:dyDescent="0.15">
      <c r="A1" s="2"/>
      <c r="B1" s="3"/>
      <c r="C1" s="3"/>
      <c r="D1" s="3"/>
      <c r="E1" s="3"/>
      <c r="F1" s="3"/>
      <c r="G1" s="3"/>
      <c r="H1" s="3"/>
      <c r="I1" s="3"/>
      <c r="J1" s="3"/>
      <c r="K1" s="3"/>
      <c r="L1" s="3"/>
      <c r="M1" s="3"/>
      <c r="N1" s="3"/>
    </row>
    <row r="2" spans="1:14" x14ac:dyDescent="0.15">
      <c r="A2" s="2"/>
      <c r="B2" s="3"/>
      <c r="C2" s="3"/>
      <c r="D2" s="3"/>
      <c r="E2" s="3"/>
      <c r="F2" s="3"/>
      <c r="G2" s="3"/>
      <c r="H2" s="3"/>
      <c r="I2" s="3"/>
      <c r="J2" s="3"/>
      <c r="K2" s="10" t="s">
        <v>0</v>
      </c>
      <c r="L2" s="3"/>
      <c r="M2" s="11" t="s">
        <v>1</v>
      </c>
      <c r="N2" s="3"/>
    </row>
    <row r="3" spans="1:14" x14ac:dyDescent="0.15">
      <c r="A3" s="2"/>
      <c r="B3" s="3"/>
      <c r="C3" s="21" t="s">
        <v>2</v>
      </c>
      <c r="D3" s="21"/>
      <c r="E3" s="21"/>
      <c r="F3" s="21"/>
      <c r="G3" s="2"/>
      <c r="H3" s="2"/>
      <c r="I3" s="9">
        <f>SUM(D7:H7)</f>
        <v>1540</v>
      </c>
      <c r="J3" s="3"/>
      <c r="K3" s="23" t="s">
        <v>3</v>
      </c>
      <c r="L3" s="23"/>
      <c r="M3" s="23"/>
      <c r="N3" s="3"/>
    </row>
    <row r="4" spans="1:14" x14ac:dyDescent="0.15">
      <c r="A4" s="2"/>
      <c r="B4" s="3"/>
      <c r="C4" s="21"/>
      <c r="D4" s="21"/>
      <c r="E4" s="21"/>
      <c r="F4" s="21"/>
      <c r="G4" s="4"/>
      <c r="H4" s="4"/>
      <c r="I4" s="9">
        <f>SUM(D8:H8)</f>
        <v>1015</v>
      </c>
      <c r="J4" s="3"/>
      <c r="K4" s="23"/>
      <c r="L4" s="23"/>
      <c r="M4" s="23"/>
      <c r="N4" s="3"/>
    </row>
    <row r="5" spans="1:14" x14ac:dyDescent="0.15">
      <c r="A5" s="2"/>
      <c r="B5" s="3"/>
      <c r="C5" s="21"/>
      <c r="D5" s="21"/>
      <c r="E5" s="21"/>
      <c r="F5" s="21"/>
      <c r="G5" s="4"/>
      <c r="H5" s="4"/>
      <c r="I5" s="12">
        <f>I4/I3</f>
        <v>0.65909090909090906</v>
      </c>
      <c r="J5" s="3"/>
      <c r="K5" s="23"/>
      <c r="L5" s="23"/>
      <c r="M5" s="23"/>
      <c r="N5" s="13"/>
    </row>
    <row r="6" spans="1:14" x14ac:dyDescent="0.15">
      <c r="A6" s="2"/>
      <c r="B6" s="3"/>
      <c r="C6" s="4"/>
      <c r="D6" s="5" t="s">
        <v>4</v>
      </c>
      <c r="E6" s="5" t="s">
        <v>5</v>
      </c>
      <c r="F6" s="5" t="s">
        <v>6</v>
      </c>
      <c r="G6" s="5" t="s">
        <v>7</v>
      </c>
      <c r="H6" s="5" t="s">
        <v>8</v>
      </c>
      <c r="I6" s="12">
        <f>1-I5</f>
        <v>0.34090909090909094</v>
      </c>
      <c r="J6" s="3"/>
      <c r="K6" s="23"/>
      <c r="L6" s="23"/>
      <c r="M6" s="23"/>
      <c r="N6" s="3"/>
    </row>
    <row r="7" spans="1:14" x14ac:dyDescent="0.15">
      <c r="A7" s="19" t="s">
        <v>9</v>
      </c>
      <c r="B7" s="3"/>
      <c r="C7" s="6" t="s">
        <v>10</v>
      </c>
      <c r="D7" s="7">
        <v>220</v>
      </c>
      <c r="E7" s="7">
        <v>300</v>
      </c>
      <c r="F7" s="7">
        <v>450</v>
      </c>
      <c r="G7" s="7">
        <v>220</v>
      </c>
      <c r="H7" s="7">
        <v>350</v>
      </c>
      <c r="I7" s="9"/>
      <c r="J7" s="3"/>
      <c r="K7" s="3"/>
      <c r="L7" s="3"/>
      <c r="M7" s="3"/>
      <c r="N7" s="3"/>
    </row>
    <row r="8" spans="1:14" x14ac:dyDescent="0.15">
      <c r="A8" s="19"/>
      <c r="B8" s="3"/>
      <c r="C8" s="6" t="s">
        <v>11</v>
      </c>
      <c r="D8" s="7">
        <v>120</v>
      </c>
      <c r="E8" s="7">
        <v>90</v>
      </c>
      <c r="F8" s="7">
        <v>375</v>
      </c>
      <c r="G8" s="7">
        <v>110</v>
      </c>
      <c r="H8" s="7">
        <v>320</v>
      </c>
      <c r="I8" s="9"/>
      <c r="J8" s="3"/>
      <c r="K8" s="10" t="s">
        <v>12</v>
      </c>
      <c r="L8" s="3"/>
      <c r="M8" s="11" t="s">
        <v>1</v>
      </c>
      <c r="N8" s="3"/>
    </row>
    <row r="9" spans="1:14" x14ac:dyDescent="0.15">
      <c r="A9" s="8" t="s">
        <v>13</v>
      </c>
      <c r="B9" s="3"/>
      <c r="C9" s="4"/>
      <c r="D9" s="9">
        <f>D7-D8</f>
        <v>100</v>
      </c>
      <c r="E9" s="9">
        <f>E7-E8</f>
        <v>210</v>
      </c>
      <c r="F9" s="9">
        <f>F7-F8</f>
        <v>75</v>
      </c>
      <c r="G9" s="9">
        <f>G7-G8</f>
        <v>110</v>
      </c>
      <c r="H9" s="9">
        <f>H7-H8</f>
        <v>30</v>
      </c>
      <c r="I9" s="9"/>
      <c r="J9" s="3"/>
      <c r="K9" s="22" t="s">
        <v>14</v>
      </c>
      <c r="L9" s="22"/>
      <c r="M9" s="20">
        <f>I5</f>
        <v>0.65909090909090906</v>
      </c>
      <c r="N9" s="3"/>
    </row>
    <row r="10" spans="1:14" x14ac:dyDescent="0.15">
      <c r="A10" s="2"/>
      <c r="B10" s="3"/>
      <c r="C10" s="3"/>
      <c r="D10" s="3"/>
      <c r="E10" s="3"/>
      <c r="F10" s="3"/>
      <c r="G10" s="3"/>
      <c r="H10" s="3"/>
      <c r="I10" s="3"/>
      <c r="J10" s="3"/>
      <c r="K10" s="22"/>
      <c r="L10" s="22"/>
      <c r="M10" s="20"/>
      <c r="N10" s="3"/>
    </row>
    <row r="11" spans="1:14" x14ac:dyDescent="0.15">
      <c r="A11" s="2"/>
      <c r="B11" s="3"/>
      <c r="C11" s="3"/>
      <c r="D11" s="3"/>
      <c r="E11" s="3"/>
      <c r="F11" s="3"/>
      <c r="G11" s="3"/>
      <c r="H11" s="3"/>
      <c r="I11" s="3"/>
      <c r="J11" s="3"/>
      <c r="K11" s="22"/>
      <c r="L11" s="22"/>
      <c r="M11" s="20"/>
      <c r="N11" s="3"/>
    </row>
    <row r="12" spans="1:14" x14ac:dyDescent="0.15">
      <c r="A12" s="2"/>
      <c r="B12" s="3"/>
      <c r="C12" s="3"/>
      <c r="D12" s="3"/>
      <c r="E12" s="3"/>
      <c r="F12" s="3"/>
      <c r="G12" s="3"/>
      <c r="H12" s="3"/>
      <c r="I12" s="3"/>
      <c r="J12" s="3"/>
      <c r="K12" s="3"/>
      <c r="L12" s="3"/>
      <c r="M12" s="3"/>
      <c r="N12" s="3"/>
    </row>
    <row r="13" spans="1:14" x14ac:dyDescent="0.15">
      <c r="A13" s="2"/>
      <c r="B13" s="3"/>
      <c r="C13" s="3"/>
      <c r="D13" s="3"/>
      <c r="E13" s="3"/>
      <c r="F13" s="3"/>
      <c r="G13" s="3"/>
      <c r="H13" s="3"/>
      <c r="I13" s="3"/>
      <c r="J13" s="3"/>
      <c r="K13" s="10" t="s">
        <v>15</v>
      </c>
      <c r="L13" s="3"/>
      <c r="M13" s="11" t="s">
        <v>1</v>
      </c>
      <c r="N13" s="3"/>
    </row>
    <row r="14" spans="1:14" x14ac:dyDescent="0.15">
      <c r="A14" s="2"/>
      <c r="B14" s="3"/>
      <c r="C14" s="3"/>
      <c r="D14" s="3"/>
      <c r="E14" s="3"/>
      <c r="F14" s="3"/>
      <c r="G14" s="3"/>
      <c r="H14" s="3"/>
      <c r="I14" s="3"/>
      <c r="J14" s="3"/>
      <c r="K14" s="3"/>
      <c r="L14" s="3"/>
      <c r="M14" s="3"/>
      <c r="N14" s="3"/>
    </row>
    <row r="15" spans="1:14" x14ac:dyDescent="0.15">
      <c r="A15" s="2"/>
      <c r="B15" s="3"/>
      <c r="C15" s="3"/>
      <c r="D15" s="3"/>
      <c r="E15" s="3"/>
      <c r="F15" s="3"/>
      <c r="G15" s="3"/>
      <c r="H15" s="3"/>
      <c r="I15" s="3"/>
      <c r="J15" s="3"/>
      <c r="K15" s="3"/>
      <c r="L15" s="3"/>
      <c r="M15" s="3"/>
      <c r="N15" s="3"/>
    </row>
    <row r="16" spans="1:14" x14ac:dyDescent="0.15">
      <c r="A16" s="2"/>
      <c r="B16" s="3"/>
      <c r="C16" s="3"/>
      <c r="D16" s="3"/>
      <c r="E16" s="3"/>
      <c r="F16" s="3"/>
      <c r="G16" s="3"/>
      <c r="H16" s="3"/>
      <c r="I16" s="3"/>
      <c r="J16" s="3"/>
      <c r="K16" s="3"/>
      <c r="L16" s="3"/>
      <c r="M16" s="3"/>
      <c r="N16" s="3"/>
    </row>
    <row r="17" spans="1:14" x14ac:dyDescent="0.15">
      <c r="A17" s="2"/>
      <c r="B17" s="3"/>
      <c r="C17" s="3"/>
      <c r="D17" s="3"/>
      <c r="E17" s="3"/>
      <c r="F17" s="3"/>
      <c r="G17" s="3"/>
      <c r="H17" s="3"/>
      <c r="I17" s="3"/>
      <c r="J17" s="3"/>
      <c r="K17" s="3"/>
      <c r="L17" s="3"/>
      <c r="M17" s="3"/>
      <c r="N17" s="3"/>
    </row>
    <row r="18" spans="1:14" x14ac:dyDescent="0.15">
      <c r="A18" s="2"/>
      <c r="B18" s="3"/>
      <c r="C18" s="3"/>
      <c r="D18" s="3"/>
      <c r="E18" s="3"/>
      <c r="F18" s="3"/>
      <c r="G18" s="3"/>
      <c r="H18" s="3"/>
      <c r="I18" s="3"/>
      <c r="J18" s="3"/>
      <c r="K18" s="3"/>
      <c r="L18" s="3"/>
      <c r="M18" s="3"/>
      <c r="N18" s="3"/>
    </row>
    <row r="19" spans="1:14" x14ac:dyDescent="0.15">
      <c r="A19" s="2"/>
      <c r="B19" s="3"/>
      <c r="C19" s="3"/>
      <c r="D19" s="3"/>
      <c r="E19" s="3"/>
      <c r="F19" s="3"/>
      <c r="G19" s="3"/>
      <c r="H19" s="3"/>
      <c r="I19" s="3"/>
      <c r="J19" s="3"/>
      <c r="K19" s="3"/>
      <c r="L19" s="3"/>
      <c r="M19" s="3"/>
      <c r="N19" s="3"/>
    </row>
    <row r="20" spans="1:14" x14ac:dyDescent="0.15">
      <c r="A20" s="2"/>
      <c r="B20" s="3"/>
      <c r="C20" s="3"/>
      <c r="D20" s="3"/>
      <c r="E20" s="3"/>
      <c r="F20" s="3"/>
      <c r="G20" s="3"/>
      <c r="H20" s="3"/>
      <c r="I20" s="3"/>
      <c r="J20" s="3"/>
      <c r="K20" s="3"/>
      <c r="L20" s="3"/>
      <c r="M20" s="3"/>
      <c r="N20" s="3"/>
    </row>
    <row r="21" spans="1:14" x14ac:dyDescent="0.15">
      <c r="A21" s="2"/>
      <c r="B21" s="3"/>
      <c r="C21" s="3"/>
      <c r="D21" s="3"/>
      <c r="E21" s="3"/>
      <c r="F21" s="3"/>
      <c r="G21" s="3"/>
      <c r="H21" s="3"/>
      <c r="I21" s="3"/>
      <c r="J21" s="3"/>
      <c r="K21" s="3"/>
      <c r="L21" s="3"/>
      <c r="M21" s="3"/>
      <c r="N21" s="3"/>
    </row>
    <row r="22" spans="1:14" x14ac:dyDescent="0.15">
      <c r="A22" s="2"/>
      <c r="B22" s="3"/>
      <c r="C22" s="3"/>
      <c r="D22" s="3"/>
      <c r="E22" s="3"/>
      <c r="F22" s="3"/>
      <c r="G22" s="3"/>
      <c r="H22" s="3"/>
      <c r="I22" s="3"/>
      <c r="J22" s="3"/>
      <c r="K22" s="10" t="s">
        <v>16</v>
      </c>
      <c r="L22" s="3"/>
      <c r="M22" s="11" t="s">
        <v>1</v>
      </c>
      <c r="N22" s="3"/>
    </row>
    <row r="23" spans="1:14" x14ac:dyDescent="0.15">
      <c r="A23" s="2"/>
      <c r="B23" s="3"/>
      <c r="C23" s="3"/>
      <c r="D23" s="3"/>
      <c r="E23" s="3"/>
      <c r="F23" s="3"/>
      <c r="G23" s="3"/>
      <c r="H23" s="3"/>
      <c r="I23" s="3"/>
      <c r="J23" s="3"/>
      <c r="K23" s="3"/>
      <c r="L23" s="3"/>
      <c r="M23" s="3"/>
      <c r="N23" s="3"/>
    </row>
    <row r="24" spans="1:14" x14ac:dyDescent="0.15">
      <c r="A24" s="2"/>
      <c r="B24" s="3"/>
      <c r="C24" s="3"/>
      <c r="D24" s="3"/>
      <c r="E24" s="3"/>
      <c r="F24" s="3"/>
      <c r="G24" s="3"/>
      <c r="H24" s="3"/>
      <c r="I24" s="3"/>
      <c r="J24" s="3"/>
      <c r="K24" s="3"/>
      <c r="L24" s="3"/>
      <c r="M24" s="3"/>
      <c r="N24" s="3"/>
    </row>
    <row r="25" spans="1:14" x14ac:dyDescent="0.15">
      <c r="A25" s="2"/>
      <c r="B25" s="3"/>
      <c r="C25" s="3"/>
      <c r="D25" s="3"/>
      <c r="E25" s="3"/>
      <c r="F25" s="3"/>
      <c r="G25" s="3"/>
      <c r="H25" s="3"/>
      <c r="I25" s="3"/>
      <c r="J25" s="3"/>
      <c r="K25" s="3"/>
      <c r="L25" s="3"/>
      <c r="M25" s="3"/>
      <c r="N25" s="3"/>
    </row>
    <row r="26" spans="1:14" x14ac:dyDescent="0.15">
      <c r="A26" s="2"/>
      <c r="B26" s="3"/>
      <c r="C26" s="3"/>
      <c r="D26" s="3"/>
      <c r="E26" s="3"/>
      <c r="F26" s="3"/>
      <c r="G26" s="3"/>
      <c r="H26" s="3"/>
      <c r="I26" s="3"/>
      <c r="J26" s="3"/>
      <c r="K26" s="3"/>
      <c r="L26" s="3"/>
      <c r="M26" s="3"/>
      <c r="N26" s="3"/>
    </row>
    <row r="27" spans="1:14" x14ac:dyDescent="0.15">
      <c r="A27" s="2"/>
      <c r="B27" s="3"/>
      <c r="C27" s="3"/>
      <c r="D27" s="3"/>
      <c r="E27" s="3"/>
      <c r="F27" s="3"/>
      <c r="G27" s="3"/>
      <c r="H27" s="3"/>
      <c r="I27" s="3"/>
      <c r="J27" s="3"/>
      <c r="K27" s="3"/>
      <c r="L27" s="3"/>
      <c r="M27" s="3"/>
      <c r="N27" s="3"/>
    </row>
    <row r="28" spans="1:14" x14ac:dyDescent="0.15">
      <c r="A28" s="2"/>
      <c r="B28" s="3"/>
      <c r="C28" s="3"/>
      <c r="D28" s="3"/>
      <c r="E28" s="3"/>
      <c r="F28" s="3"/>
      <c r="G28" s="3"/>
      <c r="H28" s="3"/>
      <c r="I28" s="3"/>
      <c r="J28" s="3"/>
      <c r="K28" s="3"/>
      <c r="L28" s="3"/>
      <c r="M28" s="3"/>
      <c r="N28" s="3"/>
    </row>
    <row r="29" spans="1:14" x14ac:dyDescent="0.15">
      <c r="A29" s="2"/>
      <c r="B29" s="3"/>
      <c r="C29" s="3"/>
      <c r="D29" s="3"/>
      <c r="E29" s="3"/>
      <c r="F29" s="3"/>
      <c r="G29" s="3"/>
      <c r="H29" s="3"/>
      <c r="I29" s="3"/>
      <c r="J29" s="3"/>
      <c r="K29" s="3"/>
      <c r="L29" s="3"/>
      <c r="M29" s="3"/>
      <c r="N29" s="3"/>
    </row>
    <row r="30" spans="1:14" x14ac:dyDescent="0.15">
      <c r="A30" s="2"/>
      <c r="B30" s="3"/>
      <c r="C30" s="3"/>
      <c r="D30" s="3"/>
      <c r="E30" s="3"/>
      <c r="F30" s="3"/>
      <c r="G30" s="3"/>
      <c r="H30" s="3"/>
      <c r="I30" s="3"/>
      <c r="J30" s="3"/>
      <c r="K30" s="2"/>
      <c r="L30" s="2"/>
      <c r="M30" s="2"/>
      <c r="N30" s="3"/>
    </row>
    <row r="31" spans="1:14" x14ac:dyDescent="0.15">
      <c r="A31" s="2"/>
      <c r="B31" s="3"/>
      <c r="C31" s="3"/>
      <c r="D31" s="3"/>
      <c r="E31" s="3"/>
      <c r="F31" s="3"/>
      <c r="G31" s="3"/>
      <c r="H31" s="3"/>
      <c r="I31" s="3"/>
      <c r="J31" s="3"/>
      <c r="K31" s="14"/>
      <c r="L31" s="14"/>
      <c r="M31" s="14"/>
      <c r="N31" s="3"/>
    </row>
    <row r="32" spans="1:14" x14ac:dyDescent="0.15">
      <c r="A32" s="2"/>
      <c r="B32" s="3"/>
      <c r="C32" s="3"/>
      <c r="D32" s="3"/>
      <c r="E32" s="3"/>
      <c r="F32" s="3"/>
      <c r="G32" s="3"/>
      <c r="H32" s="3"/>
      <c r="I32" s="3"/>
      <c r="J32" s="3"/>
      <c r="K32" s="15" t="s">
        <v>11</v>
      </c>
      <c r="L32" s="17">
        <f>I5</f>
        <v>0.65909090909090906</v>
      </c>
      <c r="M32" s="17"/>
      <c r="N32" s="3"/>
    </row>
    <row r="33" spans="1:19" x14ac:dyDescent="0.15">
      <c r="A33" s="2"/>
      <c r="B33" s="3"/>
      <c r="C33" s="3"/>
      <c r="D33" s="3"/>
      <c r="E33" s="3"/>
      <c r="F33" s="3"/>
      <c r="G33" s="3"/>
      <c r="H33" s="3"/>
      <c r="I33" s="3"/>
      <c r="J33" s="3"/>
      <c r="K33" s="16" t="s">
        <v>17</v>
      </c>
      <c r="L33" s="18">
        <f>I6</f>
        <v>0.34090909090909094</v>
      </c>
      <c r="M33" s="18"/>
      <c r="N33" s="3"/>
    </row>
    <row r="34" spans="1:19" x14ac:dyDescent="0.15">
      <c r="A34" s="2"/>
      <c r="B34" s="3"/>
      <c r="C34" s="3"/>
      <c r="D34" s="3"/>
      <c r="E34" s="3"/>
      <c r="F34" s="3"/>
      <c r="G34" s="3"/>
      <c r="H34" s="3"/>
      <c r="I34" s="3"/>
      <c r="J34" s="3"/>
      <c r="K34" s="2"/>
      <c r="L34" s="2"/>
      <c r="M34" s="2"/>
      <c r="N34" s="3"/>
    </row>
    <row r="35" spans="1:19" x14ac:dyDescent="0.15">
      <c r="A35" s="2"/>
      <c r="B35" s="3"/>
      <c r="C35" s="3"/>
      <c r="D35" s="3"/>
      <c r="E35" s="3"/>
      <c r="F35" s="3"/>
      <c r="G35" s="3"/>
      <c r="H35" s="3"/>
      <c r="I35" s="3"/>
      <c r="J35" s="3"/>
      <c r="K35" s="3"/>
      <c r="L35" s="3"/>
      <c r="M35" s="3"/>
      <c r="N35" s="3"/>
    </row>
    <row r="36" spans="1:19" x14ac:dyDescent="0.15">
      <c r="A36" s="2"/>
      <c r="B36" s="3"/>
      <c r="C36" s="3"/>
      <c r="D36" s="3"/>
      <c r="E36" s="3"/>
      <c r="F36" s="3"/>
      <c r="G36" s="3"/>
      <c r="H36" s="3"/>
      <c r="I36" s="3"/>
      <c r="J36" s="3"/>
      <c r="K36" s="3"/>
      <c r="L36" s="3"/>
      <c r="M36" s="3"/>
      <c r="N36" s="3"/>
    </row>
    <row r="38" spans="1:19" x14ac:dyDescent="0.15">
      <c r="S38" s="1" t="s">
        <v>18</v>
      </c>
    </row>
  </sheetData>
  <mergeCells count="7">
    <mergeCell ref="L32:M32"/>
    <mergeCell ref="L33:M33"/>
    <mergeCell ref="A7:A8"/>
    <mergeCell ref="M9:M11"/>
    <mergeCell ref="C3:F5"/>
    <mergeCell ref="K9:L11"/>
    <mergeCell ref="K3:M6"/>
  </mergeCells>
  <phoneticPr fontId="14" type="noConversion"/>
  <conditionalFormatting sqref="M9">
    <cfRule type="iconSet" priority="1">
      <iconSet iconSet="5Rating" showValue="0">
        <cfvo type="percent" val="0"/>
        <cfvo type="num" val="0.3"/>
        <cfvo type="num" val="0.6"/>
        <cfvo type="num" val="0.8"/>
        <cfvo type="num" val="1"/>
      </iconSet>
    </cfRule>
  </conditionalFormatting>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14"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14"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tianbugao</dc:creator>
  <cp:lastModifiedBy>Client</cp:lastModifiedBy>
  <dcterms:created xsi:type="dcterms:W3CDTF">2017-05-01T02:04:00Z</dcterms:created>
  <dcterms:modified xsi:type="dcterms:W3CDTF">2019-05-15T10:01:14Z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2052-10.1.0.6393</vt:lpwstr>
  </property>
</Properties>
</file>
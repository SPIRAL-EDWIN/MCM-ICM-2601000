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05" windowHeight="1296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F12" i="1"/>
  <c r="E12" i="1"/>
</calcChain>
</file>

<file path=xl/sharedStrings.xml><?xml version="1.0" encoding="utf-8"?>
<sst xmlns="http://schemas.openxmlformats.org/spreadsheetml/2006/main" count="17" uniqueCount="17">
  <si>
    <t>商品销售毛利一览图</t>
  </si>
  <si>
    <t>商品名称</t>
  </si>
  <si>
    <t>销售数量</t>
  </si>
  <si>
    <t>销售单价</t>
  </si>
  <si>
    <t>成本单价</t>
  </si>
  <si>
    <t>成本总金额</t>
  </si>
  <si>
    <t>毛利</t>
  </si>
  <si>
    <t>苹果</t>
  </si>
  <si>
    <t>雪梨</t>
  </si>
  <si>
    <t>樱桃</t>
  </si>
  <si>
    <t>西瓜</t>
  </si>
  <si>
    <t>橙子</t>
  </si>
  <si>
    <t>香蕉</t>
  </si>
  <si>
    <t>芒果</t>
  </si>
  <si>
    <t>菠萝</t>
  </si>
  <si>
    <t>奇异果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</si>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</sst>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8"/>
      <color rgb="FF3489D2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89D2"/>
        <bgColor indexed="64"/>
      </patternFill>
    </fill>
    <fill>
      <patternFill patternType="solid">
        <fgColor rgb="FFEAF3FA"/>
        <bgColor indexed="64"/>
      </patternFill>
    </fill>
  </fills>
  <borders count="5">
    <border>
      <left/>
      <right/>
      <top/>
      <bottom/>
      <diagonal/>
    </border>
    <border>
      <left style="thin">
        <color rgb="FFBDDAF0"/>
      </left>
      <right style="thin">
        <color rgb="FFBDDAF0"/>
      </right>
      <top style="thin">
        <color rgb="FFBDDAF0"/>
      </top>
      <bottom style="thin">
        <color rgb="FFBDDAF0"/>
      </bottom>
      <diagonal/>
    </border>
    <border>
      <left style="thin">
        <color rgb="FFBDDAF0"/>
      </left>
      <right/>
      <top style="thin">
        <color rgb="FFBDDAF0"/>
      </top>
      <bottom style="thin">
        <color rgb="FFBDDAF0"/>
      </bottom>
      <diagonal/>
    </border>
    <border>
      <left/>
      <right/>
      <top style="thin">
        <color rgb="FFBDDAF0"/>
      </top>
      <bottom style="thin">
        <color rgb="FFBDDAF0"/>
      </bottom>
      <diagonal/>
    </border>
    <border>
      <left/>
      <right style="thin">
        <color rgb="FFBDDAF0"/>
      </right>
      <top style="thin">
        <color rgb="FFBDDAF0"/>
      </top>
      <bottom style="thin">
        <color rgb="FFBDDAF0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1" applyNumberFormat="1" applyFont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3489D2"/>
      <color rgb="FFEAF3FA"/>
      <color rgb="FFBDDAF0"/>
      <color rgb="FFBC48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销售数量一览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销售数量</c:v>
                </c:pt>
              </c:strCache>
            </c:strRef>
          </c:tx>
          <c:spPr>
            <a:solidFill>
              <a:srgbClr val="3489D2"/>
            </a:solidFill>
            <a:ln>
              <a:noFill/>
            </a:ln>
            <a:effectLst/>
          </c:spPr>
          <c:cat>
            <c:strRef>
              <c:f>Sheet1!$A$3:$A$11</c:f>
              <c:strCache>
                <c:ptCount val="9"/>
                <c:pt idx="0">
                  <c:v>苹果</c:v>
                </c:pt>
                <c:pt idx="1">
                  <c:v>雪梨</c:v>
                </c:pt>
                <c:pt idx="2">
                  <c:v>樱桃</c:v>
                </c:pt>
                <c:pt idx="3">
                  <c:v>西瓜</c:v>
                </c:pt>
                <c:pt idx="4">
                  <c:v>橙子</c:v>
                </c:pt>
                <c:pt idx="5">
                  <c:v>香蕉</c:v>
                </c:pt>
                <c:pt idx="6">
                  <c:v>芒果</c:v>
                </c:pt>
                <c:pt idx="7">
                  <c:v>菠萝</c:v>
                </c:pt>
                <c:pt idx="8">
                  <c:v>奇异果</c:v>
                </c:pt>
              </c:strCache>
            </c:strRef>
          </c:cat>
          <c:val>
            <c:numRef>
              <c:f>Sheet1!$B$3:$B$11</c:f>
              <c:numCache>
                <c:formatCode>General</c:formatCode>
                <c:ptCount val="9"/>
                <c:pt idx="0">
                  <c:v>431</c:v>
                </c:pt>
                <c:pt idx="1">
                  <c:v>330</c:v>
                </c:pt>
                <c:pt idx="2">
                  <c:v>145</c:v>
                </c:pt>
                <c:pt idx="3">
                  <c:v>292</c:v>
                </c:pt>
                <c:pt idx="4">
                  <c:v>294</c:v>
                </c:pt>
                <c:pt idx="5">
                  <c:v>442</c:v>
                </c:pt>
                <c:pt idx="6">
                  <c:v>449</c:v>
                </c:pt>
                <c:pt idx="7">
                  <c:v>400</c:v>
                </c:pt>
                <c:pt idx="8">
                  <c:v>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A5E-4F73-A88F-408D993AC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18464"/>
        <c:axId val="175520384"/>
      </c:areaChart>
      <c:lineChart>
        <c:grouping val="standard"/>
        <c:varyColors val="0"/>
        <c:ser>
          <c:idx val="1"/>
          <c:order val="1"/>
          <c:tx>
            <c:strRef>
              <c:f>Sheet1!$B$2</c:f>
              <c:strCache>
                <c:ptCount val="1"/>
                <c:pt idx="0">
                  <c:v>销售数量</c:v>
                </c:pt>
              </c:strCache>
            </c:strRef>
          </c:tx>
          <c:spPr>
            <a:ln w="38100" cap="rnd" cmpd="sng" algn="ctr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 cap="flat" cmpd="sng" algn="ctr">
                <a:solidFill>
                  <a:srgbClr val="BDDAF0"/>
                </a:solidFill>
                <a:prstDash val="solid"/>
                <a:round/>
              </a:ln>
              <a:effectLst/>
            </c:spPr>
          </c:marker>
          <c:cat>
            <c:strRef>
              <c:f>Sheet1!$A$3:$A$11</c:f>
              <c:strCache>
                <c:ptCount val="9"/>
                <c:pt idx="0">
                  <c:v>苹果</c:v>
                </c:pt>
                <c:pt idx="1">
                  <c:v>雪梨</c:v>
                </c:pt>
                <c:pt idx="2">
                  <c:v>樱桃</c:v>
                </c:pt>
                <c:pt idx="3">
                  <c:v>西瓜</c:v>
                </c:pt>
                <c:pt idx="4">
                  <c:v>橙子</c:v>
                </c:pt>
                <c:pt idx="5">
                  <c:v>香蕉</c:v>
                </c:pt>
                <c:pt idx="6">
                  <c:v>芒果</c:v>
                </c:pt>
                <c:pt idx="7">
                  <c:v>菠萝</c:v>
                </c:pt>
                <c:pt idx="8">
                  <c:v>奇异果</c:v>
                </c:pt>
              </c:strCache>
            </c:strRef>
          </c:cat>
          <c:val>
            <c:numRef>
              <c:f>Sheet1!$B$3:$B$11</c:f>
              <c:numCache>
                <c:formatCode>General</c:formatCode>
                <c:ptCount val="9"/>
                <c:pt idx="0">
                  <c:v>431</c:v>
                </c:pt>
                <c:pt idx="1">
                  <c:v>330</c:v>
                </c:pt>
                <c:pt idx="2">
                  <c:v>145</c:v>
                </c:pt>
                <c:pt idx="3">
                  <c:v>292</c:v>
                </c:pt>
                <c:pt idx="4">
                  <c:v>294</c:v>
                </c:pt>
                <c:pt idx="5">
                  <c:v>442</c:v>
                </c:pt>
                <c:pt idx="6">
                  <c:v>449</c:v>
                </c:pt>
                <c:pt idx="7">
                  <c:v>400</c:v>
                </c:pt>
                <c:pt idx="8">
                  <c:v>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A5E-4F73-A88F-408D993AC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518464"/>
        <c:axId val="175520384"/>
      </c:lineChart>
      <c:catAx>
        <c:axId val="1755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75520384"/>
        <c:crosses val="autoZero"/>
        <c:auto val="1"/>
        <c:lblAlgn val="ctr"/>
        <c:lblOffset val="100"/>
        <c:noMultiLvlLbl val="0"/>
      </c:catAx>
      <c:valAx>
        <c:axId val="17552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DDAF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755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AF3FA"/>
    </a:solidFill>
    <a:ln w="9525" cap="flat" cmpd="sng" algn="ctr">
      <a:noFill/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销售单价与成本单价对比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销售单价</c:v>
                </c:pt>
              </c:strCache>
            </c:strRef>
          </c:tx>
          <c:spPr>
            <a:ln w="28575" cap="rnd" cmpd="sng" algn="ctr">
              <a:solidFill>
                <a:srgbClr val="3489D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 cap="flat" cmpd="sng" algn="ctr">
                <a:solidFill>
                  <a:srgbClr val="3489D2"/>
                </a:solidFill>
                <a:prstDash val="solid"/>
                <a:round/>
              </a:ln>
              <a:effectLst/>
            </c:spPr>
          </c:marker>
          <c:cat>
            <c:strRef>
              <c:f>Sheet1!$A$3:$A$11</c:f>
              <c:strCache>
                <c:ptCount val="9"/>
                <c:pt idx="0">
                  <c:v>苹果</c:v>
                </c:pt>
                <c:pt idx="1">
                  <c:v>雪梨</c:v>
                </c:pt>
                <c:pt idx="2">
                  <c:v>樱桃</c:v>
                </c:pt>
                <c:pt idx="3">
                  <c:v>西瓜</c:v>
                </c:pt>
                <c:pt idx="4">
                  <c:v>橙子</c:v>
                </c:pt>
                <c:pt idx="5">
                  <c:v>香蕉</c:v>
                </c:pt>
                <c:pt idx="6">
                  <c:v>芒果</c:v>
                </c:pt>
                <c:pt idx="7">
                  <c:v>菠萝</c:v>
                </c:pt>
                <c:pt idx="8">
                  <c:v>奇异果</c:v>
                </c:pt>
              </c:strCache>
            </c:strRef>
          </c:cat>
          <c:val>
            <c:numRef>
              <c:f>Sheet1!$C$3:$C$11</c:f>
              <c:numCache>
                <c:formatCode>General</c:formatCode>
                <c:ptCount val="9"/>
                <c:pt idx="0">
                  <c:v>6</c:v>
                </c:pt>
                <c:pt idx="1">
                  <c:v>5</c:v>
                </c:pt>
                <c:pt idx="2">
                  <c:v>30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10</c:v>
                </c:pt>
                <c:pt idx="7">
                  <c:v>8</c:v>
                </c:pt>
                <c:pt idx="8">
                  <c:v>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C18-487A-A077-539074B62A2A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成本单价</c:v>
                </c:pt>
              </c:strCache>
            </c:strRef>
          </c:tx>
          <c:spPr>
            <a:ln w="28575" cap="rnd" cmpd="sng" algn="ctr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 cap="flat" cmpd="sng" algn="ctr">
                <a:solidFill>
                  <a:srgbClr val="92D050"/>
                </a:solidFill>
                <a:prstDash val="solid"/>
                <a:round/>
              </a:ln>
              <a:effectLst/>
            </c:spPr>
          </c:marker>
          <c:cat>
            <c:strRef>
              <c:f>Sheet1!$A$3:$A$11</c:f>
              <c:strCache>
                <c:ptCount val="9"/>
                <c:pt idx="0">
                  <c:v>苹果</c:v>
                </c:pt>
                <c:pt idx="1">
                  <c:v>雪梨</c:v>
                </c:pt>
                <c:pt idx="2">
                  <c:v>樱桃</c:v>
                </c:pt>
                <c:pt idx="3">
                  <c:v>西瓜</c:v>
                </c:pt>
                <c:pt idx="4">
                  <c:v>橙子</c:v>
                </c:pt>
                <c:pt idx="5">
                  <c:v>香蕉</c:v>
                </c:pt>
                <c:pt idx="6">
                  <c:v>芒果</c:v>
                </c:pt>
                <c:pt idx="7">
                  <c:v>菠萝</c:v>
                </c:pt>
                <c:pt idx="8">
                  <c:v>奇异果</c:v>
                </c:pt>
              </c:strCache>
            </c:strRef>
          </c:cat>
          <c:val>
            <c:numRef>
              <c:f>Sheet1!$D$3:$D$11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13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C18-487A-A077-539074B62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541632"/>
        <c:axId val="175568384"/>
      </c:lineChart>
      <c:catAx>
        <c:axId val="17554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AF3FA"/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75568384"/>
        <c:crosses val="autoZero"/>
        <c:auto val="1"/>
        <c:lblAlgn val="ctr"/>
        <c:lblOffset val="100"/>
        <c:noMultiLvlLbl val="0"/>
      </c:catAx>
      <c:valAx>
        <c:axId val="1755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DDAF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7554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EAF3FA"/>
    </a:solidFill>
    <a:ln w="9525" cap="flat" cmpd="sng" algn="ctr">
      <a:noFill/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成交总金额及毛利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成本总金额</c:v>
                </c:pt>
              </c:strCache>
            </c:strRef>
          </c:tx>
          <c:spPr>
            <a:solidFill>
              <a:srgbClr val="3489D2"/>
            </a:solidFill>
            <a:ln>
              <a:noFill/>
            </a:ln>
            <a:effectLst/>
          </c:spPr>
          <c:invertIfNegative val="0"/>
          <c:cat>
            <c:strRef>
              <c:f>Sheet1!$A$3:$A$11</c:f>
              <c:strCache>
                <c:ptCount val="9"/>
                <c:pt idx="0">
                  <c:v>苹果</c:v>
                </c:pt>
                <c:pt idx="1">
                  <c:v>雪梨</c:v>
                </c:pt>
                <c:pt idx="2">
                  <c:v>樱桃</c:v>
                </c:pt>
                <c:pt idx="3">
                  <c:v>西瓜</c:v>
                </c:pt>
                <c:pt idx="4">
                  <c:v>橙子</c:v>
                </c:pt>
                <c:pt idx="5">
                  <c:v>香蕉</c:v>
                </c:pt>
                <c:pt idx="6">
                  <c:v>芒果</c:v>
                </c:pt>
                <c:pt idx="7">
                  <c:v>菠萝</c:v>
                </c:pt>
                <c:pt idx="8">
                  <c:v>奇异果</c:v>
                </c:pt>
              </c:strCache>
            </c:strRef>
          </c:cat>
          <c:val>
            <c:numRef>
              <c:f>Sheet1!$E$3:$E$11</c:f>
              <c:numCache>
                <c:formatCode>General</c:formatCode>
                <c:ptCount val="9"/>
                <c:pt idx="0">
                  <c:v>1724</c:v>
                </c:pt>
                <c:pt idx="1">
                  <c:v>660</c:v>
                </c:pt>
                <c:pt idx="2">
                  <c:v>1885</c:v>
                </c:pt>
                <c:pt idx="3">
                  <c:v>584</c:v>
                </c:pt>
                <c:pt idx="4">
                  <c:v>588</c:v>
                </c:pt>
                <c:pt idx="5">
                  <c:v>442</c:v>
                </c:pt>
                <c:pt idx="6">
                  <c:v>2245</c:v>
                </c:pt>
                <c:pt idx="7">
                  <c:v>1200</c:v>
                </c:pt>
                <c:pt idx="8">
                  <c:v>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50-402F-97B9-0A8E0769AC97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毛利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Sheet1!$A$3:$A$11</c:f>
              <c:strCache>
                <c:ptCount val="9"/>
                <c:pt idx="0">
                  <c:v>苹果</c:v>
                </c:pt>
                <c:pt idx="1">
                  <c:v>雪梨</c:v>
                </c:pt>
                <c:pt idx="2">
                  <c:v>樱桃</c:v>
                </c:pt>
                <c:pt idx="3">
                  <c:v>西瓜</c:v>
                </c:pt>
                <c:pt idx="4">
                  <c:v>橙子</c:v>
                </c:pt>
                <c:pt idx="5">
                  <c:v>香蕉</c:v>
                </c:pt>
                <c:pt idx="6">
                  <c:v>芒果</c:v>
                </c:pt>
                <c:pt idx="7">
                  <c:v>菠萝</c:v>
                </c:pt>
                <c:pt idx="8">
                  <c:v>奇异果</c:v>
                </c:pt>
              </c:strCache>
            </c:strRef>
          </c:cat>
          <c:val>
            <c:numRef>
              <c:f>Sheet1!$F$3:$F$11</c:f>
              <c:numCache>
                <c:formatCode>General</c:formatCode>
                <c:ptCount val="9"/>
                <c:pt idx="0">
                  <c:v>862</c:v>
                </c:pt>
                <c:pt idx="1">
                  <c:v>990</c:v>
                </c:pt>
                <c:pt idx="2">
                  <c:v>2465</c:v>
                </c:pt>
                <c:pt idx="3">
                  <c:v>876</c:v>
                </c:pt>
                <c:pt idx="4">
                  <c:v>1176</c:v>
                </c:pt>
                <c:pt idx="5">
                  <c:v>884</c:v>
                </c:pt>
                <c:pt idx="6">
                  <c:v>2245</c:v>
                </c:pt>
                <c:pt idx="7">
                  <c:v>2000</c:v>
                </c:pt>
                <c:pt idx="8">
                  <c:v>7500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50-402F-97B9-0A8E0769A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459776"/>
        <c:axId val="176461312"/>
      </c:barChart>
      <c:catAx>
        <c:axId val="1764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76461312"/>
        <c:crosses val="autoZero"/>
        <c:auto val="1"/>
        <c:lblAlgn val="ctr"/>
        <c:lblOffset val="100"/>
        <c:noMultiLvlLbl val="0"/>
      </c:catAx>
      <c:valAx>
        <c:axId val="1764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7645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EAF3FA"/>
    </a:solidFill>
    <a:ln w="9525" cap="flat" cmpd="sng" algn="ctr">
      <a:noFill/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22225</xdr:rowOff>
    </xdr:from>
    <xdr:to>
      <xdr:col>12</xdr:col>
      <xdr:colOff>141605</xdr:colOff>
      <xdr:row>11</xdr:row>
      <xdr:rowOff>201295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12</xdr:row>
      <xdr:rowOff>50800</xdr:rowOff>
    </xdr:from>
    <xdr:to>
      <xdr:col>6</xdr:col>
      <xdr:colOff>18415</xdr:colOff>
      <xdr:row>23</xdr:row>
      <xdr:rowOff>31750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50800</xdr:colOff>
      <xdr:row>12</xdr:row>
      <xdr:rowOff>60325</xdr:rowOff>
    </xdr:from>
    <xdr:to>
      <xdr:col>12</xdr:col>
      <xdr:colOff>155575</xdr:colOff>
      <xdr:row>23</xdr:row>
      <xdr:rowOff>50800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tabSelected="1" workbookViewId="0">
      <selection activeCell="V12" sqref="V12"/>
    </sheetView>
  </sheetViews>
  <sheetFormatPr defaultColWidth="9" defaultRowHeight="16.5"/>
  <cols>
    <col min="1" max="1" width="9.375" style="1" customWidth="1"/>
    <col min="2" max="2" width="11.625" style="2" customWidth="1"/>
    <col min="3" max="3" width="9.375" style="1" customWidth="1"/>
    <col min="4" max="4" width="9.375" style="2" customWidth="1"/>
    <col min="5" max="5" width="11.625" style="2" customWidth="1"/>
    <col min="6" max="6" width="10.25" style="2" customWidth="1"/>
    <col min="7" max="16384" width="9" style="1"/>
  </cols>
  <sheetData>
    <row r="1" spans="1:6" ht="30.95" customHeight="1">
      <c r="A1" s="9" t="s">
        <v>0</v>
      </c>
      <c r="B1" s="9"/>
      <c r="C1" s="9"/>
      <c r="D1" s="9"/>
      <c r="E1" s="9"/>
      <c r="F1" s="9"/>
    </row>
    <row r="2" spans="1:6" ht="24" customHeight="1">
      <c r="A2" s="3" t="s">
        <v>1</v>
      </c>
      <c r="B2" s="4" t="s">
        <v>2</v>
      </c>
      <c r="C2" s="3" t="s">
        <v>3</v>
      </c>
      <c r="D2" s="4" t="s">
        <v>4</v>
      </c>
      <c r="E2" s="4" t="s">
        <v>5</v>
      </c>
      <c r="F2" s="4" t="s">
        <v>6</v>
      </c>
    </row>
    <row r="3" spans="1:6" ht="15.95" customHeight="1">
      <c r="A3" s="5" t="s">
        <v>7</v>
      </c>
      <c r="B3" s="6">
        <v>431</v>
      </c>
      <c r="C3" s="5">
        <v>6</v>
      </c>
      <c r="D3" s="6">
        <v>4</v>
      </c>
      <c r="E3" s="6">
        <f t="shared" ref="E3:E11" si="0">IF(D3="","",D3*B3)</f>
        <v>1724</v>
      </c>
      <c r="F3" s="6">
        <f>IF(E3="","",B3*(C3-D3))</f>
        <v>862</v>
      </c>
    </row>
    <row r="4" spans="1:6" ht="15.95" customHeight="1">
      <c r="A4" s="7" t="s">
        <v>8</v>
      </c>
      <c r="B4" s="8">
        <v>330</v>
      </c>
      <c r="C4" s="7">
        <v>5</v>
      </c>
      <c r="D4" s="8">
        <v>2</v>
      </c>
      <c r="E4" s="8">
        <f t="shared" si="0"/>
        <v>660</v>
      </c>
      <c r="F4" s="8">
        <f t="shared" ref="F4:F11" si="1">IF(E4="","",B4*(C4-D4))</f>
        <v>990</v>
      </c>
    </row>
    <row r="5" spans="1:6" ht="15.95" customHeight="1">
      <c r="A5" s="5" t="s">
        <v>9</v>
      </c>
      <c r="B5" s="6">
        <v>145</v>
      </c>
      <c r="C5" s="5">
        <v>30</v>
      </c>
      <c r="D5" s="6">
        <v>13</v>
      </c>
      <c r="E5" s="6">
        <f t="shared" si="0"/>
        <v>1885</v>
      </c>
      <c r="F5" s="6">
        <f t="shared" si="1"/>
        <v>2465</v>
      </c>
    </row>
    <row r="6" spans="1:6" ht="15.95" customHeight="1">
      <c r="A6" s="7" t="s">
        <v>10</v>
      </c>
      <c r="B6" s="8">
        <v>292</v>
      </c>
      <c r="C6" s="7">
        <v>5</v>
      </c>
      <c r="D6" s="8">
        <v>2</v>
      </c>
      <c r="E6" s="8">
        <f t="shared" si="0"/>
        <v>584</v>
      </c>
      <c r="F6" s="8">
        <f t="shared" si="1"/>
        <v>876</v>
      </c>
    </row>
    <row r="7" spans="1:6" ht="15.95" customHeight="1">
      <c r="A7" s="5" t="s">
        <v>11</v>
      </c>
      <c r="B7" s="6">
        <v>294</v>
      </c>
      <c r="C7" s="5">
        <v>6</v>
      </c>
      <c r="D7" s="6">
        <v>2</v>
      </c>
      <c r="E7" s="6">
        <f t="shared" si="0"/>
        <v>588</v>
      </c>
      <c r="F7" s="6">
        <f t="shared" si="1"/>
        <v>1176</v>
      </c>
    </row>
    <row r="8" spans="1:6" ht="15.95" customHeight="1">
      <c r="A8" s="7" t="s">
        <v>12</v>
      </c>
      <c r="B8" s="8">
        <v>442</v>
      </c>
      <c r="C8" s="7">
        <v>3</v>
      </c>
      <c r="D8" s="8">
        <v>1</v>
      </c>
      <c r="E8" s="8">
        <f t="shared" si="0"/>
        <v>442</v>
      </c>
      <c r="F8" s="8">
        <f t="shared" si="1"/>
        <v>884</v>
      </c>
    </row>
    <row r="9" spans="1:6" ht="15.95" customHeight="1">
      <c r="A9" s="5" t="s">
        <v>13</v>
      </c>
      <c r="B9" s="6">
        <v>449</v>
      </c>
      <c r="C9" s="5">
        <v>10</v>
      </c>
      <c r="D9" s="6">
        <v>5</v>
      </c>
      <c r="E9" s="6">
        <f t="shared" si="0"/>
        <v>2245</v>
      </c>
      <c r="F9" s="6">
        <f t="shared" si="1"/>
        <v>2245</v>
      </c>
    </row>
    <row r="10" spans="1:6" ht="15.95" customHeight="1">
      <c r="A10" s="7" t="s">
        <v>14</v>
      </c>
      <c r="B10" s="8">
        <v>400</v>
      </c>
      <c r="C10" s="7">
        <v>8</v>
      </c>
      <c r="D10" s="8">
        <v>3</v>
      </c>
      <c r="E10" s="8">
        <f t="shared" si="0"/>
        <v>1200</v>
      </c>
      <c r="F10" s="8">
        <f t="shared" si="1"/>
        <v>2000</v>
      </c>
    </row>
    <row r="11" spans="1:6" ht="15.95" customHeight="1">
      <c r="A11" s="5" t="s">
        <v>15</v>
      </c>
      <c r="B11" s="6">
        <v>500</v>
      </c>
      <c r="C11" s="5">
        <v>25</v>
      </c>
      <c r="D11" s="6">
        <v>10</v>
      </c>
      <c r="E11" s="6">
        <f t="shared" si="0"/>
        <v>5000</v>
      </c>
      <c r="F11" s="6">
        <f t="shared" si="1"/>
        <v>7500</v>
      </c>
    </row>
    <row r="12" spans="1:6" ht="15.95" customHeight="1">
      <c r="A12" s="10" t="s">
        <v>16</v>
      </c>
      <c r="B12" s="11"/>
      <c r="C12" s="11"/>
      <c r="D12" s="12"/>
      <c r="E12" s="8">
        <f>SUM(E3:E11)</f>
        <v>14328</v>
      </c>
      <c r="F12" s="8">
        <f>SUM(F3:F11)</f>
        <v>18998</v>
      </c>
    </row>
  </sheetData>
  <mergeCells count="2">
    <mergeCell ref="A1:F1"/>
    <mergeCell ref="A12:D12"/>
  </mergeCells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2016-04-29T17:24:00Z</dcterms:created>
  <dcterms:modified xsi:type="dcterms:W3CDTF">2019-05-15T10:07:43Z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
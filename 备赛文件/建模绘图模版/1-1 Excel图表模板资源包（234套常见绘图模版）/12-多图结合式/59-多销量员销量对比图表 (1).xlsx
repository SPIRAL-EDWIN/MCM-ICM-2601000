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F15" i="1" l="1"/>
  <c r="D15" i="1"/>
  <c r="B15" i="1"/>
  <c r="G14" i="1"/>
  <c r="E14" i="1"/>
  <c r="C14" i="1"/>
  <c r="G13" i="1"/>
  <c r="E13" i="1"/>
  <c r="C13" i="1"/>
  <c r="G12" i="1"/>
  <c r="E12" i="1"/>
  <c r="C12" i="1"/>
  <c r="G11" i="1"/>
  <c r="E11" i="1"/>
  <c r="C11" i="1"/>
  <c r="G10" i="1"/>
  <c r="E10" i="1"/>
  <c r="C10" i="1"/>
  <c r="G9" i="1"/>
  <c r="E9" i="1"/>
  <c r="C9" i="1"/>
  <c r="G8" i="1"/>
  <c r="E8" i="1"/>
  <c r="C8" i="1"/>
  <c r="G7" i="1"/>
  <c r="E7" i="1"/>
  <c r="C7" i="1"/>
  <c r="G6" i="1"/>
  <c r="E6" i="1"/>
  <c r="C6" i="1"/>
  <c r="G5" i="1"/>
  <c r="E5" i="1"/>
  <c r="C5" i="1"/>
  <c r="G4" i="1"/>
  <c r="E4" i="1"/>
  <c r="C4" i="1"/>
</calcChain>
</file>

<file path=xl/sharedStrings.xml><?xml version="1.0" encoding="utf-8"?>
<sst xmlns="http://schemas.openxmlformats.org/spreadsheetml/2006/main" count="26" uniqueCount="20">
  <si>
    <t>月份\姓名</t>
  </si>
  <si>
    <t>王明</t>
  </si>
  <si>
    <t>张雷</t>
  </si>
  <si>
    <t>刘轩</t>
  </si>
  <si>
    <t>产量</t>
  </si>
  <si>
    <t>环比增长</t>
  </si>
  <si>
    <t>1月</t>
  </si>
  <si>
    <t>\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</si>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</sst>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9FF9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6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销售员产量对比图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王明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1">
                  <a:alpha val="63000"/>
                </a:schemeClr>
              </a:outerShdw>
            </a:effectLst>
          </c:spPr>
          <c:invertIfNegative val="0"/>
          <c:cat>
            <c:strRef>
              <c:f>Sheet1!$A$3:$A$14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Sheet1!$B$3:$B$14</c:f>
              <c:numCache>
                <c:formatCode>General</c:formatCode>
                <c:ptCount val="12"/>
                <c:pt idx="0">
                  <c:v>236</c:v>
                </c:pt>
                <c:pt idx="1">
                  <c:v>286</c:v>
                </c:pt>
                <c:pt idx="2">
                  <c:v>329</c:v>
                </c:pt>
                <c:pt idx="3">
                  <c:v>368</c:v>
                </c:pt>
                <c:pt idx="4">
                  <c:v>389</c:v>
                </c:pt>
                <c:pt idx="5">
                  <c:v>401</c:v>
                </c:pt>
                <c:pt idx="6">
                  <c:v>421</c:v>
                </c:pt>
                <c:pt idx="7">
                  <c:v>435</c:v>
                </c:pt>
                <c:pt idx="8">
                  <c:v>455</c:v>
                </c:pt>
                <c:pt idx="9">
                  <c:v>465</c:v>
                </c:pt>
                <c:pt idx="10">
                  <c:v>469</c:v>
                </c:pt>
                <c:pt idx="11">
                  <c:v>480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D68-4523-A2FB-032BC52A11AA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张雷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2">
                  <a:alpha val="63000"/>
                </a:schemeClr>
              </a:outerShdw>
            </a:effectLst>
          </c:spPr>
          <c:invertIfNegative val="0"/>
          <c:cat>
            <c:strRef>
              <c:f>Sheet1!$A$3:$A$14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Sheet1!$D$3:$D$14</c:f>
              <c:numCache>
                <c:formatCode>General</c:formatCode>
                <c:ptCount val="12"/>
                <c:pt idx="0">
                  <c:v>256</c:v>
                </c:pt>
                <c:pt idx="1">
                  <c:v>286</c:v>
                </c:pt>
                <c:pt idx="2">
                  <c:v>319</c:v>
                </c:pt>
                <c:pt idx="3">
                  <c:v>358</c:v>
                </c:pt>
                <c:pt idx="4">
                  <c:v>379</c:v>
                </c:pt>
                <c:pt idx="5">
                  <c:v>408</c:v>
                </c:pt>
                <c:pt idx="6">
                  <c:v>431</c:v>
                </c:pt>
                <c:pt idx="7">
                  <c:v>455</c:v>
                </c:pt>
                <c:pt idx="8">
                  <c:v>465</c:v>
                </c:pt>
                <c:pt idx="9">
                  <c:v>495</c:v>
                </c:pt>
                <c:pt idx="10">
                  <c:v>499</c:v>
                </c:pt>
                <c:pt idx="11">
                  <c:v>510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D68-4523-A2FB-032BC52A11AA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刘轩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3">
                  <a:alpha val="63000"/>
                </a:schemeClr>
              </a:outerShdw>
            </a:effectLst>
          </c:spPr>
          <c:invertIfNegative val="0"/>
          <c:cat>
            <c:strRef>
              <c:f>Sheet1!$A$3:$A$14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Sheet1!$F$3:$F$14</c:f>
              <c:numCache>
                <c:formatCode>General</c:formatCode>
                <c:ptCount val="12"/>
                <c:pt idx="0">
                  <c:v>286</c:v>
                </c:pt>
                <c:pt idx="1">
                  <c:v>316</c:v>
                </c:pt>
                <c:pt idx="2">
                  <c:v>329</c:v>
                </c:pt>
                <c:pt idx="3">
                  <c:v>356</c:v>
                </c:pt>
                <c:pt idx="4">
                  <c:v>399</c:v>
                </c:pt>
                <c:pt idx="5">
                  <c:v>401</c:v>
                </c:pt>
                <c:pt idx="6">
                  <c:v>421</c:v>
                </c:pt>
                <c:pt idx="7">
                  <c:v>434</c:v>
                </c:pt>
                <c:pt idx="8">
                  <c:v>455</c:v>
                </c:pt>
                <c:pt idx="9">
                  <c:v>465</c:v>
                </c:pt>
                <c:pt idx="10">
                  <c:v>489</c:v>
                </c:pt>
                <c:pt idx="11">
                  <c:v>501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D68-4523-A2FB-032BC52A1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6900864"/>
        <c:axId val="126914944"/>
      </c:barChart>
      <c:catAx>
        <c:axId val="12690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6914944"/>
        <c:crosses val="autoZero"/>
        <c:auto val="1"/>
        <c:lblAlgn val="ctr"/>
        <c:lblOffset val="100"/>
        <c:noMultiLvlLbl val="0"/>
      </c:catAx>
      <c:valAx>
        <c:axId val="12691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69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tx2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>
              <a:defRPr lang="zh-CN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2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销售员环比增长对比图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王明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Sheet1!$A$4:$A$14</c:f>
              <c:strCache>
                <c:ptCount val="11"/>
                <c:pt idx="0">
                  <c:v>2月</c:v>
                </c:pt>
                <c:pt idx="1">
                  <c:v>3月</c:v>
                </c:pt>
                <c:pt idx="2">
                  <c:v>4月</c:v>
                </c:pt>
                <c:pt idx="3">
                  <c:v>5月</c:v>
                </c:pt>
                <c:pt idx="4">
                  <c:v>6月</c:v>
                </c:pt>
                <c:pt idx="5">
                  <c:v>7月</c:v>
                </c:pt>
                <c:pt idx="6">
                  <c:v>8月</c:v>
                </c:pt>
                <c:pt idx="7">
                  <c:v>9月</c:v>
                </c:pt>
                <c:pt idx="8">
                  <c:v>10月</c:v>
                </c:pt>
                <c:pt idx="9">
                  <c:v>11月</c:v>
                </c:pt>
                <c:pt idx="10">
                  <c:v>12月</c:v>
                </c:pt>
              </c:strCache>
            </c:strRef>
          </c:cat>
          <c:val>
            <c:numRef>
              <c:f>Sheet1!$C$4:$C$14</c:f>
              <c:numCache>
                <c:formatCode>0.00%</c:formatCode>
                <c:ptCount val="11"/>
                <c:pt idx="0">
                  <c:v>0.21186440677966101</c:v>
                </c:pt>
                <c:pt idx="1">
                  <c:v>0.15034965034965034</c:v>
                </c:pt>
                <c:pt idx="2">
                  <c:v>0.11854103343465046</c:v>
                </c:pt>
                <c:pt idx="3">
                  <c:v>5.7065217391304345E-2</c:v>
                </c:pt>
                <c:pt idx="4">
                  <c:v>3.0848329048843187E-2</c:v>
                </c:pt>
                <c:pt idx="5">
                  <c:v>4.9875311720698257E-2</c:v>
                </c:pt>
                <c:pt idx="6">
                  <c:v>3.3254156769596199E-2</c:v>
                </c:pt>
                <c:pt idx="7">
                  <c:v>4.5977011494252873E-2</c:v>
                </c:pt>
                <c:pt idx="8">
                  <c:v>2.197802197802198E-2</c:v>
                </c:pt>
                <c:pt idx="9">
                  <c:v>8.6021505376344086E-3</c:v>
                </c:pt>
                <c:pt idx="10">
                  <c:v>2.3454157782515993E-2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BCC-45CE-B1DC-968CB5EB0327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张雷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Sheet1!$A$4:$A$14</c:f>
              <c:strCache>
                <c:ptCount val="11"/>
                <c:pt idx="0">
                  <c:v>2月</c:v>
                </c:pt>
                <c:pt idx="1">
                  <c:v>3月</c:v>
                </c:pt>
                <c:pt idx="2">
                  <c:v>4月</c:v>
                </c:pt>
                <c:pt idx="3">
                  <c:v>5月</c:v>
                </c:pt>
                <c:pt idx="4">
                  <c:v>6月</c:v>
                </c:pt>
                <c:pt idx="5">
                  <c:v>7月</c:v>
                </c:pt>
                <c:pt idx="6">
                  <c:v>8月</c:v>
                </c:pt>
                <c:pt idx="7">
                  <c:v>9月</c:v>
                </c:pt>
                <c:pt idx="8">
                  <c:v>10月</c:v>
                </c:pt>
                <c:pt idx="9">
                  <c:v>11月</c:v>
                </c:pt>
                <c:pt idx="10">
                  <c:v>12月</c:v>
                </c:pt>
              </c:strCache>
            </c:strRef>
          </c:cat>
          <c:val>
            <c:numRef>
              <c:f>Sheet1!$E$4:$E$14</c:f>
              <c:numCache>
                <c:formatCode>0.00%</c:formatCode>
                <c:ptCount val="11"/>
                <c:pt idx="0">
                  <c:v>0.1171875</c:v>
                </c:pt>
                <c:pt idx="1">
                  <c:v>0.11538461538461539</c:v>
                </c:pt>
                <c:pt idx="2">
                  <c:v>0.12225705329153605</c:v>
                </c:pt>
                <c:pt idx="3">
                  <c:v>5.8659217877094973E-2</c:v>
                </c:pt>
                <c:pt idx="4">
                  <c:v>7.6517150395778361E-2</c:v>
                </c:pt>
                <c:pt idx="5">
                  <c:v>5.6372549019607844E-2</c:v>
                </c:pt>
                <c:pt idx="6">
                  <c:v>5.5684454756380508E-2</c:v>
                </c:pt>
                <c:pt idx="7">
                  <c:v>2.197802197802198E-2</c:v>
                </c:pt>
                <c:pt idx="8">
                  <c:v>6.4516129032258063E-2</c:v>
                </c:pt>
                <c:pt idx="9">
                  <c:v>8.0808080808080808E-3</c:v>
                </c:pt>
                <c:pt idx="10">
                  <c:v>2.2044088176352707E-2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BCC-45CE-B1DC-968CB5EB0327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刘轩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Sheet1!$A$4:$A$14</c:f>
              <c:strCache>
                <c:ptCount val="11"/>
                <c:pt idx="0">
                  <c:v>2月</c:v>
                </c:pt>
                <c:pt idx="1">
                  <c:v>3月</c:v>
                </c:pt>
                <c:pt idx="2">
                  <c:v>4月</c:v>
                </c:pt>
                <c:pt idx="3">
                  <c:v>5月</c:v>
                </c:pt>
                <c:pt idx="4">
                  <c:v>6月</c:v>
                </c:pt>
                <c:pt idx="5">
                  <c:v>7月</c:v>
                </c:pt>
                <c:pt idx="6">
                  <c:v>8月</c:v>
                </c:pt>
                <c:pt idx="7">
                  <c:v>9月</c:v>
                </c:pt>
                <c:pt idx="8">
                  <c:v>10月</c:v>
                </c:pt>
                <c:pt idx="9">
                  <c:v>11月</c:v>
                </c:pt>
                <c:pt idx="10">
                  <c:v>12月</c:v>
                </c:pt>
              </c:strCache>
            </c:strRef>
          </c:cat>
          <c:val>
            <c:numRef>
              <c:f>Sheet1!$G$4:$G$14</c:f>
              <c:numCache>
                <c:formatCode>0.00%</c:formatCode>
                <c:ptCount val="11"/>
                <c:pt idx="0">
                  <c:v>0.1048951048951049</c:v>
                </c:pt>
                <c:pt idx="1">
                  <c:v>4.1139240506329111E-2</c:v>
                </c:pt>
                <c:pt idx="2">
                  <c:v>8.2066869300911852E-2</c:v>
                </c:pt>
                <c:pt idx="3">
                  <c:v>0.12078651685393259</c:v>
                </c:pt>
                <c:pt idx="4">
                  <c:v>5.0125313283208017E-3</c:v>
                </c:pt>
                <c:pt idx="5">
                  <c:v>4.9875311720698257E-2</c:v>
                </c:pt>
                <c:pt idx="6">
                  <c:v>3.0878859857482184E-2</c:v>
                </c:pt>
                <c:pt idx="7">
                  <c:v>4.8387096774193547E-2</c:v>
                </c:pt>
                <c:pt idx="8">
                  <c:v>2.197802197802198E-2</c:v>
                </c:pt>
                <c:pt idx="9">
                  <c:v>5.1612903225806452E-2</c:v>
                </c:pt>
                <c:pt idx="10">
                  <c:v>2.4539877300613498E-2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5BCC-45CE-B1DC-968CB5EB0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684992"/>
        <c:axId val="127686528"/>
      </c:lineChart>
      <c:catAx>
        <c:axId val="12768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7686528"/>
        <c:crosses val="autoZero"/>
        <c:auto val="1"/>
        <c:lblAlgn val="ctr"/>
        <c:lblOffset val="100"/>
        <c:noMultiLvlLbl val="0"/>
      </c:catAx>
      <c:valAx>
        <c:axId val="127686528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768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800" b="1" kern="1200">
          <a:solidFill>
            <a:schemeClr val="tx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1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1" i="0" u="none" strike="noStrike" cap="none" normalizeH="0" baseline="0">
                <a:solidFill>
                  <a:schemeClr val="tx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不同人员销售比例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2408963585434"/>
          <c:y val="0.161781159095995"/>
          <c:w val="0.67044813515957502"/>
          <c:h val="0.8033117028417989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733-4B66-9221-5F45488A6B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733-4B66-9221-5F45488A6B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733-4B66-9221-5F45488A6B9D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(Sheet1!$B$1,Sheet1!$D$1,Sheet1!$F$1)</c:f>
              <c:strCache>
                <c:ptCount val="3"/>
                <c:pt idx="0">
                  <c:v>王明</c:v>
                </c:pt>
                <c:pt idx="1">
                  <c:v>张雷</c:v>
                </c:pt>
                <c:pt idx="2">
                  <c:v>刘轩</c:v>
                </c:pt>
              </c:strCache>
            </c:strRef>
          </c:cat>
          <c:val>
            <c:numRef>
              <c:f>(Sheet1!$B$15,Sheet1!$D$15,Sheet1!$F$15)</c:f>
              <c:numCache>
                <c:formatCode>General</c:formatCode>
                <c:ptCount val="3"/>
                <c:pt idx="0">
                  <c:v>4734</c:v>
                </c:pt>
                <c:pt idx="1">
                  <c:v>4861</c:v>
                </c:pt>
                <c:pt idx="2">
                  <c:v>4852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D733-4B66-9221-5F45488A6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0</xdr:row>
      <xdr:rowOff>47625</xdr:rowOff>
    </xdr:from>
    <xdr:to>
      <xdr:col>15</xdr:col>
      <xdr:colOff>179705</xdr:colOff>
      <xdr:row>14</xdr:row>
      <xdr:rowOff>239395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29210</xdr:colOff>
      <xdr:row>15</xdr:row>
      <xdr:rowOff>66675</xdr:rowOff>
    </xdr:from>
    <xdr:to>
      <xdr:col>15</xdr:col>
      <xdr:colOff>161925</xdr:colOff>
      <xdr:row>32</xdr:row>
      <xdr:rowOff>104140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85090</xdr:colOff>
      <xdr:row>15</xdr:row>
      <xdr:rowOff>57150</xdr:rowOff>
    </xdr:from>
    <xdr:to>
      <xdr:col>5</xdr:col>
      <xdr:colOff>684530</xdr:colOff>
      <xdr:row>32</xdr:row>
      <xdr:rowOff>107315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showGridLines="0" tabSelected="1" workbookViewId="0">
      <selection activeCell="X12" sqref="X12"/>
    </sheetView>
  </sheetViews>
  <sheetFormatPr defaultColWidth="9" defaultRowHeight="13.5" x14ac:dyDescent="0.15"/>
  <cols>
    <col min="1" max="1" width="9.75" customWidth="1"/>
    <col min="3" max="3" width="8.875" customWidth="1"/>
  </cols>
  <sheetData>
    <row r="1" spans="1:7" ht="20.100000000000001" customHeight="1" x14ac:dyDescent="0.15">
      <c r="A1" s="6" t="s">
        <v>0</v>
      </c>
      <c r="B1" s="7" t="s">
        <v>1</v>
      </c>
      <c r="C1" s="7"/>
      <c r="D1" s="7" t="s">
        <v>2</v>
      </c>
      <c r="E1" s="7"/>
      <c r="F1" s="8" t="s">
        <v>3</v>
      </c>
      <c r="G1" s="9"/>
    </row>
    <row r="2" spans="1:7" ht="20.100000000000001" customHeight="1" x14ac:dyDescent="0.15">
      <c r="A2" s="6"/>
      <c r="B2" s="2" t="s">
        <v>4</v>
      </c>
      <c r="C2" s="2" t="s">
        <v>5</v>
      </c>
      <c r="D2" s="2" t="s">
        <v>4</v>
      </c>
      <c r="E2" s="2" t="s">
        <v>5</v>
      </c>
      <c r="F2" s="2" t="s">
        <v>4</v>
      </c>
      <c r="G2" s="2" t="s">
        <v>5</v>
      </c>
    </row>
    <row r="3" spans="1:7" ht="20.100000000000001" customHeight="1" x14ac:dyDescent="0.15">
      <c r="A3" s="1" t="s">
        <v>6</v>
      </c>
      <c r="B3" s="3">
        <v>236</v>
      </c>
      <c r="C3" s="3" t="s">
        <v>7</v>
      </c>
      <c r="D3" s="3">
        <v>256</v>
      </c>
      <c r="E3" s="3" t="s">
        <v>7</v>
      </c>
      <c r="F3" s="3">
        <v>286</v>
      </c>
      <c r="G3" s="3" t="s">
        <v>7</v>
      </c>
    </row>
    <row r="4" spans="1:7" ht="20.100000000000001" customHeight="1" x14ac:dyDescent="0.15">
      <c r="A4" s="1" t="s">
        <v>8</v>
      </c>
      <c r="B4" s="2">
        <v>286</v>
      </c>
      <c r="C4" s="4">
        <f t="shared" ref="C4:G4" si="0">(B4-B3)/B3</f>
        <v>0.21186440677966101</v>
      </c>
      <c r="D4" s="2">
        <v>286</v>
      </c>
      <c r="E4" s="4">
        <f t="shared" si="0"/>
        <v>0.1171875</v>
      </c>
      <c r="F4" s="2">
        <v>316</v>
      </c>
      <c r="G4" s="4">
        <f t="shared" si="0"/>
        <v>0.1048951048951049</v>
      </c>
    </row>
    <row r="5" spans="1:7" ht="20.100000000000001" customHeight="1" x14ac:dyDescent="0.15">
      <c r="A5" s="1" t="s">
        <v>9</v>
      </c>
      <c r="B5" s="3">
        <v>329</v>
      </c>
      <c r="C5" s="5">
        <f t="shared" ref="C5:E14" si="1">(B5-B4)/B4</f>
        <v>0.15034965034965034</v>
      </c>
      <c r="D5" s="3">
        <v>319</v>
      </c>
      <c r="E5" s="5">
        <f t="shared" si="1"/>
        <v>0.11538461538461539</v>
      </c>
      <c r="F5" s="3">
        <v>329</v>
      </c>
      <c r="G5" s="5">
        <f t="shared" ref="G5" si="2">(F5-F4)/F4</f>
        <v>4.1139240506329111E-2</v>
      </c>
    </row>
    <row r="6" spans="1:7" ht="20.100000000000001" customHeight="1" x14ac:dyDescent="0.15">
      <c r="A6" s="1" t="s">
        <v>10</v>
      </c>
      <c r="B6" s="2">
        <v>368</v>
      </c>
      <c r="C6" s="4">
        <f t="shared" si="1"/>
        <v>0.11854103343465046</v>
      </c>
      <c r="D6" s="2">
        <v>358</v>
      </c>
      <c r="E6" s="4">
        <f t="shared" si="1"/>
        <v>0.12225705329153605</v>
      </c>
      <c r="F6" s="2">
        <v>356</v>
      </c>
      <c r="G6" s="4">
        <f t="shared" ref="G6" si="3">(F6-F5)/F5</f>
        <v>8.2066869300911852E-2</v>
      </c>
    </row>
    <row r="7" spans="1:7" ht="20.100000000000001" customHeight="1" x14ac:dyDescent="0.15">
      <c r="A7" s="1" t="s">
        <v>11</v>
      </c>
      <c r="B7" s="3">
        <v>389</v>
      </c>
      <c r="C7" s="5">
        <f t="shared" si="1"/>
        <v>5.7065217391304345E-2</v>
      </c>
      <c r="D7" s="3">
        <v>379</v>
      </c>
      <c r="E7" s="5">
        <f t="shared" si="1"/>
        <v>5.8659217877094973E-2</v>
      </c>
      <c r="F7" s="3">
        <v>399</v>
      </c>
      <c r="G7" s="5">
        <f t="shared" ref="G7" si="4">(F7-F6)/F6</f>
        <v>0.12078651685393259</v>
      </c>
    </row>
    <row r="8" spans="1:7" ht="20.100000000000001" customHeight="1" x14ac:dyDescent="0.15">
      <c r="A8" s="1" t="s">
        <v>12</v>
      </c>
      <c r="B8" s="2">
        <v>401</v>
      </c>
      <c r="C8" s="4">
        <f t="shared" si="1"/>
        <v>3.0848329048843187E-2</v>
      </c>
      <c r="D8" s="2">
        <v>408</v>
      </c>
      <c r="E8" s="4">
        <f t="shared" si="1"/>
        <v>7.6517150395778361E-2</v>
      </c>
      <c r="F8" s="2">
        <v>401</v>
      </c>
      <c r="G8" s="4">
        <f t="shared" ref="G8" si="5">(F8-F7)/F7</f>
        <v>5.0125313283208017E-3</v>
      </c>
    </row>
    <row r="9" spans="1:7" ht="20.100000000000001" customHeight="1" x14ac:dyDescent="0.15">
      <c r="A9" s="1" t="s">
        <v>13</v>
      </c>
      <c r="B9" s="3">
        <v>421</v>
      </c>
      <c r="C9" s="5">
        <f t="shared" si="1"/>
        <v>4.9875311720698257E-2</v>
      </c>
      <c r="D9" s="3">
        <v>431</v>
      </c>
      <c r="E9" s="5">
        <f t="shared" si="1"/>
        <v>5.6372549019607844E-2</v>
      </c>
      <c r="F9" s="3">
        <v>421</v>
      </c>
      <c r="G9" s="5">
        <f t="shared" ref="G9" si="6">(F9-F8)/F8</f>
        <v>4.9875311720698257E-2</v>
      </c>
    </row>
    <row r="10" spans="1:7" ht="20.100000000000001" customHeight="1" x14ac:dyDescent="0.15">
      <c r="A10" s="1" t="s">
        <v>14</v>
      </c>
      <c r="B10" s="2">
        <v>435</v>
      </c>
      <c r="C10" s="4">
        <f t="shared" si="1"/>
        <v>3.3254156769596199E-2</v>
      </c>
      <c r="D10" s="2">
        <v>455</v>
      </c>
      <c r="E10" s="4">
        <f t="shared" si="1"/>
        <v>5.5684454756380508E-2</v>
      </c>
      <c r="F10" s="2">
        <v>434</v>
      </c>
      <c r="G10" s="4">
        <f t="shared" ref="G10" si="7">(F10-F9)/F9</f>
        <v>3.0878859857482184E-2</v>
      </c>
    </row>
    <row r="11" spans="1:7" ht="20.100000000000001" customHeight="1" x14ac:dyDescent="0.15">
      <c r="A11" s="1" t="s">
        <v>15</v>
      </c>
      <c r="B11" s="3">
        <v>455</v>
      </c>
      <c r="C11" s="5">
        <f t="shared" si="1"/>
        <v>4.5977011494252873E-2</v>
      </c>
      <c r="D11" s="3">
        <v>465</v>
      </c>
      <c r="E11" s="5">
        <f t="shared" si="1"/>
        <v>2.197802197802198E-2</v>
      </c>
      <c r="F11" s="3">
        <v>455</v>
      </c>
      <c r="G11" s="5">
        <f t="shared" ref="G11" si="8">(F11-F10)/F10</f>
        <v>4.8387096774193547E-2</v>
      </c>
    </row>
    <row r="12" spans="1:7" ht="20.100000000000001" customHeight="1" x14ac:dyDescent="0.15">
      <c r="A12" s="1" t="s">
        <v>16</v>
      </c>
      <c r="B12" s="2">
        <v>465</v>
      </c>
      <c r="C12" s="4">
        <f t="shared" si="1"/>
        <v>2.197802197802198E-2</v>
      </c>
      <c r="D12" s="2">
        <v>495</v>
      </c>
      <c r="E12" s="4">
        <f t="shared" si="1"/>
        <v>6.4516129032258063E-2</v>
      </c>
      <c r="F12" s="2">
        <v>465</v>
      </c>
      <c r="G12" s="4">
        <f t="shared" ref="G12" si="9">(F12-F11)/F11</f>
        <v>2.197802197802198E-2</v>
      </c>
    </row>
    <row r="13" spans="1:7" ht="20.100000000000001" customHeight="1" x14ac:dyDescent="0.15">
      <c r="A13" s="1" t="s">
        <v>17</v>
      </c>
      <c r="B13" s="3">
        <v>469</v>
      </c>
      <c r="C13" s="5">
        <f t="shared" si="1"/>
        <v>8.6021505376344086E-3</v>
      </c>
      <c r="D13" s="3">
        <v>499</v>
      </c>
      <c r="E13" s="5">
        <f t="shared" si="1"/>
        <v>8.0808080808080808E-3</v>
      </c>
      <c r="F13" s="3">
        <v>489</v>
      </c>
      <c r="G13" s="5">
        <f t="shared" ref="G13" si="10">(F13-F12)/F12</f>
        <v>5.1612903225806452E-2</v>
      </c>
    </row>
    <row r="14" spans="1:7" ht="20.100000000000001" customHeight="1" x14ac:dyDescent="0.15">
      <c r="A14" s="1" t="s">
        <v>18</v>
      </c>
      <c r="B14" s="2">
        <v>480</v>
      </c>
      <c r="C14" s="4">
        <f t="shared" si="1"/>
        <v>2.3454157782515993E-2</v>
      </c>
      <c r="D14" s="2">
        <v>510</v>
      </c>
      <c r="E14" s="4">
        <f t="shared" si="1"/>
        <v>2.2044088176352707E-2</v>
      </c>
      <c r="F14" s="2">
        <v>501</v>
      </c>
      <c r="G14" s="4">
        <f t="shared" ref="G14" si="11">(F14-F13)/F13</f>
        <v>2.4539877300613498E-2</v>
      </c>
    </row>
    <row r="15" spans="1:7" ht="20.100000000000001" customHeight="1" x14ac:dyDescent="0.15">
      <c r="A15" s="1" t="s">
        <v>19</v>
      </c>
      <c r="B15" s="10">
        <f t="shared" ref="B15:F15" si="12">SUM(B3:B14)</f>
        <v>4734</v>
      </c>
      <c r="C15" s="10"/>
      <c r="D15" s="10">
        <f t="shared" si="12"/>
        <v>4861</v>
      </c>
      <c r="E15" s="10"/>
      <c r="F15" s="11">
        <f t="shared" si="12"/>
        <v>4852</v>
      </c>
      <c r="G15" s="12"/>
    </row>
  </sheetData>
  <mergeCells count="7">
    <mergeCell ref="A1:A2"/>
    <mergeCell ref="B1:C1"/>
    <mergeCell ref="D1:E1"/>
    <mergeCell ref="F1:G1"/>
    <mergeCell ref="B15:C15"/>
    <mergeCell ref="D15:E15"/>
    <mergeCell ref="F15:G15"/>
  </mergeCells>
  <phoneticPr fontId="3" type="noConversion"/>
  <pageMargins left="0.69930555555555596" right="0.69930555555555596" top="0.75" bottom="0.75" header="0.3" footer="0.3"/>
  <pageSetup paperSize="9" orientation="portrait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2006-09-13T11:21:00Z</dcterms:created>
  <dcterms:modified xsi:type="dcterms:W3CDTF">2019-05-15T10:08:21Z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
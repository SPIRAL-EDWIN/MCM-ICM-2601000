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F6" i="1"/>
  <c r="G6" i="1"/>
  <c r="D6" i="1"/>
  <c r="C6" i="1"/>
  <c r="B6" i="1"/>
  <c r="G5" i="1"/>
  <c r="L4" i="1"/>
  <c r="J4" i="1"/>
  <c r="G4" i="1"/>
  <c r="G3" i="1"/>
  <c r="G2" i="1"/>
</calcChain>
</file>

<file path=xl/sharedStrings.xml><?xml version="1.0" encoding="utf-8"?>
<sst xmlns="http://schemas.openxmlformats.org/spreadsheetml/2006/main" count="18" uniqueCount="13">
  <si>
    <t xml:space="preserve">       月份
姓名</t>
  </si>
  <si>
    <t>1月</t>
  </si>
  <si>
    <t>2月</t>
  </si>
  <si>
    <t>3月</t>
  </si>
  <si>
    <t>总计</t>
  </si>
  <si>
    <t>目标</t>
  </si>
  <si>
    <t>完成率</t>
  </si>
  <si>
    <t xml:space="preserve">       月份
年份</t>
  </si>
  <si>
    <t>二狗</t>
  </si>
  <si>
    <t>毛毛</t>
  </si>
  <si>
    <t>点点</t>
  </si>
  <si>
    <t>2016年
总目标</t>
  </si>
  <si>
    <t>豆豆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</si>
</sst>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 diagonalDown="1"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0" fontId="1" fillId="0" borderId="6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/>
    </xf>
    <xf numFmtId="10" fontId="1" fillId="0" borderId="15" xfId="0" applyNumberFormat="1" applyFont="1" applyBorder="1" applyAlignment="1">
      <alignment horizontal="center" vertical="center"/>
    </xf>
    <xf numFmtId="10" fontId="1" fillId="0" borderId="18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第一季度销售情况图表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二狗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 algn="ctr"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Sheet1!$B$1:$D$1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300</c:v>
                </c:pt>
                <c:pt idx="1">
                  <c:v>289</c:v>
                </c:pt>
                <c:pt idx="2">
                  <c:v>301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AD-4FB8-B312-D354C6C5C1C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毛毛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 algn="ctr"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Sheet1!$B$1:$D$1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400</c:v>
                </c:pt>
                <c:pt idx="1">
                  <c:v>438</c:v>
                </c:pt>
                <c:pt idx="2">
                  <c:v>433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1AD-4FB8-B312-D354C6C5C1C1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点点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 algn="ctr"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Sheet1!$B$1:$D$1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250</c:v>
                </c:pt>
                <c:pt idx="1">
                  <c:v>251</c:v>
                </c:pt>
                <c:pt idx="2">
                  <c:v>252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1AD-4FB8-B312-D354C6C5C1C1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豆豆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-540000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 algn="ctr"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Sheet1!$B$1:$D$1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500</c:v>
                </c:pt>
                <c:pt idx="1">
                  <c:v>510</c:v>
                </c:pt>
                <c:pt idx="2">
                  <c:v>480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1AD-4FB8-B312-D354C6C5C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53714048"/>
        <c:axId val="153724032"/>
      </c:barChart>
      <c:catAx>
        <c:axId val="15371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3724032"/>
        <c:crosses val="autoZero"/>
        <c:auto val="1"/>
        <c:lblAlgn val="ctr"/>
        <c:lblOffset val="100"/>
        <c:noMultiLvlLbl val="0"/>
      </c:catAx>
      <c:valAx>
        <c:axId val="1537240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371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 sz="900" b="1" i="0" u="none" strike="noStrike" baseline="0">
                <a:solidFill>
                  <a:srgbClr val="808080"/>
                </a:solidFill>
                <a:latin typeface="Arial" panose="020B0604020202020204"/>
                <a:cs typeface="Arial" panose="020B0604020202020204"/>
              </a:rPr>
              <a:t>15、16年销售情况对比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Sheet1!$I$2</c:f>
              <c:strCache>
                <c:ptCount val="1"/>
                <c:pt idx="0">
                  <c:v>2015</c:v>
                </c:pt>
              </c:strCache>
            </c:strRef>
          </c:tx>
          <c:spPr>
            <a:pattFill prst="narVert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Sheet1!$J$1:$L$1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Sheet1!$J$2:$L$2</c:f>
              <c:numCache>
                <c:formatCode>General</c:formatCode>
                <c:ptCount val="3"/>
                <c:pt idx="0">
                  <c:v>1234</c:v>
                </c:pt>
                <c:pt idx="1">
                  <c:v>1255</c:v>
                </c:pt>
                <c:pt idx="2">
                  <c:v>1290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ED-4565-9926-6B13D77534CE}"/>
            </c:ext>
          </c:extLst>
        </c:ser>
        <c:ser>
          <c:idx val="1"/>
          <c:order val="1"/>
          <c:tx>
            <c:strRef>
              <c:f>Sheet1!$I$3</c:f>
              <c:strCache>
                <c:ptCount val="1"/>
                <c:pt idx="0">
                  <c:v>2016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rgbClr val="333333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Sheet1!$J$1:$L$1</c:f>
              <c:strCache>
                <c:ptCount val="3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</c:strCache>
            </c:strRef>
          </c:cat>
          <c:val>
            <c:numRef>
              <c:f>Sheet1!$J$3:$L$3</c:f>
              <c:numCache>
                <c:formatCode>General</c:formatCode>
                <c:ptCount val="3"/>
                <c:pt idx="0">
                  <c:v>1450</c:v>
                </c:pt>
                <c:pt idx="1">
                  <c:v>1488</c:v>
                </c:pt>
                <c:pt idx="2">
                  <c:v>1466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2ED-4565-9926-6B13D7753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54624384"/>
        <c:axId val="154625920"/>
      </c:barChart>
      <c:catAx>
        <c:axId val="154624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4625920"/>
        <c:crosses val="autoZero"/>
        <c:auto val="1"/>
        <c:lblAlgn val="ctr"/>
        <c:lblOffset val="100"/>
        <c:noMultiLvlLbl val="0"/>
      </c:catAx>
      <c:valAx>
        <c:axId val="1546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462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销售人员销量情况比</a:t>
            </a:r>
          </a:p>
        </c:rich>
      </c:tx>
      <c:layout>
        <c:manualLayout>
          <c:xMode val="edge"/>
          <c:yMode val="edge"/>
          <c:x val="0.33907604484679099"/>
          <c:y val="4.3075941289087399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chemeClr val="lt1"/>
            </a:solidFill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3D9-4230-9280-443F02CCFC1D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3D9-4230-9280-443F02CCFC1D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3D9-4230-9280-443F02CCFC1D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3D9-4230-9280-443F02CCFC1D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1" i="0" u="none" strike="noStrike" kern="1200" baseline="0">
                    <a:solidFill>
                      <a:srgbClr val="3366FF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endParaRPr lang="zh-CN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Sheet1!$A$2:$A$5</c:f>
              <c:strCache>
                <c:ptCount val="4"/>
                <c:pt idx="0">
                  <c:v>二狗</c:v>
                </c:pt>
                <c:pt idx="1">
                  <c:v>毛毛</c:v>
                </c:pt>
                <c:pt idx="2">
                  <c:v>点点</c:v>
                </c:pt>
                <c:pt idx="3">
                  <c:v>豆豆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890</c:v>
                </c:pt>
                <c:pt idx="1">
                  <c:v>1271</c:v>
                </c:pt>
                <c:pt idx="2">
                  <c:v>753</c:v>
                </c:pt>
                <c:pt idx="3">
                  <c:v>1490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3D9-4230-9280-443F02CCFC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1"/>
    </a:solidFill>
    <a:ln w="9525" cap="flat" cmpd="sng" algn="ctr">
      <a:solidFill>
        <a:schemeClr val="accent1"/>
      </a:solidFill>
      <a:prstDash val="solid"/>
      <a:round/>
    </a:ln>
    <a:effectLst/>
  </c:spPr>
  <c:txPr>
    <a:bodyPr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rgbClr val="80808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lang="zh-CN" altLang="en-US"/>
              <a:t>一季度目标完成情况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总计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28575" cap="rnd" cmpd="sng">
              <a:solidFill>
                <a:schemeClr val="accent1"/>
              </a:solidFill>
              <a:prstDash val="sysDot"/>
              <a:round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二狗</c:v>
                </c:pt>
                <c:pt idx="1">
                  <c:v>毛毛</c:v>
                </c:pt>
                <c:pt idx="2">
                  <c:v>点点</c:v>
                </c:pt>
                <c:pt idx="3">
                  <c:v>豆豆</c:v>
                </c:pt>
              </c:strCache>
            </c:strRef>
          </c:cat>
          <c:val>
            <c:numRef>
              <c:f>Sheet1!$E$2:$E$5</c:f>
              <c:numCache>
                <c:formatCode>General</c:formatCode>
                <c:ptCount val="4"/>
                <c:pt idx="0">
                  <c:v>890</c:v>
                </c:pt>
                <c:pt idx="1">
                  <c:v>1271</c:v>
                </c:pt>
                <c:pt idx="2">
                  <c:v>753</c:v>
                </c:pt>
                <c:pt idx="3">
                  <c:v>1490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5B-45D2-8CE9-94719FD2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52288"/>
        <c:axId val="155054080"/>
      </c:barChart>
      <c:barChart>
        <c:barDir val="col"/>
        <c:grouping val="clustered"/>
        <c:varyColors val="0"/>
        <c:ser>
          <c:idx val="1"/>
          <c:order val="1"/>
          <c:tx>
            <c:strRef>
              <c:f>Sheet1!$F$1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28575" cap="rnd" cmpd="sng">
              <a:solidFill>
                <a:schemeClr val="tx1"/>
              </a:solidFill>
              <a:prstDash val="solid"/>
              <a:round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Sheet1!$A$2:$A$5</c:f>
              <c:strCache>
                <c:ptCount val="4"/>
                <c:pt idx="0">
                  <c:v>二狗</c:v>
                </c:pt>
                <c:pt idx="1">
                  <c:v>毛毛</c:v>
                </c:pt>
                <c:pt idx="2">
                  <c:v>点点</c:v>
                </c:pt>
                <c:pt idx="3">
                  <c:v>豆豆</c:v>
                </c:pt>
              </c:strCache>
            </c:strRef>
          </c:cat>
          <c:val>
            <c:numRef>
              <c:f>Sheet1!$F$2:$F$5</c:f>
              <c:numCache>
                <c:formatCode>General</c:formatCode>
                <c:ptCount val="4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5B-45D2-8CE9-94719FD29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055616"/>
        <c:axId val="155057152"/>
      </c:barChart>
      <c:catAx>
        <c:axId val="15505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5054080"/>
        <c:crosses val="autoZero"/>
        <c:auto val="1"/>
        <c:lblAlgn val="ctr"/>
        <c:lblOffset val="100"/>
        <c:noMultiLvlLbl val="0"/>
      </c:catAx>
      <c:valAx>
        <c:axId val="155054080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5052288"/>
        <c:crosses val="autoZero"/>
        <c:crossBetween val="between"/>
      </c:valAx>
      <c:catAx>
        <c:axId val="15505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057152"/>
        <c:crosses val="autoZero"/>
        <c:auto val="1"/>
        <c:lblAlgn val="ctr"/>
        <c:lblOffset val="100"/>
        <c:noMultiLvlLbl val="0"/>
      </c:catAx>
      <c:valAx>
        <c:axId val="155057152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55055616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333333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9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</xdr:row>
      <xdr:rowOff>19050</xdr:rowOff>
    </xdr:from>
    <xdr:to>
      <xdr:col>5</xdr:col>
      <xdr:colOff>342900</xdr:colOff>
      <xdr:row>15</xdr:row>
      <xdr:rowOff>0</xdr:rowOff>
    </xdr:to>
    <xdr:graphicFrame macro="">
      <xdr:nvGraphicFramePr>
        <xdr:cNvPr id="1060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352425</xdr:colOff>
      <xdr:row>6</xdr:row>
      <xdr:rowOff>9525</xdr:rowOff>
    </xdr:from>
    <xdr:to>
      <xdr:col>12</xdr:col>
      <xdr:colOff>0</xdr:colOff>
      <xdr:row>15</xdr:row>
      <xdr:rowOff>19050</xdr:rowOff>
    </xdr:to>
    <xdr:graphicFrame macro="">
      <xdr:nvGraphicFramePr>
        <xdr:cNvPr id="1061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28575</xdr:rowOff>
    </xdr:from>
    <xdr:to>
      <xdr:col>5</xdr:col>
      <xdr:colOff>342900</xdr:colOff>
      <xdr:row>26</xdr:row>
      <xdr:rowOff>19050</xdr:rowOff>
    </xdr:to>
    <xdr:graphicFrame macro="">
      <xdr:nvGraphicFramePr>
        <xdr:cNvPr id="1062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361950</xdr:colOff>
      <xdr:row>15</xdr:row>
      <xdr:rowOff>28575</xdr:rowOff>
    </xdr:from>
    <xdr:to>
      <xdr:col>12</xdr:col>
      <xdr:colOff>9525</xdr:colOff>
      <xdr:row>26</xdr:row>
      <xdr:rowOff>0</xdr:rowOff>
    </xdr:to>
    <xdr:graphicFrame macro="">
      <xdr:nvGraphicFramePr>
        <xdr:cNvPr id="1063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showGridLines="0" tabSelected="1" workbookViewId="0">
      <selection activeCell="O4" sqref="O4"/>
    </sheetView>
  </sheetViews>
  <sheetFormatPr defaultColWidth="9" defaultRowHeight="14.25" x14ac:dyDescent="0.15"/>
  <cols>
    <col min="1" max="1" width="9" style="1"/>
    <col min="2" max="6" width="9.125" style="1" customWidth="1"/>
    <col min="7" max="7" width="9.625" style="1" customWidth="1"/>
    <col min="8" max="8" width="0.75" style="1" hidden="1" customWidth="1"/>
    <col min="9" max="11" width="9.125" style="1" customWidth="1"/>
    <col min="12" max="12" width="9.625" style="1" customWidth="1"/>
    <col min="13" max="16384" width="9" style="1"/>
  </cols>
  <sheetData>
    <row r="1" spans="1:12" ht="28.5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I1" s="2" t="s">
        <v>7</v>
      </c>
      <c r="J1" s="3" t="s">
        <v>1</v>
      </c>
      <c r="K1" s="3" t="s">
        <v>2</v>
      </c>
      <c r="L1" s="4" t="s">
        <v>3</v>
      </c>
    </row>
    <row r="2" spans="1:12" x14ac:dyDescent="0.15">
      <c r="A2" s="5" t="s">
        <v>8</v>
      </c>
      <c r="B2" s="6">
        <v>300</v>
      </c>
      <c r="C2" s="6">
        <v>289</v>
      </c>
      <c r="D2" s="6">
        <v>301</v>
      </c>
      <c r="E2" s="6">
        <f>SUM(B2:D2)</f>
        <v>890</v>
      </c>
      <c r="F2" s="6">
        <v>1000</v>
      </c>
      <c r="G2" s="7">
        <f t="shared" ref="G2:G6" si="0">E2/F2</f>
        <v>0.89</v>
      </c>
      <c r="I2" s="5">
        <v>2015</v>
      </c>
      <c r="J2" s="6">
        <v>1234</v>
      </c>
      <c r="K2" s="6">
        <v>1255</v>
      </c>
      <c r="L2" s="11">
        <v>1290</v>
      </c>
    </row>
    <row r="3" spans="1:12" x14ac:dyDescent="0.15">
      <c r="A3" s="5" t="s">
        <v>9</v>
      </c>
      <c r="B3" s="6">
        <v>400</v>
      </c>
      <c r="C3" s="6">
        <v>438</v>
      </c>
      <c r="D3" s="6">
        <v>433</v>
      </c>
      <c r="E3" s="6">
        <f>SUM(B3:D3)</f>
        <v>1271</v>
      </c>
      <c r="F3" s="6">
        <v>1000</v>
      </c>
      <c r="G3" s="7">
        <f t="shared" si="0"/>
        <v>1.2709999999999999</v>
      </c>
      <c r="I3" s="5">
        <v>2016</v>
      </c>
      <c r="J3" s="6">
        <v>1450</v>
      </c>
      <c r="K3" s="6">
        <v>1488</v>
      </c>
      <c r="L3" s="11">
        <v>1466</v>
      </c>
    </row>
    <row r="4" spans="1:12" x14ac:dyDescent="0.15">
      <c r="A4" s="5" t="s">
        <v>10</v>
      </c>
      <c r="B4" s="6">
        <v>250</v>
      </c>
      <c r="C4" s="6">
        <v>251</v>
      </c>
      <c r="D4" s="6">
        <v>252</v>
      </c>
      <c r="E4" s="6">
        <f>SUM(B4:D4)</f>
        <v>753</v>
      </c>
      <c r="F4" s="6">
        <v>1000</v>
      </c>
      <c r="G4" s="7">
        <f t="shared" si="0"/>
        <v>0.753</v>
      </c>
      <c r="I4" s="12" t="s">
        <v>11</v>
      </c>
      <c r="J4" s="15">
        <f>F6</f>
        <v>4000</v>
      </c>
      <c r="K4" s="15" t="s">
        <v>6</v>
      </c>
      <c r="L4" s="18">
        <f>G6</f>
        <v>1.101</v>
      </c>
    </row>
    <row r="5" spans="1:12" x14ac:dyDescent="0.15">
      <c r="A5" s="5" t="s">
        <v>12</v>
      </c>
      <c r="B5" s="6">
        <v>500</v>
      </c>
      <c r="C5" s="6">
        <v>510</v>
      </c>
      <c r="D5" s="6">
        <v>480</v>
      </c>
      <c r="E5" s="6">
        <f>SUM(B5:D5)</f>
        <v>1490</v>
      </c>
      <c r="F5" s="6">
        <v>1000</v>
      </c>
      <c r="G5" s="7">
        <f t="shared" si="0"/>
        <v>1.49</v>
      </c>
      <c r="I5" s="13"/>
      <c r="J5" s="16"/>
      <c r="K5" s="16"/>
      <c r="L5" s="19"/>
    </row>
    <row r="6" spans="1:12" x14ac:dyDescent="0.15">
      <c r="A6" s="8" t="s">
        <v>4</v>
      </c>
      <c r="B6" s="9">
        <f t="shared" ref="B6:F6" si="1">SUM(B2:B5)</f>
        <v>1450</v>
      </c>
      <c r="C6" s="9">
        <f t="shared" si="1"/>
        <v>1488</v>
      </c>
      <c r="D6" s="9">
        <f t="shared" si="1"/>
        <v>1466</v>
      </c>
      <c r="E6" s="9">
        <f t="shared" si="1"/>
        <v>4404</v>
      </c>
      <c r="F6" s="9">
        <f t="shared" si="1"/>
        <v>4000</v>
      </c>
      <c r="G6" s="10">
        <f t="shared" si="0"/>
        <v>1.101</v>
      </c>
      <c r="I6" s="14"/>
      <c r="J6" s="17"/>
      <c r="K6" s="17"/>
      <c r="L6" s="20"/>
    </row>
  </sheetData>
  <mergeCells count="4">
    <mergeCell ref="I4:I6"/>
    <mergeCell ref="J4:J6"/>
    <mergeCell ref="K4:K6"/>
    <mergeCell ref="L4:L6"/>
  </mergeCells>
  <phoneticPr fontId="2" type="noConversion"/>
  <pageMargins left="0.75" right="0.75" top="1" bottom="1" header="0.50972222222222197" footer="0.50972222222222197"/>
  <pageSetup paperSize="9" orientation="portrait"/>
  <headerFooter scaleWithDoc="0"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2" type="noConversion"/>
  <pageMargins left="0.75" right="0.75" top="1" bottom="1" header="0.50972222222222197" footer="0.50972222222222197"/>
  <pageSetup paperSize="9" orientation="portrait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25" x14ac:dyDescent="0.15"/>
  <sheetData/>
  <phoneticPr fontId="2" type="noConversion"/>
  <pageMargins left="0.75" right="0.75" top="1" bottom="1" header="0.50972222222222197" footer="0.50972222222222197"/>
  <pageSetup paperSize="9" orientation="portrait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Client</cp:lastModifiedBy>
  <dcterms:created xsi:type="dcterms:W3CDTF">2016-05-22T04:54:00Z</dcterms:created>
  <dcterms:modified xsi:type="dcterms:W3CDTF">2019-05-15T10:02:57Z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
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B5" i="1"/>
  <c r="C5" i="1"/>
  <c r="D5" i="1"/>
  <c r="E5" i="1"/>
  <c r="F5" i="1"/>
  <c r="G5" i="1"/>
  <c r="H5" i="1"/>
  <c r="H4" i="1"/>
  <c r="H3" i="1"/>
</calcChain>
</file>

<file path=xl/sharedStrings.xml><?xml version="1.0" encoding="utf-8"?>
<sst xmlns="http://schemas.openxmlformats.org/spreadsheetml/2006/main" count="13" uniqueCount="13">
  <si>
    <t>外贸进出口年中分析报告</t>
  </si>
  <si>
    <t>项目</t>
  </si>
  <si>
    <t>一月</t>
  </si>
  <si>
    <t>二月</t>
  </si>
  <si>
    <t>三月</t>
  </si>
  <si>
    <t>四月</t>
  </si>
  <si>
    <t>五月</t>
  </si>
  <si>
    <t>六月</t>
  </si>
  <si>
    <t>总计</t>
  </si>
  <si>
    <t>出口总值</t>
  </si>
  <si>
    <t>进口总值</t>
  </si>
  <si>
    <t>进出口总值</t>
  </si>
  <si>
    <t>进出口差额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</si>
</sst>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18"/>
      <color rgb="FF54394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>
      <alignment vertical="center"/>
    </xf>
    <xf numFmtId="0" fontId="1" fillId="3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000000"/>
      <color rgb="FF543941"/>
      <color rgb="FFA991A8"/>
      <color rgb="FFBDABC3"/>
      <color rgb="FFDDD5E1"/>
      <color rgb="FFE5DFE8"/>
      <color rgb="FFD13561"/>
      <color rgb="FFFBEEF1"/>
      <color rgb="FFE99DB3"/>
      <color rgb="FFED1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各月进口和出口总值一览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Sheet1!$B$3:$B$4</c:f>
              <c:numCache>
                <c:formatCode>General</c:formatCode>
                <c:ptCount val="2"/>
                <c:pt idx="0">
                  <c:v>314</c:v>
                </c:pt>
                <c:pt idx="1">
                  <c:v>458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E9-424A-AD26-BDA4340241A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457</c:v>
                </c:pt>
                <c:pt idx="1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5E9-424A-AD26-BDA4340241A1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Sheet1!$D$3:$D$4</c:f>
              <c:numCache>
                <c:formatCode>General</c:formatCode>
                <c:ptCount val="2"/>
                <c:pt idx="0">
                  <c:v>320</c:v>
                </c:pt>
                <c:pt idx="1">
                  <c:v>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5E9-424A-AD26-BDA4340241A1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四月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Sheet1!$E$3:$E$4</c:f>
              <c:numCache>
                <c:formatCode>General</c:formatCode>
                <c:ptCount val="2"/>
                <c:pt idx="0">
                  <c:v>429</c:v>
                </c:pt>
                <c:pt idx="1">
                  <c:v>414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5E9-424A-AD26-BDA4340241A1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五月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Sheet1!$F$3:$F$4</c:f>
              <c:numCache>
                <c:formatCode>General</c:formatCode>
                <c:ptCount val="2"/>
                <c:pt idx="0">
                  <c:v>300</c:v>
                </c:pt>
                <c:pt idx="1">
                  <c:v>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5E9-424A-AD26-BDA4340241A1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六月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Sheet1!$G$3:$G$4</c:f>
              <c:numCache>
                <c:formatCode>General</c:formatCode>
                <c:ptCount val="2"/>
                <c:pt idx="0">
                  <c:v>240</c:v>
                </c:pt>
                <c:pt idx="1">
                  <c:v>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5E9-424A-AD26-BDA43402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52242816"/>
        <c:axId val="152265472"/>
      </c:barChart>
      <c:lineChart>
        <c:grouping val="stacked"/>
        <c:varyColors val="0"/>
        <c:ser>
          <c:idx val="6"/>
          <c:order val="6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Sheet1!$H$3:$H$4</c:f>
              <c:numCache>
                <c:formatCode>General</c:formatCode>
                <c:ptCount val="2"/>
                <c:pt idx="0">
                  <c:v>2060</c:v>
                </c:pt>
                <c:pt idx="1">
                  <c:v>2359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5E9-424A-AD26-BDA43402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42816"/>
        <c:axId val="152265472"/>
      </c:lineChart>
      <c:catAx>
        <c:axId val="152242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265472"/>
        <c:crosses val="autoZero"/>
        <c:auto val="1"/>
        <c:lblAlgn val="ctr"/>
        <c:lblOffset val="100"/>
        <c:noMultiLvlLbl val="0"/>
      </c:catAx>
      <c:valAx>
        <c:axId val="15226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2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Sheet1!$A$5</c:f>
              <c:strCache>
                <c:ptCount val="1"/>
                <c:pt idx="0">
                  <c:v>进出口总值</c:v>
                </c:pt>
              </c:strCache>
            </c:strRef>
          </c:tx>
          <c:spPr>
            <a:ln w="3175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410-490A-9F52-E3F58FD90434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410-490A-9F52-E3F58FD90434}"/>
              </c:ext>
            </c:extLst>
          </c:dPt>
          <c:dPt>
            <c:idx val="2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410-490A-9F52-E3F58FD90434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410-490A-9F52-E3F58FD90434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410-490A-9F52-E3F58FD90434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410-490A-9F52-E3F58FD904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772</c:v>
                </c:pt>
                <c:pt idx="1">
                  <c:v>699</c:v>
                </c:pt>
                <c:pt idx="2">
                  <c:v>820</c:v>
                </c:pt>
                <c:pt idx="3">
                  <c:v>843</c:v>
                </c:pt>
                <c:pt idx="4">
                  <c:v>595</c:v>
                </c:pt>
                <c:pt idx="5">
                  <c:v>690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410-490A-9F52-E3F58FD904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进出口差额</c:v>
                </c:pt>
              </c:strCache>
            </c:strRef>
          </c:tx>
          <c:spPr>
            <a:ln w="7620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762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-144</c:v>
                </c:pt>
                <c:pt idx="1">
                  <c:v>215</c:v>
                </c:pt>
                <c:pt idx="2">
                  <c:v>-180</c:v>
                </c:pt>
                <c:pt idx="3">
                  <c:v>15</c:v>
                </c:pt>
                <c:pt idx="4">
                  <c:v>5</c:v>
                </c:pt>
                <c:pt idx="5">
                  <c:v>-210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AC9-4250-ABDE-9991989BD9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429888"/>
        <c:axId val="155432832"/>
      </c:lineChart>
      <c:catAx>
        <c:axId val="155429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65000"/>
              </a:schemeClr>
            </a:solidFill>
            <a:prstDash val="dash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5432832"/>
        <c:crosses val="autoZero"/>
        <c:auto val="1"/>
        <c:lblAlgn val="ctr"/>
        <c:lblOffset val="100"/>
        <c:noMultiLvlLbl val="0"/>
      </c:catAx>
      <c:valAx>
        <c:axId val="1554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54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38100</xdr:rowOff>
    </xdr:from>
    <xdr:to>
      <xdr:col>4</xdr:col>
      <xdr:colOff>1270</xdr:colOff>
      <xdr:row>19</xdr:row>
      <xdr:rowOff>57785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</xdr:colOff>
      <xdr:row>6</xdr:row>
      <xdr:rowOff>38100</xdr:rowOff>
    </xdr:from>
    <xdr:to>
      <xdr:col>8</xdr:col>
      <xdr:colOff>13335</xdr:colOff>
      <xdr:row>19</xdr:row>
      <xdr:rowOff>57785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6</xdr:row>
      <xdr:rowOff>123825</xdr:rowOff>
    </xdr:from>
    <xdr:to>
      <xdr:col>5</xdr:col>
      <xdr:colOff>247650</xdr:colOff>
      <xdr:row>8</xdr:row>
      <xdr:rowOff>114300</xdr:rowOff>
    </xdr:to>
    <xdr:sp macro="" textlink="">
      <xdr:nvSpPr>
        <xdr:cNvPr id="12" name="圆角矩形 11"/>
        <xdr:cNvSpPr/>
      </xdr:nvSpPr>
      <xdr:spPr>
        <a:xfrm>
          <a:off x="4371975" y="1621790"/>
          <a:ext cx="1238250" cy="4095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400">
              <a:latin typeface="微软雅黑" panose="020B0503020204020204" charset="-122"/>
              <a:ea typeface="微软雅黑" panose="020B0503020204020204" charset="-122"/>
            </a:rPr>
            <a:t>总：</a:t>
          </a:r>
          <a:r>
            <a:rPr lang="en-US" altLang="zh-CN" sz="1400">
              <a:latin typeface="微软雅黑" panose="020B0503020204020204" charset="-122"/>
              <a:ea typeface="微软雅黑" panose="020B0503020204020204" charset="-122"/>
            </a:rPr>
            <a:t>4419</a:t>
          </a:r>
        </a:p>
      </xdr:txBody>
    </xdr:sp>
    <xdr:clientData/>
  </xdr:twoCellAnchor>
  <xdr:twoCellAnchor>
    <xdr:from>
      <xdr:col>0</xdr:col>
      <xdr:colOff>47625</xdr:colOff>
      <xdr:row>19</xdr:row>
      <xdr:rowOff>95250</xdr:rowOff>
    </xdr:from>
    <xdr:to>
      <xdr:col>8</xdr:col>
      <xdr:colOff>8890</xdr:colOff>
      <xdr:row>32</xdr:row>
      <xdr:rowOff>114935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857885</xdr:colOff>
      <xdr:row>19</xdr:row>
      <xdr:rowOff>200025</xdr:rowOff>
    </xdr:from>
    <xdr:to>
      <xdr:col>7</xdr:col>
      <xdr:colOff>952500</xdr:colOff>
      <xdr:row>25</xdr:row>
      <xdr:rowOff>151765</xdr:rowOff>
    </xdr:to>
    <xdr:sp macro="" textlink="">
      <xdr:nvSpPr>
        <xdr:cNvPr id="14" name="椭圆 13"/>
        <xdr:cNvSpPr/>
      </xdr:nvSpPr>
      <xdr:spPr>
        <a:xfrm>
          <a:off x="7334885" y="4422140"/>
          <a:ext cx="1209040" cy="120904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400">
              <a:latin typeface="微软雅黑" panose="020B0503020204020204" charset="-122"/>
              <a:ea typeface="微软雅黑" panose="020B0503020204020204" charset="-122"/>
            </a:rPr>
            <a:t>总</a:t>
          </a:r>
        </a:p>
        <a:p>
          <a:pPr algn="ctr"/>
          <a:r>
            <a:rPr lang="en-US" altLang="zh-CN" sz="2400">
              <a:latin typeface="微软雅黑" panose="020B0503020204020204" charset="-122"/>
              <a:ea typeface="微软雅黑" panose="020B0503020204020204" charset="-122"/>
            </a:rPr>
            <a:t>-299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showGridLines="0" tabSelected="1" workbookViewId="0">
      <selection activeCell="K24" sqref="K24"/>
    </sheetView>
  </sheetViews>
  <sheetFormatPr defaultColWidth="9" defaultRowHeight="16.5" x14ac:dyDescent="0.15"/>
  <cols>
    <col min="1" max="1" width="11.875" style="1" customWidth="1"/>
    <col min="2" max="8" width="14.625" style="1" customWidth="1"/>
    <col min="9" max="16383" width="9" style="1"/>
  </cols>
  <sheetData>
    <row r="1" spans="1:8 16384:16384" ht="30" customHeight="1" x14ac:dyDescent="0.15">
      <c r="A1" s="5" t="s">
        <v>0</v>
      </c>
      <c r="B1" s="5"/>
      <c r="C1" s="5"/>
      <c r="D1" s="5"/>
      <c r="E1" s="5"/>
      <c r="F1" s="5"/>
      <c r="G1" s="5"/>
      <c r="H1" s="5"/>
    </row>
    <row r="2" spans="1:8 16384:16384" ht="21.9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 16384:16384" x14ac:dyDescent="0.15">
      <c r="A3" s="3" t="s">
        <v>9</v>
      </c>
      <c r="B3" s="3">
        <v>314</v>
      </c>
      <c r="C3" s="3">
        <v>457</v>
      </c>
      <c r="D3" s="3">
        <v>320</v>
      </c>
      <c r="E3" s="3">
        <v>429</v>
      </c>
      <c r="F3" s="3">
        <v>300</v>
      </c>
      <c r="G3" s="3">
        <v>240</v>
      </c>
      <c r="H3" s="3">
        <f t="shared" ref="H3:H6" si="0">SUM(B3:G3)</f>
        <v>2060</v>
      </c>
    </row>
    <row r="4" spans="1:8 16384:16384" x14ac:dyDescent="0.15">
      <c r="A4" s="4" t="s">
        <v>10</v>
      </c>
      <c r="B4" s="4">
        <v>458</v>
      </c>
      <c r="C4" s="4">
        <v>242</v>
      </c>
      <c r="D4" s="4">
        <v>500</v>
      </c>
      <c r="E4" s="4">
        <v>414</v>
      </c>
      <c r="F4" s="4">
        <v>295</v>
      </c>
      <c r="G4" s="4">
        <v>450</v>
      </c>
      <c r="H4" s="4">
        <f t="shared" si="0"/>
        <v>2359</v>
      </c>
    </row>
    <row r="5" spans="1:8 16384:16384" s="1" customFormat="1" x14ac:dyDescent="0.15">
      <c r="A5" s="3" t="s">
        <v>11</v>
      </c>
      <c r="B5" s="3">
        <f t="shared" ref="B5:G5" si="1">B3+B4</f>
        <v>772</v>
      </c>
      <c r="C5" s="3">
        <f t="shared" si="1"/>
        <v>699</v>
      </c>
      <c r="D5" s="3">
        <f t="shared" si="1"/>
        <v>820</v>
      </c>
      <c r="E5" s="3">
        <f t="shared" si="1"/>
        <v>843</v>
      </c>
      <c r="F5" s="3">
        <f t="shared" si="1"/>
        <v>595</v>
      </c>
      <c r="G5" s="3">
        <f t="shared" si="1"/>
        <v>690</v>
      </c>
      <c r="H5" s="3">
        <f t="shared" si="0"/>
        <v>4419</v>
      </c>
      <c r="XFD5"/>
    </row>
    <row r="6" spans="1:8 16384:16384" s="1" customFormat="1" x14ac:dyDescent="0.15">
      <c r="A6" s="4" t="s">
        <v>12</v>
      </c>
      <c r="B6" s="4">
        <f t="shared" ref="B6:G6" si="2">B3-B4</f>
        <v>-144</v>
      </c>
      <c r="C6" s="4">
        <f t="shared" si="2"/>
        <v>215</v>
      </c>
      <c r="D6" s="4">
        <f t="shared" si="2"/>
        <v>-180</v>
      </c>
      <c r="E6" s="4">
        <f t="shared" si="2"/>
        <v>15</v>
      </c>
      <c r="F6" s="4">
        <f t="shared" si="2"/>
        <v>5</v>
      </c>
      <c r="G6" s="4">
        <f t="shared" si="2"/>
        <v>-210</v>
      </c>
      <c r="H6" s="4">
        <f t="shared" si="0"/>
        <v>-299</v>
      </c>
      <c r="XFD6"/>
    </row>
  </sheetData>
  <mergeCells count="1">
    <mergeCell ref="A1:H1"/>
  </mergeCells>
  <phoneticPr fontId="4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2015-12-29T15:38:00Z</dcterms:created>
  <dcterms:modified xsi:type="dcterms:W3CDTF">2019-05-15T10:01:08Z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
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D13" i="1" l="1"/>
  <c r="C13" i="1"/>
  <c r="E13" i="1"/>
  <c r="B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<sst xmlns="http://schemas.openxmlformats.org/spreadsheetml/2006/main" count="17" uniqueCount="17">
  <si>
    <t>房地产月份销售总结报告</t>
  </si>
  <si>
    <t>项目</t>
  </si>
  <si>
    <t>总套数</t>
  </si>
  <si>
    <t>销售套数</t>
  </si>
  <si>
    <t>销售额(万）</t>
  </si>
  <si>
    <t>均价（万）</t>
  </si>
  <si>
    <t>万科金色梦想</t>
  </si>
  <si>
    <t>保利大都会</t>
  </si>
  <si>
    <t>碧桂园凤凰城</t>
  </si>
  <si>
    <t>越秀天静湾</t>
  </si>
  <si>
    <t>绿地城</t>
  </si>
  <si>
    <t>富力公主湾</t>
  </si>
  <si>
    <t>万科山景城</t>
  </si>
  <si>
    <t>华润万绿湖</t>
  </si>
  <si>
    <t>假日半岛</t>
  </si>
  <si>
    <t>万达文化城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</si>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</sst>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11"/>
      <color theme="1" tint="0.249977111117893"/>
      <name val="微软雅黑"/>
      <family val="2"/>
      <charset val="134"/>
    </font>
    <font>
      <sz val="18"/>
      <color theme="1" tint="0.249977111117893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AF4929"/>
      <color rgb="FFE5A28E"/>
      <color rgb="FFF6DCD5"/>
      <color rgb="FFF9E7E2"/>
      <color rgb="FFD97A6D"/>
      <color rgb="FF93472C"/>
      <color rgb="FFC73A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房屋总套数及销售套数对比一览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总套数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万科金色梦想</c:v>
                </c:pt>
                <c:pt idx="1">
                  <c:v>保利大都会</c:v>
                </c:pt>
                <c:pt idx="2">
                  <c:v>碧桂园凤凰城</c:v>
                </c:pt>
                <c:pt idx="3">
                  <c:v>越秀天静湾</c:v>
                </c:pt>
                <c:pt idx="4">
                  <c:v>绿地城</c:v>
                </c:pt>
                <c:pt idx="5">
                  <c:v>富力公主湾</c:v>
                </c:pt>
                <c:pt idx="6">
                  <c:v>万科山景城</c:v>
                </c:pt>
                <c:pt idx="7">
                  <c:v>华润万绿湖</c:v>
                </c:pt>
                <c:pt idx="8">
                  <c:v>假日半岛</c:v>
                </c:pt>
                <c:pt idx="9">
                  <c:v>万达文化城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120</c:v>
                </c:pt>
                <c:pt idx="1">
                  <c:v>161</c:v>
                </c:pt>
                <c:pt idx="2">
                  <c:v>222</c:v>
                </c:pt>
                <c:pt idx="3">
                  <c:v>270</c:v>
                </c:pt>
                <c:pt idx="4">
                  <c:v>221</c:v>
                </c:pt>
                <c:pt idx="5">
                  <c:v>225</c:v>
                </c:pt>
                <c:pt idx="6">
                  <c:v>127</c:v>
                </c:pt>
                <c:pt idx="7">
                  <c:v>275</c:v>
                </c:pt>
                <c:pt idx="8">
                  <c:v>128</c:v>
                </c:pt>
                <c:pt idx="9">
                  <c:v>214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9E-4CAF-9046-B177CD0A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axId val="154290816"/>
        <c:axId val="154300800"/>
      </c:barChart>
      <c:lineChart>
        <c:grouping val="standar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销售套数</c:v>
                </c:pt>
              </c:strCache>
            </c:strRef>
          </c:tx>
          <c:spPr>
            <a:ln w="28575" cap="rnd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tx1">
                  <a:lumMod val="75000"/>
                  <a:lumOff val="25000"/>
                </a:schemeClr>
              </a:solidFill>
              <a:ln w="222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万科金色梦想</c:v>
                </c:pt>
                <c:pt idx="1">
                  <c:v>保利大都会</c:v>
                </c:pt>
                <c:pt idx="2">
                  <c:v>碧桂园凤凰城</c:v>
                </c:pt>
                <c:pt idx="3">
                  <c:v>越秀天静湾</c:v>
                </c:pt>
                <c:pt idx="4">
                  <c:v>绿地城</c:v>
                </c:pt>
                <c:pt idx="5">
                  <c:v>富力公主湾</c:v>
                </c:pt>
                <c:pt idx="6">
                  <c:v>万科山景城</c:v>
                </c:pt>
                <c:pt idx="7">
                  <c:v>华润万绿湖</c:v>
                </c:pt>
                <c:pt idx="8">
                  <c:v>假日半岛</c:v>
                </c:pt>
                <c:pt idx="9">
                  <c:v>万达文化城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100</c:v>
                </c:pt>
                <c:pt idx="1">
                  <c:v>150</c:v>
                </c:pt>
                <c:pt idx="2">
                  <c:v>130</c:v>
                </c:pt>
                <c:pt idx="3">
                  <c:v>260</c:v>
                </c:pt>
                <c:pt idx="4">
                  <c:v>180</c:v>
                </c:pt>
                <c:pt idx="5">
                  <c:v>89</c:v>
                </c:pt>
                <c:pt idx="6">
                  <c:v>80</c:v>
                </c:pt>
                <c:pt idx="7">
                  <c:v>270</c:v>
                </c:pt>
                <c:pt idx="8">
                  <c:v>120</c:v>
                </c:pt>
                <c:pt idx="9">
                  <c:v>180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69E-4CAF-9046-B177CD0A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02336"/>
        <c:axId val="154303872"/>
      </c:lineChart>
      <c:catAx>
        <c:axId val="15429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4300800"/>
        <c:crosses val="autoZero"/>
        <c:auto val="1"/>
        <c:lblAlgn val="ctr"/>
        <c:lblOffset val="100"/>
        <c:noMultiLvlLbl val="0"/>
      </c:catAx>
      <c:valAx>
        <c:axId val="154300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290816"/>
        <c:crosses val="autoZero"/>
        <c:crossBetween val="between"/>
      </c:valAx>
      <c:catAx>
        <c:axId val="154302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303872"/>
        <c:crosses val="autoZero"/>
        <c:auto val="1"/>
        <c:lblAlgn val="ctr"/>
        <c:lblOffset val="100"/>
        <c:noMultiLvlLbl val="0"/>
      </c:catAx>
      <c:valAx>
        <c:axId val="154303872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5430233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销售额</a:t>
            </a:r>
          </a:p>
        </c:rich>
      </c:tx>
      <c:layout>
        <c:manualLayout>
          <c:xMode val="edge"/>
          <c:yMode val="edge"/>
          <c:x val="1.9858155246348302E-2"/>
          <c:y val="1.04166666666667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销售额(万）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strRef>
              <c:f>Sheet1!$A$3:$A$12</c:f>
              <c:strCache>
                <c:ptCount val="10"/>
                <c:pt idx="0">
                  <c:v>万科金色梦想</c:v>
                </c:pt>
                <c:pt idx="1">
                  <c:v>保利大都会</c:v>
                </c:pt>
                <c:pt idx="2">
                  <c:v>碧桂园凤凰城</c:v>
                </c:pt>
                <c:pt idx="3">
                  <c:v>越秀天静湾</c:v>
                </c:pt>
                <c:pt idx="4">
                  <c:v>绿地城</c:v>
                </c:pt>
                <c:pt idx="5">
                  <c:v>富力公主湾</c:v>
                </c:pt>
                <c:pt idx="6">
                  <c:v>万科山景城</c:v>
                </c:pt>
                <c:pt idx="7">
                  <c:v>华润万绿湖</c:v>
                </c:pt>
                <c:pt idx="8">
                  <c:v>假日半岛</c:v>
                </c:pt>
                <c:pt idx="9">
                  <c:v>万达文化城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5864</c:v>
                </c:pt>
                <c:pt idx="1">
                  <c:v>8988</c:v>
                </c:pt>
                <c:pt idx="2">
                  <c:v>4000</c:v>
                </c:pt>
                <c:pt idx="3">
                  <c:v>12000</c:v>
                </c:pt>
                <c:pt idx="4">
                  <c:v>3800</c:v>
                </c:pt>
                <c:pt idx="5">
                  <c:v>6708</c:v>
                </c:pt>
                <c:pt idx="6">
                  <c:v>8562</c:v>
                </c:pt>
                <c:pt idx="7">
                  <c:v>7700</c:v>
                </c:pt>
                <c:pt idx="8">
                  <c:v>5000</c:v>
                </c:pt>
                <c:pt idx="9">
                  <c:v>6800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FF-4D00-AD1A-A093DBD74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47072"/>
        <c:axId val="154148864"/>
      </c:areaChart>
      <c:lineChart>
        <c:grouping val="standar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销售额(万）</c:v>
                </c:pt>
              </c:strCache>
            </c:strRef>
          </c:tx>
          <c:spPr>
            <a:ln w="57150" cap="rnd" cmpd="sng" algn="ctr">
              <a:solidFill>
                <a:schemeClr val="bg1"/>
              </a:solidFill>
              <a:prstDash val="solid"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Sheet1!$A$3:$A$12</c:f>
              <c:strCache>
                <c:ptCount val="10"/>
                <c:pt idx="0">
                  <c:v>万科金色梦想</c:v>
                </c:pt>
                <c:pt idx="1">
                  <c:v>保利大都会</c:v>
                </c:pt>
                <c:pt idx="2">
                  <c:v>碧桂园凤凰城</c:v>
                </c:pt>
                <c:pt idx="3">
                  <c:v>越秀天静湾</c:v>
                </c:pt>
                <c:pt idx="4">
                  <c:v>绿地城</c:v>
                </c:pt>
                <c:pt idx="5">
                  <c:v>富力公主湾</c:v>
                </c:pt>
                <c:pt idx="6">
                  <c:v>万科山景城</c:v>
                </c:pt>
                <c:pt idx="7">
                  <c:v>华润万绿湖</c:v>
                </c:pt>
                <c:pt idx="8">
                  <c:v>假日半岛</c:v>
                </c:pt>
                <c:pt idx="9">
                  <c:v>万达文化城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5864</c:v>
                </c:pt>
                <c:pt idx="1">
                  <c:v>8988</c:v>
                </c:pt>
                <c:pt idx="2">
                  <c:v>4000</c:v>
                </c:pt>
                <c:pt idx="3">
                  <c:v>12000</c:v>
                </c:pt>
                <c:pt idx="4">
                  <c:v>3800</c:v>
                </c:pt>
                <c:pt idx="5">
                  <c:v>6708</c:v>
                </c:pt>
                <c:pt idx="6">
                  <c:v>8562</c:v>
                </c:pt>
                <c:pt idx="7">
                  <c:v>7700</c:v>
                </c:pt>
                <c:pt idx="8">
                  <c:v>5000</c:v>
                </c:pt>
                <c:pt idx="9">
                  <c:v>6800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3FF-4D00-AD1A-A093DBD74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47072"/>
        <c:axId val="154148864"/>
      </c:lineChart>
      <c:catAx>
        <c:axId val="15414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4148864"/>
        <c:crosses val="autoZero"/>
        <c:auto val="1"/>
        <c:lblAlgn val="ctr"/>
        <c:lblOffset val="100"/>
        <c:noMultiLvlLbl val="0"/>
      </c:catAx>
      <c:valAx>
        <c:axId val="1541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41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均价（万）</c:v>
                </c:pt>
              </c:strCache>
            </c:strRef>
          </c:tx>
          <c:spPr>
            <a:ln w="571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万科金色梦想</c:v>
                </c:pt>
                <c:pt idx="1">
                  <c:v>保利大都会</c:v>
                </c:pt>
                <c:pt idx="2">
                  <c:v>碧桂园凤凰城</c:v>
                </c:pt>
                <c:pt idx="3">
                  <c:v>越秀天静湾</c:v>
                </c:pt>
                <c:pt idx="4">
                  <c:v>绿地城</c:v>
                </c:pt>
                <c:pt idx="5">
                  <c:v>富力公主湾</c:v>
                </c:pt>
                <c:pt idx="6">
                  <c:v>万科山景城</c:v>
                </c:pt>
                <c:pt idx="7">
                  <c:v>华润万绿湖</c:v>
                </c:pt>
                <c:pt idx="8">
                  <c:v>假日半岛</c:v>
                </c:pt>
                <c:pt idx="9">
                  <c:v>万达文化城</c:v>
                </c:pt>
              </c:strCache>
            </c:strRef>
          </c:cat>
          <c:val>
            <c:numRef>
              <c:f>Sheet1!$E$3:$E$12</c:f>
              <c:numCache>
                <c:formatCode>0.00_ </c:formatCode>
                <c:ptCount val="10"/>
                <c:pt idx="0">
                  <c:v>58.64</c:v>
                </c:pt>
                <c:pt idx="1">
                  <c:v>59.92</c:v>
                </c:pt>
                <c:pt idx="2">
                  <c:v>30.77</c:v>
                </c:pt>
                <c:pt idx="3">
                  <c:v>46.15</c:v>
                </c:pt>
                <c:pt idx="4">
                  <c:v>21.11</c:v>
                </c:pt>
                <c:pt idx="5">
                  <c:v>75.37</c:v>
                </c:pt>
                <c:pt idx="6">
                  <c:v>107.03</c:v>
                </c:pt>
                <c:pt idx="7">
                  <c:v>28.52</c:v>
                </c:pt>
                <c:pt idx="8">
                  <c:v>41.67</c:v>
                </c:pt>
                <c:pt idx="9">
                  <c:v>37.78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2CF-471A-A518-5BA78856A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31648"/>
        <c:axId val="154733184"/>
      </c:lineChart>
      <c:catAx>
        <c:axId val="1547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4733184"/>
        <c:crosses val="autoZero"/>
        <c:auto val="1"/>
        <c:lblAlgn val="ctr"/>
        <c:lblOffset val="100"/>
        <c:noMultiLvlLbl val="0"/>
      </c:catAx>
      <c:valAx>
        <c:axId val="154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47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1270</xdr:rowOff>
    </xdr:from>
    <xdr:to>
      <xdr:col>14</xdr:col>
      <xdr:colOff>389890</xdr:colOff>
      <xdr:row>20</xdr:row>
      <xdr:rowOff>50165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13</xdr:row>
      <xdr:rowOff>41275</xdr:rowOff>
    </xdr:from>
    <xdr:to>
      <xdr:col>4</xdr:col>
      <xdr:colOff>955675</xdr:colOff>
      <xdr:row>31</xdr:row>
      <xdr:rowOff>88265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</xdr:colOff>
      <xdr:row>13</xdr:row>
      <xdr:rowOff>85725</xdr:rowOff>
    </xdr:from>
    <xdr:to>
      <xdr:col>4</xdr:col>
      <xdr:colOff>876300</xdr:colOff>
      <xdr:row>15</xdr:row>
      <xdr:rowOff>104775</xdr:rowOff>
    </xdr:to>
    <xdr:sp macro="" textlink="">
      <xdr:nvSpPr>
        <xdr:cNvPr id="8" name="流程图: 可选过程 7"/>
        <xdr:cNvSpPr/>
      </xdr:nvSpPr>
      <xdr:spPr>
        <a:xfrm>
          <a:off x="2705100" y="3038475"/>
          <a:ext cx="1752600" cy="438150"/>
        </a:xfrm>
        <a:prstGeom prst="flowChartAlternateProcess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400">
              <a:latin typeface="微软雅黑" panose="020B0503020204020204" charset="-122"/>
              <a:ea typeface="微软雅黑" panose="020B0503020204020204" charset="-122"/>
            </a:rPr>
            <a:t>总计：</a:t>
          </a:r>
          <a:r>
            <a:rPr lang="en-US" altLang="zh-CN" sz="1400">
              <a:latin typeface="微软雅黑" panose="020B0503020204020204" charset="-122"/>
              <a:ea typeface="微软雅黑" panose="020B0503020204020204" charset="-122"/>
            </a:rPr>
            <a:t>69422</a:t>
          </a:r>
        </a:p>
      </xdr:txBody>
    </xdr:sp>
    <xdr:clientData/>
  </xdr:twoCellAnchor>
  <xdr:twoCellAnchor>
    <xdr:from>
      <xdr:col>5</xdr:col>
      <xdr:colOff>47625</xdr:colOff>
      <xdr:row>20</xdr:row>
      <xdr:rowOff>98425</xdr:rowOff>
    </xdr:from>
    <xdr:to>
      <xdr:col>14</xdr:col>
      <xdr:colOff>390525</xdr:colOff>
      <xdr:row>31</xdr:row>
      <xdr:rowOff>79375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</xdr:colOff>
      <xdr:row>22</xdr:row>
      <xdr:rowOff>166370</xdr:rowOff>
    </xdr:from>
    <xdr:to>
      <xdr:col>11</xdr:col>
      <xdr:colOff>391160</xdr:colOff>
      <xdr:row>24</xdr:row>
      <xdr:rowOff>114300</xdr:rowOff>
    </xdr:to>
    <xdr:sp macro="" textlink="">
      <xdr:nvSpPr>
        <xdr:cNvPr id="12" name=" 12"/>
        <xdr:cNvSpPr/>
      </xdr:nvSpPr>
      <xdr:spPr>
        <a:xfrm>
          <a:off x="8705850" y="5005070"/>
          <a:ext cx="343535" cy="367030"/>
        </a:xfrm>
        <a:prstGeom prst="star5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tabSelected="1" workbookViewId="0">
      <selection activeCell="T25" sqref="T25"/>
    </sheetView>
  </sheetViews>
  <sheetFormatPr defaultColWidth="9" defaultRowHeight="16.5" x14ac:dyDescent="0.15"/>
  <cols>
    <col min="1" max="1" width="15" style="1" customWidth="1"/>
    <col min="2" max="3" width="9" style="1"/>
    <col min="4" max="4" width="14" style="1" customWidth="1"/>
    <col min="5" max="5" width="12.625" style="1"/>
    <col min="6" max="16384" width="9" style="1"/>
  </cols>
  <sheetData>
    <row r="1" spans="1:5" ht="27.95" customHeight="1" x14ac:dyDescent="0.15">
      <c r="A1" s="7" t="s">
        <v>0</v>
      </c>
      <c r="B1" s="7"/>
      <c r="C1" s="7"/>
      <c r="D1" s="7"/>
      <c r="E1" s="7"/>
    </row>
    <row r="2" spans="1:5" ht="23.1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15">
      <c r="A3" s="3" t="s">
        <v>6</v>
      </c>
      <c r="B3" s="3">
        <v>120</v>
      </c>
      <c r="C3" s="3">
        <v>100</v>
      </c>
      <c r="D3" s="3">
        <v>5864</v>
      </c>
      <c r="E3" s="4">
        <f>ROUND(D3/C3,2)</f>
        <v>58.64</v>
      </c>
    </row>
    <row r="4" spans="1:5" x14ac:dyDescent="0.15">
      <c r="A4" s="5" t="s">
        <v>7</v>
      </c>
      <c r="B4" s="5">
        <v>161</v>
      </c>
      <c r="C4" s="5">
        <v>150</v>
      </c>
      <c r="D4" s="5">
        <v>8988</v>
      </c>
      <c r="E4" s="6">
        <f t="shared" ref="E4:E13" si="0">ROUND(D4/C4,2)</f>
        <v>59.92</v>
      </c>
    </row>
    <row r="5" spans="1:5" x14ac:dyDescent="0.15">
      <c r="A5" s="3" t="s">
        <v>8</v>
      </c>
      <c r="B5" s="3">
        <v>222</v>
      </c>
      <c r="C5" s="3">
        <v>130</v>
      </c>
      <c r="D5" s="3">
        <v>4000</v>
      </c>
      <c r="E5" s="4">
        <f t="shared" si="0"/>
        <v>30.77</v>
      </c>
    </row>
    <row r="6" spans="1:5" x14ac:dyDescent="0.15">
      <c r="A6" s="5" t="s">
        <v>9</v>
      </c>
      <c r="B6" s="5">
        <v>270</v>
      </c>
      <c r="C6" s="5">
        <v>260</v>
      </c>
      <c r="D6" s="5">
        <v>12000</v>
      </c>
      <c r="E6" s="6">
        <f t="shared" si="0"/>
        <v>46.15</v>
      </c>
    </row>
    <row r="7" spans="1:5" x14ac:dyDescent="0.15">
      <c r="A7" s="3" t="s">
        <v>10</v>
      </c>
      <c r="B7" s="3">
        <v>221</v>
      </c>
      <c r="C7" s="3">
        <v>180</v>
      </c>
      <c r="D7" s="3">
        <v>3800</v>
      </c>
      <c r="E7" s="4">
        <f t="shared" si="0"/>
        <v>21.11</v>
      </c>
    </row>
    <row r="8" spans="1:5" x14ac:dyDescent="0.15">
      <c r="A8" s="5" t="s">
        <v>11</v>
      </c>
      <c r="B8" s="5">
        <v>225</v>
      </c>
      <c r="C8" s="5">
        <v>89</v>
      </c>
      <c r="D8" s="5">
        <v>6708</v>
      </c>
      <c r="E8" s="6">
        <f t="shared" si="0"/>
        <v>75.37</v>
      </c>
    </row>
    <row r="9" spans="1:5" x14ac:dyDescent="0.15">
      <c r="A9" s="3" t="s">
        <v>12</v>
      </c>
      <c r="B9" s="3">
        <v>127</v>
      </c>
      <c r="C9" s="3">
        <v>80</v>
      </c>
      <c r="D9" s="3">
        <v>8562</v>
      </c>
      <c r="E9" s="4">
        <f t="shared" si="0"/>
        <v>107.03</v>
      </c>
    </row>
    <row r="10" spans="1:5" x14ac:dyDescent="0.15">
      <c r="A10" s="5" t="s">
        <v>13</v>
      </c>
      <c r="B10" s="5">
        <v>275</v>
      </c>
      <c r="C10" s="5">
        <v>270</v>
      </c>
      <c r="D10" s="5">
        <v>7700</v>
      </c>
      <c r="E10" s="6">
        <f t="shared" si="0"/>
        <v>28.52</v>
      </c>
    </row>
    <row r="11" spans="1:5" x14ac:dyDescent="0.15">
      <c r="A11" s="3" t="s">
        <v>14</v>
      </c>
      <c r="B11" s="3">
        <v>128</v>
      </c>
      <c r="C11" s="3">
        <v>120</v>
      </c>
      <c r="D11" s="3">
        <v>5000</v>
      </c>
      <c r="E11" s="4">
        <f t="shared" si="0"/>
        <v>41.67</v>
      </c>
    </row>
    <row r="12" spans="1:5" x14ac:dyDescent="0.15">
      <c r="A12" s="5" t="s">
        <v>15</v>
      </c>
      <c r="B12" s="5">
        <v>214</v>
      </c>
      <c r="C12" s="5">
        <v>180</v>
      </c>
      <c r="D12" s="5">
        <v>6800</v>
      </c>
      <c r="E12" s="6">
        <f t="shared" si="0"/>
        <v>37.78</v>
      </c>
    </row>
    <row r="13" spans="1:5" x14ac:dyDescent="0.15">
      <c r="A13" s="3" t="s">
        <v>16</v>
      </c>
      <c r="B13" s="3">
        <f>SUM(B3:B12)</f>
        <v>1963</v>
      </c>
      <c r="C13" s="3">
        <f>SUM(C3:C12)</f>
        <v>1559</v>
      </c>
      <c r="D13" s="3">
        <f>SUM(D3:D12)</f>
        <v>69422</v>
      </c>
      <c r="E13" s="4">
        <f t="shared" si="0"/>
        <v>44.53</v>
      </c>
    </row>
  </sheetData>
  <mergeCells count="1">
    <mergeCell ref="A1:E1"/>
  </mergeCells>
  <phoneticPr fontId="4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2016-01-03T10:29:00Z</dcterms:created>
  <dcterms:modified xsi:type="dcterms:W3CDTF">2019-05-15T10:06:17Z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
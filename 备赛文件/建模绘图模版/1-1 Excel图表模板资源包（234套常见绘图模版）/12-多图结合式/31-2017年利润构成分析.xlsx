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C3" i="2"/>
  <c r="B25" i="1"/>
  <c r="B24" i="1"/>
  <c r="B23" i="1"/>
  <c r="B22" i="1"/>
  <c r="B21" i="1"/>
  <c r="B20" i="1"/>
  <c r="B19" i="1"/>
  <c r="B18" i="1"/>
  <c r="B17" i="1"/>
  <c r="B16" i="1"/>
  <c r="B15" i="1"/>
  <c r="B13" i="1"/>
</calcChain>
</file>

<file path=xl/sharedStrings.xml><?xml version="1.0" encoding="utf-8"?>
<sst xmlns="http://schemas.openxmlformats.org/spreadsheetml/2006/main" count="34" uniqueCount="18">
  <si>
    <t>2017年利润统计（单位：万元）</t>
  </si>
  <si>
    <t>月份</t>
  </si>
  <si>
    <t>辅助数据</t>
  </si>
  <si>
    <t>月利润</t>
  </si>
  <si>
    <t>年利润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</si>
  <si>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</si>
  <si>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</si>
  <si>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</si>
  <si>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</si>
  <si>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</si>
  <si>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</si>
  <si>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</si>
  <si>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</si>
  <si>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</si>
  <si>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</si>
  <si>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</si>
  <si>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</si>
  <si>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2015年利润统计（单位：万元）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</si>
</sst>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</font>
    <font>
      <sz val="20"/>
      <color theme="1"/>
      <name val="宋体"/>
      <family val="3"/>
      <charset val="134"/>
    </font>
    <font>
      <sz val="20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double">
        <color theme="4" tint="0.39991454817346722"/>
      </left>
      <right style="double">
        <color theme="4" tint="0.39991454817346722"/>
      </right>
      <top style="double">
        <color theme="4" tint="0.39991454817346722"/>
      </top>
      <bottom style="double">
        <color theme="4" tint="0.39991454817346722"/>
      </bottom>
      <diagonal/>
    </border>
    <border>
      <left style="double">
        <color theme="4" tint="0.39991454817346722"/>
      </left>
      <right/>
      <top style="double">
        <color theme="4" tint="0.39991454817346722"/>
      </top>
      <bottom style="double">
        <color theme="4" tint="0.39991454817346722"/>
      </bottom>
      <diagonal/>
    </border>
    <border>
      <left/>
      <right style="double">
        <color theme="4" tint="0.39991454817346722"/>
      </right>
      <top style="double">
        <color theme="4" tint="0.39991454817346722"/>
      </top>
      <bottom style="double">
        <color theme="4" tint="0.3999145481734672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90979766769696E-2"/>
          <c:y val="0.208742053471629"/>
          <c:w val="0.84123174476608098"/>
          <c:h val="0.687487205054166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辅助数据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45323005510387"/>
                  <c:y val="4.2036783025883301E-7"/>
                </c:manualLayout>
              </c:layout>
              <c:tx>
                <c:rich>
                  <a:bodyPr/>
                  <a:lstStyle/>
                  <a:p>
                    <a:fld id="{9C348CB8-A268-4CDC-9052-C32F5EF6E844}" type="VALUE">
                      <a:rPr lang="en-US" altLang="zh-CN"/>
                      <a:pPr/>
                      <a:t>[值]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10CB-4783-9089-BB85DD10A804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CB-4783-9089-BB85DD10A804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CB-4783-9089-BB85DD10A804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CB-4783-9089-BB85DD10A804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CB-4783-9089-BB85DD10A804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CB-4783-9089-BB85DD10A804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CB-4783-9089-BB85DD10A804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CB-4783-9089-BB85DD10A804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CB-4783-9089-BB85DD10A804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CB-4783-9089-BB85DD10A804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CB-4783-9089-BB85DD10A804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CB-4783-9089-BB85DD10A804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CB-4783-9089-BB85DD10A8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Sheet1!$A$13:$A$25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Sheet1!$B$13:$B$25</c:f>
              <c:numCache>
                <c:formatCode>General</c:formatCode>
                <c:ptCount val="13"/>
                <c:pt idx="0">
                  <c:v>6782</c:v>
                </c:pt>
                <c:pt idx="2">
                  <c:v>563</c:v>
                </c:pt>
                <c:pt idx="3">
                  <c:v>1318</c:v>
                </c:pt>
                <c:pt idx="4">
                  <c:v>1959</c:v>
                </c:pt>
                <c:pt idx="5">
                  <c:v>2537</c:v>
                </c:pt>
                <c:pt idx="6">
                  <c:v>3049</c:v>
                </c:pt>
                <c:pt idx="7">
                  <c:v>3538</c:v>
                </c:pt>
                <c:pt idx="8">
                  <c:v>3950</c:v>
                </c:pt>
                <c:pt idx="9">
                  <c:v>4309</c:v>
                </c:pt>
                <c:pt idx="10">
                  <c:v>4730</c:v>
                </c:pt>
                <c:pt idx="11">
                  <c:v>5228</c:v>
                </c:pt>
                <c:pt idx="12">
                  <c:v>5784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10CB-4783-9089-BB85DD10A804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月利润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1113563336228499E-2"/>
                  <c:y val="2.4468628122636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10CB-4783-9089-BB85DD10A804}"/>
                </c:ext>
              </c:extLst>
            </c:dLbl>
            <c:dLbl>
              <c:idx val="2"/>
              <c:layout>
                <c:manualLayout>
                  <c:x val="7.2778877323878804E-2"/>
                  <c:y val="4.893725624527240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10CB-4783-9089-BB85DD10A804}"/>
                </c:ext>
              </c:extLst>
            </c:dLbl>
            <c:dLbl>
              <c:idx val="3"/>
              <c:layout>
                <c:manualLayout>
                  <c:x val="6.8263682229594697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10CB-4783-9089-BB85DD10A804}"/>
                </c:ext>
              </c:extLst>
            </c:dLbl>
            <c:dLbl>
              <c:idx val="4"/>
              <c:layout>
                <c:manualLayout>
                  <c:x val="6.2024841831479903E-2"/>
                  <c:y val="4.8937256245272401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10CB-4783-9089-BB85DD10A804}"/>
                </c:ext>
              </c:extLst>
            </c:dLbl>
            <c:dLbl>
              <c:idx val="5"/>
              <c:layout>
                <c:manualLayout>
                  <c:x val="5.56039355840014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10CB-4783-9089-BB85DD10A804}"/>
                </c:ext>
              </c:extLst>
            </c:dLbl>
            <c:dLbl>
              <c:idx val="6"/>
              <c:layout>
                <c:manualLayout>
                  <c:x val="5.902863407896800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10CB-4783-9089-BB85DD10A804}"/>
                </c:ext>
              </c:extLst>
            </c:dLbl>
            <c:dLbl>
              <c:idx val="7"/>
              <c:layout>
                <c:manualLayout>
                  <c:x val="5.4350547953657603E-2"/>
                  <c:y val="9.78745124905447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10CB-4783-9089-BB85DD10A804}"/>
                </c:ext>
              </c:extLst>
            </c:dLbl>
            <c:dLbl>
              <c:idx val="8"/>
              <c:layout>
                <c:manualLayout>
                  <c:x val="5.3541408589749102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10CB-4783-9089-BB85DD10A804}"/>
                </c:ext>
              </c:extLst>
            </c:dLbl>
            <c:dLbl>
              <c:idx val="9"/>
              <c:layout>
                <c:manualLayout>
                  <c:x val="5.4897315050808498E-2"/>
                  <c:y val="9.787451249054470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10CB-4783-9089-BB85DD10A804}"/>
                </c:ext>
              </c:extLst>
            </c:dLbl>
            <c:dLbl>
              <c:idx val="10"/>
              <c:layout>
                <c:manualLayout>
                  <c:x val="5.9575591025805202E-2"/>
                  <c:y val="2.66933572214369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10CB-4783-9089-BB85DD10A804}"/>
                </c:ext>
              </c:extLst>
            </c:dLbl>
            <c:dLbl>
              <c:idx val="11"/>
              <c:layout>
                <c:manualLayout>
                  <c:x val="6.4740986324077696E-2"/>
                  <c:y val="2.4790286570754701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10CB-4783-9089-BB85DD10A804}"/>
                </c:ext>
              </c:extLst>
            </c:dLbl>
            <c:dLbl>
              <c:idx val="12"/>
              <c:layout>
                <c:manualLayout>
                  <c:x val="7.5326250885306006E-2"/>
                  <c:y val="1.683634242689480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10CB-4783-9089-BB85DD10A8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Sheet1!$A$13:$A$25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Sheet1!$C$13:$C$25</c:f>
              <c:numCache>
                <c:formatCode>General</c:formatCode>
                <c:ptCount val="13"/>
                <c:pt idx="1">
                  <c:v>563</c:v>
                </c:pt>
                <c:pt idx="2">
                  <c:v>755</c:v>
                </c:pt>
                <c:pt idx="3">
                  <c:v>641</c:v>
                </c:pt>
                <c:pt idx="4">
                  <c:v>578</c:v>
                </c:pt>
                <c:pt idx="5">
                  <c:v>512</c:v>
                </c:pt>
                <c:pt idx="6">
                  <c:v>489</c:v>
                </c:pt>
                <c:pt idx="7">
                  <c:v>412</c:v>
                </c:pt>
                <c:pt idx="8">
                  <c:v>359</c:v>
                </c:pt>
                <c:pt idx="9">
                  <c:v>421</c:v>
                </c:pt>
                <c:pt idx="10">
                  <c:v>498</c:v>
                </c:pt>
                <c:pt idx="11">
                  <c:v>556</c:v>
                </c:pt>
                <c:pt idx="12">
                  <c:v>998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10CB-4783-9089-BB85DD10A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47958784"/>
        <c:axId val="148457344"/>
      </c:barChart>
      <c:catAx>
        <c:axId val="14795878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48457344"/>
        <c:crosses val="autoZero"/>
        <c:auto val="1"/>
        <c:lblAlgn val="ctr"/>
        <c:lblOffset val="100"/>
        <c:noMultiLvlLbl val="0"/>
      </c:catAx>
      <c:valAx>
        <c:axId val="14845734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4795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0435729569460194E-2"/>
          <c:y val="0.127812580189129"/>
          <c:w val="0.85986140711341397"/>
          <c:h val="0.7588453713846720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辅助数据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Sheet2!$A$3:$A$15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Sheet2!$B$3:$B$15</c:f>
              <c:numCache>
                <c:formatCode>General</c:formatCode>
                <c:ptCount val="13"/>
                <c:pt idx="2">
                  <c:v>563</c:v>
                </c:pt>
                <c:pt idx="3">
                  <c:v>1318</c:v>
                </c:pt>
                <c:pt idx="4">
                  <c:v>1959</c:v>
                </c:pt>
                <c:pt idx="5">
                  <c:v>2537</c:v>
                </c:pt>
                <c:pt idx="6">
                  <c:v>3049</c:v>
                </c:pt>
                <c:pt idx="7">
                  <c:v>3538</c:v>
                </c:pt>
                <c:pt idx="8">
                  <c:v>3950</c:v>
                </c:pt>
                <c:pt idx="9">
                  <c:v>4309</c:v>
                </c:pt>
                <c:pt idx="10">
                  <c:v>4730</c:v>
                </c:pt>
                <c:pt idx="11">
                  <c:v>5228</c:v>
                </c:pt>
                <c:pt idx="12">
                  <c:v>5784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BA-4791-927D-26DA4EF72DF4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月利润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44359949302915103"/>
                  <c:y val="2.63455113703275E-7"/>
                </c:manualLayout>
              </c:layout>
              <c:tx>
                <c:rich>
                  <a:bodyPr/>
                  <a:lstStyle/>
                  <a:p>
                    <a:fld id="{9C591AE1-EF50-448E-97BA-CED51E7D3F4A}" type="VALUE">
                      <a:rPr lang="zh-CN" altLang="en-US"/>
                      <a:pPr/>
                      <a:t>[值]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3BA-4791-927D-26DA4EF72DF4}"/>
                </c:ext>
              </c:extLst>
            </c:dLbl>
            <c:dLbl>
              <c:idx val="1"/>
              <c:layout>
                <c:manualLayout>
                  <c:x val="5.83016476552598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BA-4791-927D-26DA4EF72DF4}"/>
                </c:ext>
              </c:extLst>
            </c:dLbl>
            <c:dLbl>
              <c:idx val="2"/>
              <c:layout>
                <c:manualLayout>
                  <c:x val="7.097591888466410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BA-4791-927D-26DA4EF72DF4}"/>
                </c:ext>
              </c:extLst>
            </c:dLbl>
            <c:dLbl>
              <c:idx val="3"/>
              <c:layout>
                <c:manualLayout>
                  <c:x val="6.59062103929023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BA-4791-927D-26DA4EF72DF4}"/>
                </c:ext>
              </c:extLst>
            </c:dLbl>
            <c:dLbl>
              <c:idx val="4"/>
              <c:layout>
                <c:manualLayout>
                  <c:x val="6.59062103929023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BA-4791-927D-26DA4EF72DF4}"/>
                </c:ext>
              </c:extLst>
            </c:dLbl>
            <c:dLbl>
              <c:idx val="5"/>
              <c:layout>
                <c:manualLayout>
                  <c:x val="5.57667934093789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BA-4791-927D-26DA4EF72DF4}"/>
                </c:ext>
              </c:extLst>
            </c:dLbl>
            <c:dLbl>
              <c:idx val="6"/>
              <c:layout>
                <c:manualLayout>
                  <c:x val="6.0836501901140698E-2"/>
                  <c:y val="6.134042369743700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BA-4791-927D-26DA4EF72DF4}"/>
                </c:ext>
              </c:extLst>
            </c:dLbl>
            <c:dLbl>
              <c:idx val="7"/>
              <c:layout>
                <c:manualLayout>
                  <c:x val="5.8301647655259803E-2"/>
                  <c:y val="3.345879944031660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BA-4791-927D-26DA4EF72DF4}"/>
                </c:ext>
              </c:extLst>
            </c:dLbl>
            <c:dLbl>
              <c:idx val="8"/>
              <c:layout>
                <c:manualLayout>
                  <c:x val="4.5627376425855501E-2"/>
                  <c:y val="1.22680847394874E-1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BA-4791-927D-26DA4EF72DF4}"/>
                </c:ext>
              </c:extLst>
            </c:dLbl>
            <c:dLbl>
              <c:idx val="9"/>
              <c:layout>
                <c:manualLayout>
                  <c:x val="5.8301647655259803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BA-4791-927D-26DA4EF72DF4}"/>
                </c:ext>
              </c:extLst>
            </c:dLbl>
            <c:dLbl>
              <c:idx val="10"/>
              <c:layout>
                <c:manualLayout>
                  <c:x val="5.57667934093789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BA-4791-927D-26DA4EF72DF4}"/>
                </c:ext>
              </c:extLst>
            </c:dLbl>
            <c:dLbl>
              <c:idx val="11"/>
              <c:layout>
                <c:manualLayout>
                  <c:x val="6.0836501901140698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3BA-4791-927D-26DA4EF72DF4}"/>
                </c:ext>
              </c:extLst>
            </c:dLbl>
            <c:dLbl>
              <c:idx val="12"/>
              <c:layout>
                <c:manualLayout>
                  <c:x val="6.0836501901140698E-2"/>
                  <c:y val="-3.345616488917890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3BA-4791-927D-26DA4EF72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Sheet2!$A$3:$A$15</c:f>
              <c:strCache>
                <c:ptCount val="13"/>
                <c:pt idx="0">
                  <c:v>年利润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  <c:pt idx="11">
                  <c:v>11月</c:v>
                </c:pt>
                <c:pt idx="12">
                  <c:v>12月</c:v>
                </c:pt>
              </c:strCache>
            </c:strRef>
          </c:cat>
          <c:val>
            <c:numRef>
              <c:f>Sheet2!$C$3:$C$15</c:f>
              <c:numCache>
                <c:formatCode>General</c:formatCode>
                <c:ptCount val="13"/>
                <c:pt idx="0">
                  <c:v>6382</c:v>
                </c:pt>
                <c:pt idx="1">
                  <c:v>563</c:v>
                </c:pt>
                <c:pt idx="2">
                  <c:v>755</c:v>
                </c:pt>
                <c:pt idx="3">
                  <c:v>641</c:v>
                </c:pt>
                <c:pt idx="4">
                  <c:v>578</c:v>
                </c:pt>
                <c:pt idx="5">
                  <c:v>512</c:v>
                </c:pt>
                <c:pt idx="6">
                  <c:v>489</c:v>
                </c:pt>
                <c:pt idx="7">
                  <c:v>412</c:v>
                </c:pt>
                <c:pt idx="8">
                  <c:v>359</c:v>
                </c:pt>
                <c:pt idx="9">
                  <c:v>421</c:v>
                </c:pt>
                <c:pt idx="10">
                  <c:v>498</c:v>
                </c:pt>
                <c:pt idx="11">
                  <c:v>556</c:v>
                </c:pt>
                <c:pt idx="12">
                  <c:v>598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C3BA-4791-927D-26DA4EF72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50092416"/>
        <c:axId val="150118784"/>
      </c:barChart>
      <c:catAx>
        <c:axId val="150092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118784"/>
        <c:crosses val="autoZero"/>
        <c:auto val="1"/>
        <c:lblAlgn val="ctr"/>
        <c:lblOffset val="100"/>
        <c:noMultiLvlLbl val="0"/>
      </c:catAx>
      <c:valAx>
        <c:axId val="15011878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009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66676</xdr:colOff>
      <xdr:row>1</xdr:row>
      <xdr:rowOff>0</xdr:rowOff>
    </xdr:from>
    <xdr:to>
      <xdr:col>11</xdr:col>
      <xdr:colOff>581026</xdr:colOff>
      <xdr:row>25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3</xdr:col>
      <xdr:colOff>19050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95850" cy="267779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0.003</cdr:y>
    </cdr:from>
    <cdr:to>
      <cdr:x>1</cdr:x>
      <cdr:y>0.14314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0" y="14288"/>
          <a:ext cx="5267325" cy="666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0.003</cdr:y>
    </cdr:from>
    <cdr:to>
      <cdr:x>1</cdr:x>
      <cdr:y>0.10793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0" y="21974"/>
          <a:ext cx="6448425" cy="76860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5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月份、</a:t>
          </a:r>
          <a:r>
            <a:rPr lang="en-US" altLang="zh-CN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月份和</a:t>
          </a:r>
          <a:r>
            <a:rPr lang="en-US" altLang="zh-CN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12</a:t>
          </a:r>
          <a:r>
            <a:rPr lang="zh-CN" altLang="en-US" sz="15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月份销售利润最高</a:t>
          </a:r>
          <a:endParaRPr lang="en-US" altLang="zh-CN" sz="1500" b="1">
            <a:solidFill>
              <a:schemeClr val="bg1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 xmlns:a="http://schemas.openxmlformats.org/drawingml/2006/main">
          <a:r>
            <a:rPr lang="en-US" altLang="zh-CN" sz="12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2017</a:t>
          </a:r>
          <a:r>
            <a:rPr lang="zh-CN" altLang="en-US" sz="1200" b="0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年销售利润统计</a:t>
          </a:r>
        </a:p>
      </cdr:txBody>
    </cdr:sp>
  </cdr:relSizeAnchor>
  <cdr:relSizeAnchor xmlns:cdr="http://schemas.openxmlformats.org/drawingml/2006/chartDrawing">
    <cdr:from>
      <cdr:x>0.04702</cdr:x>
      <cdr:y>0.92593</cdr:y>
    </cdr:from>
    <cdr:to>
      <cdr:x>0.32188</cdr:x>
      <cdr:y>1</cdr:y>
    </cdr:to>
    <cdr:sp macro="" textlink="">
      <cdr:nvSpPr>
        <cdr:cNvPr id="4" name="矩形 3"/>
        <cdr:cNvSpPr/>
      </cdr:nvSpPr>
      <cdr:spPr>
        <a:xfrm xmlns:a="http://schemas.openxmlformats.org/drawingml/2006/main">
          <a:off x="247650" y="4405313"/>
          <a:ext cx="1447800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zh-CN" altLang="en-US" sz="1000">
              <a:latin typeface="微软雅黑" panose="020B0503020204020204" pitchFamily="34" charset="-122"/>
              <a:ea typeface="微软雅黑" panose="020B0503020204020204" pitchFamily="34" charset="-122"/>
            </a:rPr>
            <a:t>数据来源：销售部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133349</xdr:colOff>
      <xdr:row>8</xdr:row>
      <xdr:rowOff>100011</xdr:rowOff>
    </xdr:from>
    <xdr:to>
      <xdr:col>17</xdr:col>
      <xdr:colOff>523874</xdr:colOff>
      <xdr:row>30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5"/>
  <sheetViews>
    <sheetView showGridLines="0" tabSelected="1" zoomScale="80" zoomScaleNormal="80" workbookViewId="0">
      <selection activeCell="S25" sqref="S25"/>
    </sheetView>
  </sheetViews>
  <sheetFormatPr defaultColWidth="9" defaultRowHeight="13.5" x14ac:dyDescent="0.15"/>
  <cols>
    <col min="1" max="2" width="17.625" customWidth="1"/>
    <col min="3" max="3" width="28.75" customWidth="1"/>
  </cols>
  <sheetData>
    <row r="2" spans="1:3" ht="24.95" customHeight="1" x14ac:dyDescent="0.15"/>
    <row r="3" spans="1:3" ht="24.95" customHeight="1" x14ac:dyDescent="0.15"/>
    <row r="4" spans="1:3" ht="24.95" customHeight="1" x14ac:dyDescent="0.15"/>
    <row r="5" spans="1:3" ht="24.95" customHeight="1" x14ac:dyDescent="0.15"/>
    <row r="6" spans="1:3" ht="24.95" customHeight="1" x14ac:dyDescent="0.15"/>
    <row r="7" spans="1:3" ht="24.95" customHeight="1" x14ac:dyDescent="0.15"/>
    <row r="8" spans="1:3" ht="24.95" customHeight="1" x14ac:dyDescent="0.15"/>
    <row r="9" spans="1:3" ht="24.95" customHeight="1" x14ac:dyDescent="0.15"/>
    <row r="10" spans="1:3" ht="24.95" customHeight="1" x14ac:dyDescent="0.15"/>
    <row r="11" spans="1:3" ht="24.95" customHeight="1" x14ac:dyDescent="0.15">
      <c r="A11" s="4" t="s">
        <v>0</v>
      </c>
      <c r="B11" s="5"/>
      <c r="C11" s="5"/>
    </row>
    <row r="12" spans="1:3" ht="24.95" customHeight="1" x14ac:dyDescent="0.15">
      <c r="A12" s="1" t="s">
        <v>1</v>
      </c>
      <c r="B12" s="2" t="s">
        <v>2</v>
      </c>
      <c r="C12" s="2" t="s">
        <v>3</v>
      </c>
    </row>
    <row r="13" spans="1:3" ht="24.95" customHeight="1" x14ac:dyDescent="0.15">
      <c r="A13" s="3" t="s">
        <v>4</v>
      </c>
      <c r="B13" s="6">
        <f>SUM(C14:C25)</f>
        <v>6782</v>
      </c>
      <c r="C13" s="7"/>
    </row>
    <row r="14" spans="1:3" ht="24.95" customHeight="1" x14ac:dyDescent="0.15">
      <c r="A14" s="3" t="s">
        <v>5</v>
      </c>
      <c r="B14" s="3"/>
      <c r="C14" s="3">
        <v>563</v>
      </c>
    </row>
    <row r="15" spans="1:3" ht="24.95" customHeight="1" x14ac:dyDescent="0.15">
      <c r="A15" s="3" t="s">
        <v>6</v>
      </c>
      <c r="B15" s="3">
        <f>SUM($C$14:C14)</f>
        <v>563</v>
      </c>
      <c r="C15" s="3">
        <v>755</v>
      </c>
    </row>
    <row r="16" spans="1:3" ht="24.95" customHeight="1" x14ac:dyDescent="0.15">
      <c r="A16" s="3" t="s">
        <v>7</v>
      </c>
      <c r="B16" s="3">
        <f>SUM($C$14:C15)</f>
        <v>1318</v>
      </c>
      <c r="C16" s="3">
        <v>641</v>
      </c>
    </row>
    <row r="17" spans="1:3" ht="24.95" customHeight="1" x14ac:dyDescent="0.15">
      <c r="A17" s="3" t="s">
        <v>8</v>
      </c>
      <c r="B17" s="3">
        <f>SUM($C$14:C16)</f>
        <v>1959</v>
      </c>
      <c r="C17" s="3">
        <v>578</v>
      </c>
    </row>
    <row r="18" spans="1:3" ht="24.95" customHeight="1" x14ac:dyDescent="0.15">
      <c r="A18" s="3" t="s">
        <v>9</v>
      </c>
      <c r="B18" s="3">
        <f>SUM($C$14:C17)</f>
        <v>2537</v>
      </c>
      <c r="C18" s="3">
        <v>512</v>
      </c>
    </row>
    <row r="19" spans="1:3" ht="24.95" customHeight="1" x14ac:dyDescent="0.15">
      <c r="A19" s="3" t="s">
        <v>10</v>
      </c>
      <c r="B19" s="3">
        <f>SUM($C$14:C18)</f>
        <v>3049</v>
      </c>
      <c r="C19" s="3">
        <v>489</v>
      </c>
    </row>
    <row r="20" spans="1:3" ht="24.95" customHeight="1" x14ac:dyDescent="0.15">
      <c r="A20" s="3" t="s">
        <v>11</v>
      </c>
      <c r="B20" s="3">
        <f>SUM($C$14:C19)</f>
        <v>3538</v>
      </c>
      <c r="C20" s="3">
        <v>412</v>
      </c>
    </row>
    <row r="21" spans="1:3" ht="24.95" customHeight="1" x14ac:dyDescent="0.15">
      <c r="A21" s="3" t="s">
        <v>12</v>
      </c>
      <c r="B21" s="3">
        <f>SUM($C$14:C20)</f>
        <v>3950</v>
      </c>
      <c r="C21" s="3">
        <v>359</v>
      </c>
    </row>
    <row r="22" spans="1:3" ht="24.95" customHeight="1" x14ac:dyDescent="0.15">
      <c r="A22" s="3" t="s">
        <v>13</v>
      </c>
      <c r="B22" s="3">
        <f>SUM($C$14:C21)</f>
        <v>4309</v>
      </c>
      <c r="C22" s="3">
        <v>421</v>
      </c>
    </row>
    <row r="23" spans="1:3" ht="24.95" customHeight="1" x14ac:dyDescent="0.15">
      <c r="A23" s="3" t="s">
        <v>14</v>
      </c>
      <c r="B23" s="3">
        <f>SUM($C$14:C22)</f>
        <v>4730</v>
      </c>
      <c r="C23" s="3">
        <v>498</v>
      </c>
    </row>
    <row r="24" spans="1:3" ht="24.95" customHeight="1" x14ac:dyDescent="0.15">
      <c r="A24" s="3" t="s">
        <v>15</v>
      </c>
      <c r="B24" s="3">
        <f>SUM($C$14:C23)</f>
        <v>5228</v>
      </c>
      <c r="C24" s="3">
        <v>556</v>
      </c>
    </row>
    <row r="25" spans="1:3" ht="24.95" customHeight="1" x14ac:dyDescent="0.15">
      <c r="A25" s="3" t="s">
        <v>16</v>
      </c>
      <c r="B25" s="3">
        <f>SUM($C$14:C24)</f>
        <v>5784</v>
      </c>
      <c r="C25" s="3">
        <v>998</v>
      </c>
    </row>
  </sheetData>
  <mergeCells count="2">
    <mergeCell ref="A11:C11"/>
    <mergeCell ref="B13:C13"/>
  </mergeCells>
  <phoneticPr fontId="7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opLeftCell="F8" workbookViewId="0">
      <selection activeCell="U26" sqref="U26"/>
    </sheetView>
  </sheetViews>
  <sheetFormatPr defaultColWidth="9" defaultRowHeight="13.5" x14ac:dyDescent="0.15"/>
  <cols>
    <col min="1" max="1" width="15.875" customWidth="1"/>
    <col min="2" max="2" width="17.25" customWidth="1"/>
    <col min="3" max="3" width="16.125" customWidth="1"/>
  </cols>
  <sheetData>
    <row r="1" spans="1:3" x14ac:dyDescent="0.15">
      <c r="A1" s="8" t="s">
        <v>17</v>
      </c>
      <c r="B1" s="8"/>
      <c r="C1" s="8"/>
    </row>
    <row r="2" spans="1:3" x14ac:dyDescent="0.15">
      <c r="A2" t="s">
        <v>1</v>
      </c>
      <c r="B2" t="s">
        <v>2</v>
      </c>
      <c r="C2" t="s">
        <v>3</v>
      </c>
    </row>
    <row r="3" spans="1:3" x14ac:dyDescent="0.15">
      <c r="A3" t="s">
        <v>4</v>
      </c>
      <c r="C3">
        <f>SUM(C4:C15)</f>
        <v>6382</v>
      </c>
    </row>
    <row r="4" spans="1:3" x14ac:dyDescent="0.15">
      <c r="A4" t="s">
        <v>5</v>
      </c>
      <c r="C4">
        <v>563</v>
      </c>
    </row>
    <row r="5" spans="1:3" x14ac:dyDescent="0.15">
      <c r="A5" t="s">
        <v>6</v>
      </c>
      <c r="B5">
        <f>SUM($C$4:C4)</f>
        <v>563</v>
      </c>
      <c r="C5">
        <v>755</v>
      </c>
    </row>
    <row r="6" spans="1:3" x14ac:dyDescent="0.15">
      <c r="A6" t="s">
        <v>7</v>
      </c>
      <c r="B6">
        <f>SUM($C$4:C5)</f>
        <v>1318</v>
      </c>
      <c r="C6">
        <v>641</v>
      </c>
    </row>
    <row r="7" spans="1:3" x14ac:dyDescent="0.15">
      <c r="A7" t="s">
        <v>8</v>
      </c>
      <c r="B7">
        <f>SUM($C$4:C6)</f>
        <v>1959</v>
      </c>
      <c r="C7">
        <v>578</v>
      </c>
    </row>
    <row r="8" spans="1:3" x14ac:dyDescent="0.15">
      <c r="A8" t="s">
        <v>9</v>
      </c>
      <c r="B8">
        <f>SUM($C$4:C7)</f>
        <v>2537</v>
      </c>
      <c r="C8">
        <v>512</v>
      </c>
    </row>
    <row r="9" spans="1:3" x14ac:dyDescent="0.15">
      <c r="A9" t="s">
        <v>10</v>
      </c>
      <c r="B9">
        <f>SUM($C$4:C8)</f>
        <v>3049</v>
      </c>
      <c r="C9">
        <v>489</v>
      </c>
    </row>
    <row r="10" spans="1:3" x14ac:dyDescent="0.15">
      <c r="A10" t="s">
        <v>11</v>
      </c>
      <c r="B10">
        <f>SUM($C$4:C9)</f>
        <v>3538</v>
      </c>
      <c r="C10">
        <v>412</v>
      </c>
    </row>
    <row r="11" spans="1:3" x14ac:dyDescent="0.15">
      <c r="A11" t="s">
        <v>12</v>
      </c>
      <c r="B11">
        <f>SUM($C$4:C10)</f>
        <v>3950</v>
      </c>
      <c r="C11">
        <v>359</v>
      </c>
    </row>
    <row r="12" spans="1:3" x14ac:dyDescent="0.15">
      <c r="A12" t="s">
        <v>13</v>
      </c>
      <c r="B12">
        <f>SUM($C$4:C11)</f>
        <v>4309</v>
      </c>
      <c r="C12">
        <v>421</v>
      </c>
    </row>
    <row r="13" spans="1:3" x14ac:dyDescent="0.15">
      <c r="A13" t="s">
        <v>14</v>
      </c>
      <c r="B13">
        <f>SUM($C$4:C12)</f>
        <v>4730</v>
      </c>
      <c r="C13">
        <v>498</v>
      </c>
    </row>
    <row r="14" spans="1:3" x14ac:dyDescent="0.15">
      <c r="A14" t="s">
        <v>15</v>
      </c>
      <c r="B14">
        <f>SUM($C$4:C13)</f>
        <v>5228</v>
      </c>
      <c r="C14">
        <v>556</v>
      </c>
    </row>
    <row r="15" spans="1:3" x14ac:dyDescent="0.15">
      <c r="A15" t="s">
        <v>16</v>
      </c>
      <c r="B15">
        <f>SUM($C$4:C14)</f>
        <v>5784</v>
      </c>
      <c r="C15">
        <v>598</v>
      </c>
    </row>
  </sheetData>
  <mergeCells count="1">
    <mergeCell ref="A1:C1"/>
  </mergeCells>
  <phoneticPr fontId="7" type="noConversion"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7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轶凡工作室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平方</dc:creator>
  <cp:lastModifiedBy>Client</cp:lastModifiedBy>
  <dcterms:created xsi:type="dcterms:W3CDTF">2015-03-01T06:36:00Z</dcterms:created>
  <dcterms:modified xsi:type="dcterms:W3CDTF">2019-05-15T10:04:31Z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
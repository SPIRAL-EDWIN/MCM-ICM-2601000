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  <sheet name="Sheet2" sheetId="2" r:id="rId2"/>
    <sheet name="Sheet3" sheetId="3" r:id="rId3"/>
  </sheets>
  <calcPr calcId="162913" concurrentCalc="0"/>
</workbook>
</file>

<file path=xl/calcChain.xml><?xml version="1.0" encoding="utf-8"?>
<calcChain xmlns="http://schemas.openxmlformats.org/spreadsheetml/2006/main">
  <c r="L16" i="1" l="1"/>
  <c r="I16" i="1"/>
  <c r="F16" i="1"/>
  <c r="C16" i="1"/>
  <c r="N15" i="1"/>
  <c r="M15" i="1"/>
  <c r="K15" i="1"/>
  <c r="J15" i="1"/>
  <c r="H15" i="1"/>
  <c r="G15" i="1"/>
  <c r="E15" i="1"/>
  <c r="D15" i="1"/>
  <c r="N14" i="1"/>
  <c r="M14" i="1"/>
  <c r="K14" i="1"/>
  <c r="J14" i="1"/>
  <c r="H14" i="1"/>
  <c r="G14" i="1"/>
  <c r="E14" i="1"/>
  <c r="D14" i="1"/>
  <c r="N13" i="1"/>
  <c r="M13" i="1"/>
  <c r="K13" i="1"/>
  <c r="J13" i="1"/>
  <c r="H13" i="1"/>
  <c r="G13" i="1"/>
  <c r="E13" i="1"/>
  <c r="D13" i="1"/>
  <c r="N12" i="1"/>
  <c r="M12" i="1"/>
  <c r="K12" i="1"/>
  <c r="J12" i="1"/>
  <c r="H12" i="1"/>
  <c r="G12" i="1"/>
  <c r="E12" i="1"/>
  <c r="D12" i="1"/>
  <c r="N11" i="1"/>
  <c r="M11" i="1"/>
  <c r="K11" i="1"/>
  <c r="J11" i="1"/>
  <c r="H11" i="1"/>
  <c r="G11" i="1"/>
  <c r="E11" i="1"/>
  <c r="D11" i="1"/>
  <c r="N10" i="1"/>
  <c r="M10" i="1"/>
  <c r="K10" i="1"/>
  <c r="J10" i="1"/>
  <c r="H10" i="1"/>
  <c r="G10" i="1"/>
  <c r="E10" i="1"/>
  <c r="D10" i="1"/>
  <c r="N9" i="1"/>
  <c r="M9" i="1"/>
  <c r="K9" i="1"/>
  <c r="J9" i="1"/>
  <c r="H9" i="1"/>
  <c r="G9" i="1"/>
  <c r="E9" i="1"/>
  <c r="D9" i="1"/>
  <c r="N8" i="1"/>
  <c r="M8" i="1"/>
  <c r="K8" i="1"/>
  <c r="J8" i="1"/>
  <c r="H8" i="1"/>
  <c r="G8" i="1"/>
  <c r="E8" i="1"/>
  <c r="D8" i="1"/>
  <c r="N7" i="1"/>
  <c r="M7" i="1"/>
  <c r="K7" i="1"/>
  <c r="J7" i="1"/>
  <c r="H7" i="1"/>
  <c r="G7" i="1"/>
  <c r="E7" i="1"/>
  <c r="D7" i="1"/>
  <c r="N6" i="1"/>
  <c r="M6" i="1"/>
  <c r="K6" i="1"/>
  <c r="J6" i="1"/>
  <c r="H6" i="1"/>
  <c r="G6" i="1"/>
  <c r="E6" i="1"/>
  <c r="D6" i="1"/>
  <c r="N5" i="1"/>
  <c r="M5" i="1"/>
  <c r="K5" i="1"/>
  <c r="J5" i="1"/>
  <c r="H5" i="1"/>
  <c r="G5" i="1"/>
  <c r="E5" i="1"/>
  <c r="D5" i="1"/>
  <c r="M4" i="1"/>
  <c r="J4" i="1"/>
  <c r="G4" i="1"/>
  <c r="D4" i="1"/>
</calcChain>
</file>

<file path=xl/sharedStrings.xml><?xml version="1.0" encoding="utf-8"?>
<sst xmlns="http://schemas.openxmlformats.org/spreadsheetml/2006/main" count="34" uniqueCount="22">
  <si>
    <t>月份\产品</t>
  </si>
  <si>
    <t>产品1</t>
  </si>
  <si>
    <t>产品2</t>
  </si>
  <si>
    <t>产品3</t>
  </si>
  <si>
    <t>产品4</t>
  </si>
  <si>
    <t>销量</t>
  </si>
  <si>
    <t>销售占比</t>
  </si>
  <si>
    <t>环比增长</t>
  </si>
  <si>
    <t>1月</t>
  </si>
  <si>
    <t>\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</si>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</sst>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b/>
      <sz val="11"/>
      <color theme="0"/>
      <name val="黑体"/>
      <family val="3"/>
      <charset val="134"/>
    </font>
    <font>
      <sz val="11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/>
  <colors>
    <mruColors>
      <color rgb="FF32597A"/>
      <color rgb="FF4B84B5"/>
      <color rgb="FF99B0D4"/>
      <color rgb="FFC8D3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>
              <a:defRPr lang="zh-CN" sz="1800" b="1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年产品市场份额占比环状图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3885394828791101"/>
          <c:y val="0.193879529764662"/>
          <c:w val="0.53682739343116703"/>
          <c:h val="0.7173763279590049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7CA-4E3D-A595-B7DF3B3515D0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7CA-4E3D-A595-B7DF3B3515D0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7CA-4E3D-A595-B7DF3B3515D0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7CA-4E3D-A595-B7DF3B3515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(Sheet1!$C$2,Sheet1!$F$2,Sheet1!$I$2,Sheet1!$L$2)</c:f>
              <c:strCache>
                <c:ptCount val="4"/>
                <c:pt idx="0">
                  <c:v>产品1</c:v>
                </c:pt>
                <c:pt idx="1">
                  <c:v>产品2</c:v>
                </c:pt>
                <c:pt idx="2">
                  <c:v>产品3</c:v>
                </c:pt>
                <c:pt idx="3">
                  <c:v>产品4</c:v>
                </c:pt>
              </c:strCache>
            </c:strRef>
          </c:cat>
          <c:val>
            <c:numRef>
              <c:f>(Sheet1!$C$16,Sheet1!$F$16,Sheet1!$I$16,Sheet1!$L$16)</c:f>
              <c:numCache>
                <c:formatCode>General</c:formatCode>
                <c:ptCount val="4"/>
                <c:pt idx="0">
                  <c:v>4624</c:v>
                </c:pt>
                <c:pt idx="1">
                  <c:v>4861</c:v>
                </c:pt>
                <c:pt idx="2">
                  <c:v>4852</c:v>
                </c:pt>
                <c:pt idx="3">
                  <c:v>4488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97CA-4E3D-A595-B7DF3B3515D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>
              <a:defRPr lang="zh-CN" sz="1800" b="1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产品销量对比柱形图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产品1</c:v>
                </c:pt>
              </c:strCache>
            </c:strRef>
          </c:tx>
          <c:spPr>
            <a:solidFill>
              <a:srgbClr val="32597A"/>
            </a:solidFill>
            <a:ln>
              <a:noFill/>
            </a:ln>
            <a:effectLst/>
          </c:spPr>
          <c:invertIfNegative val="0"/>
          <c:cat>
            <c:strRef>
              <c:f>Sheet1!$B$4:$B$15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Sheet1!$C$4:$C$15</c:f>
              <c:numCache>
                <c:formatCode>General</c:formatCode>
                <c:ptCount val="12"/>
                <c:pt idx="0">
                  <c:v>236</c:v>
                </c:pt>
                <c:pt idx="1">
                  <c:v>256</c:v>
                </c:pt>
                <c:pt idx="2">
                  <c:v>301</c:v>
                </c:pt>
                <c:pt idx="3">
                  <c:v>338</c:v>
                </c:pt>
                <c:pt idx="4">
                  <c:v>359</c:v>
                </c:pt>
                <c:pt idx="5">
                  <c:v>395</c:v>
                </c:pt>
                <c:pt idx="6">
                  <c:v>419</c:v>
                </c:pt>
                <c:pt idx="7">
                  <c:v>436</c:v>
                </c:pt>
                <c:pt idx="8">
                  <c:v>458</c:v>
                </c:pt>
                <c:pt idx="9">
                  <c:v>469</c:v>
                </c:pt>
                <c:pt idx="10">
                  <c:v>472</c:v>
                </c:pt>
                <c:pt idx="11">
                  <c:v>485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E30-46AF-9A1A-2CE7654A4A82}"/>
            </c:ext>
          </c:extLst>
        </c:ser>
        <c:ser>
          <c:idx val="1"/>
          <c:order val="1"/>
          <c:tx>
            <c:strRef>
              <c:f>Sheet1!$F$2</c:f>
              <c:strCache>
                <c:ptCount val="1"/>
                <c:pt idx="0">
                  <c:v>产品2</c:v>
                </c:pt>
              </c:strCache>
            </c:strRef>
          </c:tx>
          <c:spPr>
            <a:solidFill>
              <a:srgbClr val="4B84B5"/>
            </a:solidFill>
            <a:ln>
              <a:noFill/>
            </a:ln>
            <a:effectLst/>
          </c:spPr>
          <c:invertIfNegative val="0"/>
          <c:cat>
            <c:strRef>
              <c:f>Sheet1!$B$4:$B$15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Sheet1!$F$4:$F$15</c:f>
              <c:numCache>
                <c:formatCode>General</c:formatCode>
                <c:ptCount val="12"/>
                <c:pt idx="0">
                  <c:v>256</c:v>
                </c:pt>
                <c:pt idx="1">
                  <c:v>286</c:v>
                </c:pt>
                <c:pt idx="2">
                  <c:v>319</c:v>
                </c:pt>
                <c:pt idx="3">
                  <c:v>358</c:v>
                </c:pt>
                <c:pt idx="4">
                  <c:v>379</c:v>
                </c:pt>
                <c:pt idx="5">
                  <c:v>408</c:v>
                </c:pt>
                <c:pt idx="6">
                  <c:v>431</c:v>
                </c:pt>
                <c:pt idx="7">
                  <c:v>455</c:v>
                </c:pt>
                <c:pt idx="8">
                  <c:v>465</c:v>
                </c:pt>
                <c:pt idx="9">
                  <c:v>495</c:v>
                </c:pt>
                <c:pt idx="10">
                  <c:v>499</c:v>
                </c:pt>
                <c:pt idx="11">
                  <c:v>510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E30-46AF-9A1A-2CE7654A4A82}"/>
            </c:ext>
          </c:extLst>
        </c:ser>
        <c:ser>
          <c:idx val="2"/>
          <c:order val="2"/>
          <c:tx>
            <c:strRef>
              <c:f>Sheet1!$I$2</c:f>
              <c:strCache>
                <c:ptCount val="1"/>
                <c:pt idx="0">
                  <c:v>产品3</c:v>
                </c:pt>
              </c:strCache>
            </c:strRef>
          </c:tx>
          <c:spPr>
            <a:solidFill>
              <a:srgbClr val="99B0D4"/>
            </a:solidFill>
            <a:ln>
              <a:noFill/>
            </a:ln>
            <a:effectLst/>
          </c:spPr>
          <c:invertIfNegative val="0"/>
          <c:cat>
            <c:strRef>
              <c:f>Sheet1!$B$4:$B$15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Sheet1!$I$4:$I$15</c:f>
              <c:numCache>
                <c:formatCode>General</c:formatCode>
                <c:ptCount val="12"/>
                <c:pt idx="0">
                  <c:v>286</c:v>
                </c:pt>
                <c:pt idx="1">
                  <c:v>316</c:v>
                </c:pt>
                <c:pt idx="2">
                  <c:v>329</c:v>
                </c:pt>
                <c:pt idx="3">
                  <c:v>356</c:v>
                </c:pt>
                <c:pt idx="4">
                  <c:v>399</c:v>
                </c:pt>
                <c:pt idx="5">
                  <c:v>401</c:v>
                </c:pt>
                <c:pt idx="6">
                  <c:v>421</c:v>
                </c:pt>
                <c:pt idx="7">
                  <c:v>434</c:v>
                </c:pt>
                <c:pt idx="8">
                  <c:v>455</c:v>
                </c:pt>
                <c:pt idx="9">
                  <c:v>465</c:v>
                </c:pt>
                <c:pt idx="10">
                  <c:v>489</c:v>
                </c:pt>
                <c:pt idx="11">
                  <c:v>501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E30-46AF-9A1A-2CE7654A4A82}"/>
            </c:ext>
          </c:extLst>
        </c:ser>
        <c:ser>
          <c:idx val="3"/>
          <c:order val="3"/>
          <c:tx>
            <c:strRef>
              <c:f>Sheet1!$L$2</c:f>
              <c:strCache>
                <c:ptCount val="1"/>
                <c:pt idx="0">
                  <c:v>产品4</c:v>
                </c:pt>
              </c:strCache>
            </c:strRef>
          </c:tx>
          <c:spPr>
            <a:solidFill>
              <a:srgbClr val="C8D3E5"/>
            </a:solidFill>
            <a:ln>
              <a:noFill/>
            </a:ln>
            <a:effectLst/>
          </c:spPr>
          <c:invertIfNegative val="0"/>
          <c:cat>
            <c:strRef>
              <c:f>Sheet1!$B$4:$B$15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Sheet1!$L$4:$L$15</c:f>
              <c:numCache>
                <c:formatCode>General</c:formatCode>
                <c:ptCount val="12"/>
                <c:pt idx="0">
                  <c:v>239</c:v>
                </c:pt>
                <c:pt idx="1">
                  <c:v>256</c:v>
                </c:pt>
                <c:pt idx="2">
                  <c:v>289</c:v>
                </c:pt>
                <c:pt idx="3">
                  <c:v>326</c:v>
                </c:pt>
                <c:pt idx="4">
                  <c:v>369</c:v>
                </c:pt>
                <c:pt idx="5">
                  <c:v>389</c:v>
                </c:pt>
                <c:pt idx="6">
                  <c:v>401</c:v>
                </c:pt>
                <c:pt idx="7">
                  <c:v>412</c:v>
                </c:pt>
                <c:pt idx="8">
                  <c:v>423</c:v>
                </c:pt>
                <c:pt idx="9">
                  <c:v>436</c:v>
                </c:pt>
                <c:pt idx="10">
                  <c:v>459</c:v>
                </c:pt>
                <c:pt idx="11">
                  <c:v>489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DE30-46AF-9A1A-2CE7654A4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379584"/>
        <c:axId val="133381120"/>
      </c:barChart>
      <c:catAx>
        <c:axId val="13337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3381120"/>
        <c:crosses val="autoZero"/>
        <c:auto val="1"/>
        <c:lblAlgn val="ctr"/>
        <c:lblOffset val="100"/>
        <c:noMultiLvlLbl val="0"/>
      </c:catAx>
      <c:valAx>
        <c:axId val="13338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3379584"/>
        <c:crosses val="autoZero"/>
        <c:crossBetween val="between"/>
      </c:valAx>
      <c:spPr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>
        <c:manualLayout>
          <c:xMode val="edge"/>
          <c:yMode val="edge"/>
          <c:x val="0.70072992700729897"/>
          <c:y val="3.7114182919901498E-2"/>
          <c:w val="0.22782144862436801"/>
          <c:h val="0.1050937322476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>
              <a:defRPr lang="zh-CN" sz="1600" b="1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600" b="1" i="0" u="none" strike="noStrike" kern="1200" cap="none" normalizeH="0" baseline="0">
                <a:solidFill>
                  <a:schemeClr val="tx2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产品环比折线图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产品1</c:v>
                </c:pt>
              </c:strCache>
            </c:strRef>
          </c:tx>
          <c:spPr>
            <a:ln w="31750" cap="rnd" cmpd="sng" algn="ctr">
              <a:solidFill>
                <a:schemeClr val="accent1"/>
              </a:solidFill>
              <a:prstDash val="solid"/>
              <a:round/>
            </a:ln>
            <a:effectLst>
              <a:outerShdw blurRad="40000" dist="23000" dir="5400000" rotWithShape="0">
                <a:schemeClr val="accent1">
                  <a:alpha val="35000"/>
                </a:schemeClr>
              </a:outerShdw>
            </a:effectLst>
          </c:spPr>
          <c:marker>
            <c:symbol val="none"/>
          </c:marker>
          <c:cat>
            <c:strRef>
              <c:f>Sheet1!$B$5:$B$15</c:f>
              <c:strCache>
                <c:ptCount val="11"/>
                <c:pt idx="0">
                  <c:v>2月</c:v>
                </c:pt>
                <c:pt idx="1">
                  <c:v>3月</c:v>
                </c:pt>
                <c:pt idx="2">
                  <c:v>4月</c:v>
                </c:pt>
                <c:pt idx="3">
                  <c:v>5月</c:v>
                </c:pt>
                <c:pt idx="4">
                  <c:v>6月</c:v>
                </c:pt>
                <c:pt idx="5">
                  <c:v>7月</c:v>
                </c:pt>
                <c:pt idx="6">
                  <c:v>8月</c:v>
                </c:pt>
                <c:pt idx="7">
                  <c:v>9月</c:v>
                </c:pt>
                <c:pt idx="8">
                  <c:v>10月</c:v>
                </c:pt>
                <c:pt idx="9">
                  <c:v>11月</c:v>
                </c:pt>
                <c:pt idx="10">
                  <c:v>12月</c:v>
                </c:pt>
              </c:strCache>
            </c:strRef>
          </c:cat>
          <c:val>
            <c:numRef>
              <c:f>Sheet1!$E$5:$E$15</c:f>
              <c:numCache>
                <c:formatCode>0.00%</c:formatCode>
                <c:ptCount val="11"/>
                <c:pt idx="0">
                  <c:v>8.4745762711864403E-2</c:v>
                </c:pt>
                <c:pt idx="1">
                  <c:v>0.17578125</c:v>
                </c:pt>
                <c:pt idx="2">
                  <c:v>0.12292358803986711</c:v>
                </c:pt>
                <c:pt idx="3">
                  <c:v>6.2130177514792898E-2</c:v>
                </c:pt>
                <c:pt idx="4">
                  <c:v>0.10027855153203342</c:v>
                </c:pt>
                <c:pt idx="5">
                  <c:v>6.0759493670886074E-2</c:v>
                </c:pt>
                <c:pt idx="6">
                  <c:v>4.0572792362768499E-2</c:v>
                </c:pt>
                <c:pt idx="7">
                  <c:v>5.0458715596330278E-2</c:v>
                </c:pt>
                <c:pt idx="8">
                  <c:v>2.4017467248908297E-2</c:v>
                </c:pt>
                <c:pt idx="9">
                  <c:v>6.3965884861407248E-3</c:v>
                </c:pt>
                <c:pt idx="10">
                  <c:v>2.7542372881355932E-2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5E1-4830-A3C8-D7BC1C968B94}"/>
            </c:ext>
          </c:extLst>
        </c:ser>
        <c:ser>
          <c:idx val="1"/>
          <c:order val="1"/>
          <c:tx>
            <c:strRef>
              <c:f>Sheet1!$F$2</c:f>
              <c:strCache>
                <c:ptCount val="1"/>
                <c:pt idx="0">
                  <c:v>产品2</c:v>
                </c:pt>
              </c:strCache>
            </c:strRef>
          </c:tx>
          <c:spPr>
            <a:ln w="31750" cap="rnd" cmpd="sng" algn="ctr">
              <a:solidFill>
                <a:schemeClr val="accent2"/>
              </a:solidFill>
              <a:prstDash val="solid"/>
              <a:round/>
            </a:ln>
            <a:effectLst>
              <a:outerShdw blurRad="40000" dist="23000" dir="5400000" rotWithShape="0">
                <a:schemeClr val="accent2">
                  <a:alpha val="35000"/>
                </a:schemeClr>
              </a:outerShdw>
            </a:effectLst>
          </c:spPr>
          <c:marker>
            <c:symbol val="none"/>
          </c:marker>
          <c:cat>
            <c:strRef>
              <c:f>Sheet1!$B$5:$B$15</c:f>
              <c:strCache>
                <c:ptCount val="11"/>
                <c:pt idx="0">
                  <c:v>2月</c:v>
                </c:pt>
                <c:pt idx="1">
                  <c:v>3月</c:v>
                </c:pt>
                <c:pt idx="2">
                  <c:v>4月</c:v>
                </c:pt>
                <c:pt idx="3">
                  <c:v>5月</c:v>
                </c:pt>
                <c:pt idx="4">
                  <c:v>6月</c:v>
                </c:pt>
                <c:pt idx="5">
                  <c:v>7月</c:v>
                </c:pt>
                <c:pt idx="6">
                  <c:v>8月</c:v>
                </c:pt>
                <c:pt idx="7">
                  <c:v>9月</c:v>
                </c:pt>
                <c:pt idx="8">
                  <c:v>10月</c:v>
                </c:pt>
                <c:pt idx="9">
                  <c:v>11月</c:v>
                </c:pt>
                <c:pt idx="10">
                  <c:v>12月</c:v>
                </c:pt>
              </c:strCache>
            </c:strRef>
          </c:cat>
          <c:val>
            <c:numRef>
              <c:f>Sheet1!$H$5:$H$15</c:f>
              <c:numCache>
                <c:formatCode>0.00%</c:formatCode>
                <c:ptCount val="11"/>
                <c:pt idx="0">
                  <c:v>0.1171875</c:v>
                </c:pt>
                <c:pt idx="1">
                  <c:v>0.11538461538461539</c:v>
                </c:pt>
                <c:pt idx="2">
                  <c:v>0.12225705329153605</c:v>
                </c:pt>
                <c:pt idx="3">
                  <c:v>5.8659217877094973E-2</c:v>
                </c:pt>
                <c:pt idx="4">
                  <c:v>7.6517150395778361E-2</c:v>
                </c:pt>
                <c:pt idx="5">
                  <c:v>5.6372549019607844E-2</c:v>
                </c:pt>
                <c:pt idx="6">
                  <c:v>5.5684454756380508E-2</c:v>
                </c:pt>
                <c:pt idx="7">
                  <c:v>2.197802197802198E-2</c:v>
                </c:pt>
                <c:pt idx="8">
                  <c:v>6.4516129032258063E-2</c:v>
                </c:pt>
                <c:pt idx="9">
                  <c:v>8.0808080808080808E-3</c:v>
                </c:pt>
                <c:pt idx="10">
                  <c:v>2.2044088176352707E-2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5E1-4830-A3C8-D7BC1C968B94}"/>
            </c:ext>
          </c:extLst>
        </c:ser>
        <c:ser>
          <c:idx val="2"/>
          <c:order val="2"/>
          <c:tx>
            <c:strRef>
              <c:f>Sheet1!$I$2</c:f>
              <c:strCache>
                <c:ptCount val="1"/>
                <c:pt idx="0">
                  <c:v>产品3</c:v>
                </c:pt>
              </c:strCache>
            </c:strRef>
          </c:tx>
          <c:spPr>
            <a:ln w="31750" cap="rnd" cmpd="sng" algn="ctr">
              <a:solidFill>
                <a:schemeClr val="accent3"/>
              </a:solidFill>
              <a:prstDash val="solid"/>
              <a:round/>
            </a:ln>
            <a:effectLst>
              <a:outerShdw blurRad="40000" dist="23000" dir="5400000" rotWithShape="0">
                <a:schemeClr val="accent3">
                  <a:alpha val="35000"/>
                </a:schemeClr>
              </a:outerShdw>
            </a:effectLst>
          </c:spPr>
          <c:marker>
            <c:symbol val="none"/>
          </c:marker>
          <c:cat>
            <c:strRef>
              <c:f>Sheet1!$B$5:$B$15</c:f>
              <c:strCache>
                <c:ptCount val="11"/>
                <c:pt idx="0">
                  <c:v>2月</c:v>
                </c:pt>
                <c:pt idx="1">
                  <c:v>3月</c:v>
                </c:pt>
                <c:pt idx="2">
                  <c:v>4月</c:v>
                </c:pt>
                <c:pt idx="3">
                  <c:v>5月</c:v>
                </c:pt>
                <c:pt idx="4">
                  <c:v>6月</c:v>
                </c:pt>
                <c:pt idx="5">
                  <c:v>7月</c:v>
                </c:pt>
                <c:pt idx="6">
                  <c:v>8月</c:v>
                </c:pt>
                <c:pt idx="7">
                  <c:v>9月</c:v>
                </c:pt>
                <c:pt idx="8">
                  <c:v>10月</c:v>
                </c:pt>
                <c:pt idx="9">
                  <c:v>11月</c:v>
                </c:pt>
                <c:pt idx="10">
                  <c:v>12月</c:v>
                </c:pt>
              </c:strCache>
            </c:strRef>
          </c:cat>
          <c:val>
            <c:numRef>
              <c:f>Sheet1!$K$5:$K$15</c:f>
              <c:numCache>
                <c:formatCode>0.00%</c:formatCode>
                <c:ptCount val="11"/>
                <c:pt idx="0">
                  <c:v>0.1048951048951049</c:v>
                </c:pt>
                <c:pt idx="1">
                  <c:v>4.1139240506329111E-2</c:v>
                </c:pt>
                <c:pt idx="2">
                  <c:v>8.2066869300911852E-2</c:v>
                </c:pt>
                <c:pt idx="3">
                  <c:v>0.12078651685393259</c:v>
                </c:pt>
                <c:pt idx="4">
                  <c:v>5.0125313283208017E-3</c:v>
                </c:pt>
                <c:pt idx="5">
                  <c:v>4.9875311720698257E-2</c:v>
                </c:pt>
                <c:pt idx="6">
                  <c:v>3.0878859857482184E-2</c:v>
                </c:pt>
                <c:pt idx="7">
                  <c:v>4.8387096774193547E-2</c:v>
                </c:pt>
                <c:pt idx="8">
                  <c:v>2.197802197802198E-2</c:v>
                </c:pt>
                <c:pt idx="9">
                  <c:v>5.1612903225806452E-2</c:v>
                </c:pt>
                <c:pt idx="10">
                  <c:v>2.4539877300613498E-2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5E1-4830-A3C8-D7BC1C968B94}"/>
            </c:ext>
          </c:extLst>
        </c:ser>
        <c:ser>
          <c:idx val="3"/>
          <c:order val="3"/>
          <c:tx>
            <c:strRef>
              <c:f>Sheet1!$L$2</c:f>
              <c:strCache>
                <c:ptCount val="1"/>
                <c:pt idx="0">
                  <c:v>产品4</c:v>
                </c:pt>
              </c:strCache>
            </c:strRef>
          </c:tx>
          <c:spPr>
            <a:ln w="31750" cap="rnd" cmpd="sng" algn="ctr">
              <a:solidFill>
                <a:schemeClr val="accent4"/>
              </a:solidFill>
              <a:prstDash val="solid"/>
              <a:round/>
            </a:ln>
            <a:effectLst>
              <a:outerShdw blurRad="40000" dist="23000" dir="5400000" rotWithShape="0">
                <a:schemeClr val="accent4">
                  <a:alpha val="35000"/>
                </a:schemeClr>
              </a:outerShdw>
            </a:effectLst>
          </c:spPr>
          <c:marker>
            <c:symbol val="none"/>
          </c:marker>
          <c:cat>
            <c:strRef>
              <c:f>Sheet1!$B$5:$B$15</c:f>
              <c:strCache>
                <c:ptCount val="11"/>
                <c:pt idx="0">
                  <c:v>2月</c:v>
                </c:pt>
                <c:pt idx="1">
                  <c:v>3月</c:v>
                </c:pt>
                <c:pt idx="2">
                  <c:v>4月</c:v>
                </c:pt>
                <c:pt idx="3">
                  <c:v>5月</c:v>
                </c:pt>
                <c:pt idx="4">
                  <c:v>6月</c:v>
                </c:pt>
                <c:pt idx="5">
                  <c:v>7月</c:v>
                </c:pt>
                <c:pt idx="6">
                  <c:v>8月</c:v>
                </c:pt>
                <c:pt idx="7">
                  <c:v>9月</c:v>
                </c:pt>
                <c:pt idx="8">
                  <c:v>10月</c:v>
                </c:pt>
                <c:pt idx="9">
                  <c:v>11月</c:v>
                </c:pt>
                <c:pt idx="10">
                  <c:v>12月</c:v>
                </c:pt>
              </c:strCache>
            </c:strRef>
          </c:cat>
          <c:val>
            <c:numRef>
              <c:f>Sheet1!$N$5:$N$15</c:f>
              <c:numCache>
                <c:formatCode>0.00%</c:formatCode>
                <c:ptCount val="11"/>
                <c:pt idx="0">
                  <c:v>7.1129707112970716E-2</c:v>
                </c:pt>
                <c:pt idx="1">
                  <c:v>0.12890625</c:v>
                </c:pt>
                <c:pt idx="2">
                  <c:v>0.12802768166089964</c:v>
                </c:pt>
                <c:pt idx="3">
                  <c:v>0.13190184049079753</c:v>
                </c:pt>
                <c:pt idx="4">
                  <c:v>5.4200542005420058E-2</c:v>
                </c:pt>
                <c:pt idx="5">
                  <c:v>3.0848329048843187E-2</c:v>
                </c:pt>
                <c:pt idx="6">
                  <c:v>2.7431421446384038E-2</c:v>
                </c:pt>
                <c:pt idx="7">
                  <c:v>2.6699029126213591E-2</c:v>
                </c:pt>
                <c:pt idx="8">
                  <c:v>3.0732860520094562E-2</c:v>
                </c:pt>
                <c:pt idx="9">
                  <c:v>5.2752293577981654E-2</c:v>
                </c:pt>
                <c:pt idx="10">
                  <c:v>6.535947712418301E-2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5E1-4830-A3C8-D7BC1C968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971264"/>
        <c:axId val="164972800"/>
      </c:lineChart>
      <c:catAx>
        <c:axId val="16497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64972800"/>
        <c:crosses val="autoZero"/>
        <c:auto val="1"/>
        <c:lblAlgn val="ctr"/>
        <c:lblOffset val="100"/>
        <c:noMultiLvlLbl val="0"/>
      </c:catAx>
      <c:valAx>
        <c:axId val="16497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6497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2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tx2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>
              <a:defRPr lang="zh-CN" sz="1800" b="1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销售占比</a:t>
            </a:r>
            <a:r>
              <a:rPr lang="zh-CN" altLang="en-US" sz="1800" b="1" i="0" u="none" strike="noStrike" baseline="0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柱形图</a:t>
            </a:r>
            <a:endParaRPr lang="zh-CN" altLang="en-US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产品1</c:v>
                </c:pt>
              </c:strCache>
            </c:strRef>
          </c:tx>
          <c:spPr>
            <a:solidFill>
              <a:srgbClr val="32597A"/>
            </a:solidFill>
            <a:ln>
              <a:noFill/>
            </a:ln>
            <a:effectLst/>
          </c:spPr>
          <c:invertIfNegative val="0"/>
          <c:cat>
            <c:strRef>
              <c:f>Sheet1!$B$4:$B$15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Sheet1!$D$4:$D$15</c:f>
              <c:numCache>
                <c:formatCode>0.00%</c:formatCode>
                <c:ptCount val="12"/>
                <c:pt idx="0">
                  <c:v>0.232055063913471</c:v>
                </c:pt>
                <c:pt idx="1">
                  <c:v>0.22980251346499103</c:v>
                </c:pt>
                <c:pt idx="2">
                  <c:v>0.24313408723747981</c:v>
                </c:pt>
                <c:pt idx="3">
                  <c:v>0.24528301886792453</c:v>
                </c:pt>
                <c:pt idx="4">
                  <c:v>0.23837981407702524</c:v>
                </c:pt>
                <c:pt idx="5">
                  <c:v>0.24795982423101068</c:v>
                </c:pt>
                <c:pt idx="6">
                  <c:v>0.25059808612440193</c:v>
                </c:pt>
                <c:pt idx="7">
                  <c:v>0.25100748416810592</c:v>
                </c:pt>
                <c:pt idx="8">
                  <c:v>0.25430316490838423</c:v>
                </c:pt>
                <c:pt idx="9">
                  <c:v>0.25147453083109922</c:v>
                </c:pt>
                <c:pt idx="10">
                  <c:v>0.24596143824908806</c:v>
                </c:pt>
                <c:pt idx="11">
                  <c:v>0.24433249370277077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D73-429E-8C08-163760EAACC3}"/>
            </c:ext>
          </c:extLst>
        </c:ser>
        <c:ser>
          <c:idx val="1"/>
          <c:order val="1"/>
          <c:tx>
            <c:strRef>
              <c:f>Sheet1!$F$2</c:f>
              <c:strCache>
                <c:ptCount val="1"/>
                <c:pt idx="0">
                  <c:v>产品2</c:v>
                </c:pt>
              </c:strCache>
            </c:strRef>
          </c:tx>
          <c:spPr>
            <a:solidFill>
              <a:srgbClr val="4B84B5"/>
            </a:solidFill>
            <a:ln>
              <a:noFill/>
            </a:ln>
            <a:effectLst/>
          </c:spPr>
          <c:invertIfNegative val="0"/>
          <c:cat>
            <c:strRef>
              <c:f>Sheet1!$B$4:$B$15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Sheet1!$G$4:$G$15</c:f>
              <c:numCache>
                <c:formatCode>0.00%</c:formatCode>
                <c:ptCount val="12"/>
                <c:pt idx="0">
                  <c:v>0.25172074729596855</c:v>
                </c:pt>
                <c:pt idx="1">
                  <c:v>0.25673249551166966</c:v>
                </c:pt>
                <c:pt idx="2">
                  <c:v>0.25767366720516965</c:v>
                </c:pt>
                <c:pt idx="3">
                  <c:v>0.25979680696661828</c:v>
                </c:pt>
                <c:pt idx="4">
                  <c:v>0.25166002656042497</c:v>
                </c:pt>
                <c:pt idx="5">
                  <c:v>0.25612052730696799</c:v>
                </c:pt>
                <c:pt idx="6">
                  <c:v>0.25777511961722488</c:v>
                </c:pt>
                <c:pt idx="7">
                  <c:v>0.26194588370754174</c:v>
                </c:pt>
                <c:pt idx="8">
                  <c:v>0.25818989450305385</c:v>
                </c:pt>
                <c:pt idx="9">
                  <c:v>0.26541554959785524</c:v>
                </c:pt>
                <c:pt idx="10">
                  <c:v>0.26003126628452317</c:v>
                </c:pt>
                <c:pt idx="11">
                  <c:v>0.25692695214105793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D73-429E-8C08-163760EAACC3}"/>
            </c:ext>
          </c:extLst>
        </c:ser>
        <c:ser>
          <c:idx val="2"/>
          <c:order val="2"/>
          <c:tx>
            <c:strRef>
              <c:f>Sheet1!$I$2</c:f>
              <c:strCache>
                <c:ptCount val="1"/>
                <c:pt idx="0">
                  <c:v>产品3</c:v>
                </c:pt>
              </c:strCache>
            </c:strRef>
          </c:tx>
          <c:spPr>
            <a:solidFill>
              <a:srgbClr val="99B0D4"/>
            </a:solidFill>
            <a:ln>
              <a:noFill/>
            </a:ln>
            <a:effectLst/>
          </c:spPr>
          <c:invertIfNegative val="0"/>
          <c:cat>
            <c:strRef>
              <c:f>Sheet1!$B$4:$B$15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Sheet1!$J$4:$J$15</c:f>
              <c:numCache>
                <c:formatCode>0.00%</c:formatCode>
                <c:ptCount val="12"/>
                <c:pt idx="0">
                  <c:v>0.28121927236971483</c:v>
                </c:pt>
                <c:pt idx="1">
                  <c:v>0.28366247755834828</c:v>
                </c:pt>
                <c:pt idx="2">
                  <c:v>0.26575121163166399</c:v>
                </c:pt>
                <c:pt idx="3">
                  <c:v>0.25834542815674894</c:v>
                </c:pt>
                <c:pt idx="4">
                  <c:v>0.26494023904382469</c:v>
                </c:pt>
                <c:pt idx="5">
                  <c:v>0.25172630257376022</c:v>
                </c:pt>
                <c:pt idx="6">
                  <c:v>0.25179425837320574</c:v>
                </c:pt>
                <c:pt idx="7">
                  <c:v>0.24985607369027057</c:v>
                </c:pt>
                <c:pt idx="8">
                  <c:v>0.25263742365352582</c:v>
                </c:pt>
                <c:pt idx="9">
                  <c:v>0.24932975871313673</c:v>
                </c:pt>
                <c:pt idx="10">
                  <c:v>0.25482021886399164</c:v>
                </c:pt>
                <c:pt idx="11">
                  <c:v>0.25239294710327453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D73-429E-8C08-163760EAACC3}"/>
            </c:ext>
          </c:extLst>
        </c:ser>
        <c:ser>
          <c:idx val="3"/>
          <c:order val="3"/>
          <c:tx>
            <c:strRef>
              <c:f>Sheet1!$L$2</c:f>
              <c:strCache>
                <c:ptCount val="1"/>
                <c:pt idx="0">
                  <c:v>产品4</c:v>
                </c:pt>
              </c:strCache>
            </c:strRef>
          </c:tx>
          <c:spPr>
            <a:solidFill>
              <a:srgbClr val="C8D3E5"/>
            </a:solidFill>
            <a:ln>
              <a:noFill/>
            </a:ln>
            <a:effectLst/>
          </c:spPr>
          <c:invertIfNegative val="0"/>
          <c:cat>
            <c:strRef>
              <c:f>Sheet1!$B$4:$B$15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Sheet1!$M$4:$M$15</c:f>
              <c:numCache>
                <c:formatCode>0.00%</c:formatCode>
                <c:ptCount val="12"/>
                <c:pt idx="0">
                  <c:v>0.23500491642084562</c:v>
                </c:pt>
                <c:pt idx="1">
                  <c:v>0.22980251346499103</c:v>
                </c:pt>
                <c:pt idx="2">
                  <c:v>0.2334410339256866</c:v>
                </c:pt>
                <c:pt idx="3">
                  <c:v>0.23657474600870829</c:v>
                </c:pt>
                <c:pt idx="4">
                  <c:v>0.2450199203187251</c:v>
                </c:pt>
                <c:pt idx="5">
                  <c:v>0.24419334588826114</c:v>
                </c:pt>
                <c:pt idx="6">
                  <c:v>0.23983253588516745</c:v>
                </c:pt>
                <c:pt idx="7">
                  <c:v>0.23719055843408174</c:v>
                </c:pt>
                <c:pt idx="8">
                  <c:v>0.2348695169350361</c:v>
                </c:pt>
                <c:pt idx="9">
                  <c:v>0.23378016085790884</c:v>
                </c:pt>
                <c:pt idx="10">
                  <c:v>0.23918707660239708</c:v>
                </c:pt>
                <c:pt idx="11">
                  <c:v>0.24634760705289674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D73-429E-8C08-163760EAA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073792"/>
        <c:axId val="135075328"/>
      </c:barChart>
      <c:catAx>
        <c:axId val="13507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5075328"/>
        <c:crosses val="autoZero"/>
        <c:auto val="1"/>
        <c:lblAlgn val="ctr"/>
        <c:lblOffset val="100"/>
        <c:noMultiLvlLbl val="0"/>
      </c:catAx>
      <c:valAx>
        <c:axId val="13507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olid"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507379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16</xdr:row>
      <xdr:rowOff>28575</xdr:rowOff>
    </xdr:from>
    <xdr:to>
      <xdr:col>14</xdr:col>
      <xdr:colOff>10160</xdr:colOff>
      <xdr:row>35</xdr:row>
      <xdr:rowOff>95250</xdr:rowOff>
    </xdr:to>
    <xdr:graphicFrame macro="">
      <xdr:nvGraphicFramePr>
        <xdr:cNvPr id="8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35</xdr:row>
      <xdr:rowOff>161290</xdr:rowOff>
    </xdr:from>
    <xdr:to>
      <xdr:col>14</xdr:col>
      <xdr:colOff>46355</xdr:colOff>
      <xdr:row>55</xdr:row>
      <xdr:rowOff>85725</xdr:rowOff>
    </xdr:to>
    <xdr:graphicFrame macro="">
      <xdr:nvGraphicFramePr>
        <xdr:cNvPr id="9" name="图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29210</xdr:colOff>
      <xdr:row>16</xdr:row>
      <xdr:rowOff>19050</xdr:rowOff>
    </xdr:from>
    <xdr:to>
      <xdr:col>7</xdr:col>
      <xdr:colOff>306705</xdr:colOff>
      <xdr:row>35</xdr:row>
      <xdr:rowOff>104140</xdr:rowOff>
    </xdr:to>
    <xdr:graphicFrame macro="">
      <xdr:nvGraphicFramePr>
        <xdr:cNvPr id="10" name="图表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57150</xdr:colOff>
      <xdr:row>55</xdr:row>
      <xdr:rowOff>151765</xdr:rowOff>
    </xdr:from>
    <xdr:to>
      <xdr:col>14</xdr:col>
      <xdr:colOff>66675</xdr:colOff>
      <xdr:row>75</xdr:row>
      <xdr:rowOff>75565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6"/>
  <sheetViews>
    <sheetView showGridLines="0" tabSelected="1" view="pageBreakPreview" topLeftCell="G13" zoomScale="80" zoomScaleNormal="50" zoomScaleSheetLayoutView="80" zoomScalePageLayoutView="93" workbookViewId="0">
      <selection activeCell="S48" sqref="S48"/>
    </sheetView>
  </sheetViews>
  <sheetFormatPr defaultColWidth="9" defaultRowHeight="13.5" x14ac:dyDescent="0.15"/>
  <cols>
    <col min="1" max="1" width="2.25" customWidth="1"/>
    <col min="2" max="2" width="10.375" customWidth="1"/>
  </cols>
  <sheetData>
    <row r="2" spans="2:14" ht="20.100000000000001" customHeight="1" x14ac:dyDescent="0.15">
      <c r="B2" s="6" t="s">
        <v>0</v>
      </c>
      <c r="C2" s="6" t="s">
        <v>1</v>
      </c>
      <c r="D2" s="6"/>
      <c r="E2" s="6"/>
      <c r="F2" s="6" t="s">
        <v>2</v>
      </c>
      <c r="G2" s="6"/>
      <c r="H2" s="6"/>
      <c r="I2" s="6" t="s">
        <v>3</v>
      </c>
      <c r="J2" s="6"/>
      <c r="K2" s="6"/>
      <c r="L2" s="6" t="s">
        <v>4</v>
      </c>
      <c r="M2" s="6"/>
      <c r="N2" s="6"/>
    </row>
    <row r="3" spans="2:14" ht="20.100000000000001" customHeight="1" x14ac:dyDescent="0.15">
      <c r="B3" s="6"/>
      <c r="C3" s="1" t="s">
        <v>5</v>
      </c>
      <c r="D3" s="1" t="s">
        <v>6</v>
      </c>
      <c r="E3" s="1" t="s">
        <v>7</v>
      </c>
      <c r="F3" s="1" t="s">
        <v>5</v>
      </c>
      <c r="G3" s="1" t="s">
        <v>6</v>
      </c>
      <c r="H3" s="1" t="s">
        <v>7</v>
      </c>
      <c r="I3" s="1" t="s">
        <v>5</v>
      </c>
      <c r="J3" s="1" t="s">
        <v>6</v>
      </c>
      <c r="K3" s="1" t="s">
        <v>7</v>
      </c>
      <c r="L3" s="1" t="s">
        <v>5</v>
      </c>
      <c r="M3" s="1" t="s">
        <v>6</v>
      </c>
      <c r="N3" s="1" t="s">
        <v>7</v>
      </c>
    </row>
    <row r="4" spans="2:14" ht="20.100000000000001" customHeight="1" x14ac:dyDescent="0.15">
      <c r="B4" s="2" t="s">
        <v>8</v>
      </c>
      <c r="C4" s="2">
        <v>236</v>
      </c>
      <c r="D4" s="3">
        <f>C4/(C4+F4+I4+L4)</f>
        <v>0.232055063913471</v>
      </c>
      <c r="E4" s="2" t="s">
        <v>9</v>
      </c>
      <c r="F4" s="2">
        <v>256</v>
      </c>
      <c r="G4" s="3">
        <f>F4/(C4+F4+I4+L4)</f>
        <v>0.25172074729596855</v>
      </c>
      <c r="H4" s="2" t="s">
        <v>9</v>
      </c>
      <c r="I4" s="2">
        <v>286</v>
      </c>
      <c r="J4" s="3">
        <f>I4/(C4+F4+I4+L4)</f>
        <v>0.28121927236971483</v>
      </c>
      <c r="K4" s="2" t="s">
        <v>9</v>
      </c>
      <c r="L4" s="2">
        <v>239</v>
      </c>
      <c r="M4" s="3">
        <f>L4/(C4+F4+I4+L4)</f>
        <v>0.23500491642084562</v>
      </c>
      <c r="N4" s="2" t="s">
        <v>9</v>
      </c>
    </row>
    <row r="5" spans="2:14" ht="20.100000000000001" customHeight="1" x14ac:dyDescent="0.15">
      <c r="B5" s="4" t="s">
        <v>10</v>
      </c>
      <c r="C5" s="4">
        <v>256</v>
      </c>
      <c r="D5" s="5">
        <f t="shared" ref="D5:D15" si="0">C5/(C5+F5+I5+L5)</f>
        <v>0.22980251346499103</v>
      </c>
      <c r="E5" s="5">
        <f t="shared" ref="E5:E15" si="1">(C5-C4)/C4</f>
        <v>8.4745762711864403E-2</v>
      </c>
      <c r="F5" s="4">
        <v>286</v>
      </c>
      <c r="G5" s="5">
        <f t="shared" ref="G5:G15" si="2">F5/(C5+F5+I5+L5)</f>
        <v>0.25673249551166966</v>
      </c>
      <c r="H5" s="5">
        <f>(F5-F4)/F4</f>
        <v>0.1171875</v>
      </c>
      <c r="I5" s="4">
        <v>316</v>
      </c>
      <c r="J5" s="5">
        <f t="shared" ref="J5:J15" si="3">I5/(C5+F5+I5+L5)</f>
        <v>0.28366247755834828</v>
      </c>
      <c r="K5" s="5">
        <f>(I5-I4)/I4</f>
        <v>0.1048951048951049</v>
      </c>
      <c r="L5" s="4">
        <v>256</v>
      </c>
      <c r="M5" s="5">
        <f t="shared" ref="M5:M15" si="4">L5/(C5+F5+I5+L5)</f>
        <v>0.22980251346499103</v>
      </c>
      <c r="N5" s="5">
        <f>(L5-L4)/L4</f>
        <v>7.1129707112970716E-2</v>
      </c>
    </row>
    <row r="6" spans="2:14" ht="20.100000000000001" customHeight="1" x14ac:dyDescent="0.15">
      <c r="B6" s="2" t="s">
        <v>11</v>
      </c>
      <c r="C6" s="2">
        <v>301</v>
      </c>
      <c r="D6" s="3">
        <f t="shared" si="0"/>
        <v>0.24313408723747981</v>
      </c>
      <c r="E6" s="3">
        <f t="shared" si="1"/>
        <v>0.17578125</v>
      </c>
      <c r="F6" s="2">
        <v>319</v>
      </c>
      <c r="G6" s="3">
        <f t="shared" si="2"/>
        <v>0.25767366720516965</v>
      </c>
      <c r="H6" s="3">
        <f t="shared" ref="H6:H15" si="5">(F6-F5)/F5</f>
        <v>0.11538461538461539</v>
      </c>
      <c r="I6" s="2">
        <v>329</v>
      </c>
      <c r="J6" s="3">
        <f t="shared" si="3"/>
        <v>0.26575121163166399</v>
      </c>
      <c r="K6" s="3">
        <f t="shared" ref="K6" si="6">(I6-I5)/I5</f>
        <v>4.1139240506329111E-2</v>
      </c>
      <c r="L6" s="2">
        <v>289</v>
      </c>
      <c r="M6" s="3">
        <f t="shared" si="4"/>
        <v>0.2334410339256866</v>
      </c>
      <c r="N6" s="3">
        <f t="shared" ref="N6:N15" si="7">(L6-L5)/L5</f>
        <v>0.12890625</v>
      </c>
    </row>
    <row r="7" spans="2:14" ht="20.100000000000001" customHeight="1" x14ac:dyDescent="0.15">
      <c r="B7" s="4" t="s">
        <v>12</v>
      </c>
      <c r="C7" s="4">
        <v>338</v>
      </c>
      <c r="D7" s="5">
        <f t="shared" si="0"/>
        <v>0.24528301886792453</v>
      </c>
      <c r="E7" s="5">
        <f t="shared" si="1"/>
        <v>0.12292358803986711</v>
      </c>
      <c r="F7" s="4">
        <v>358</v>
      </c>
      <c r="G7" s="5">
        <f t="shared" si="2"/>
        <v>0.25979680696661828</v>
      </c>
      <c r="H7" s="5">
        <f t="shared" si="5"/>
        <v>0.12225705329153605</v>
      </c>
      <c r="I7" s="4">
        <v>356</v>
      </c>
      <c r="J7" s="5">
        <f t="shared" si="3"/>
        <v>0.25834542815674894</v>
      </c>
      <c r="K7" s="5">
        <f t="shared" ref="K7" si="8">(I7-I6)/I6</f>
        <v>8.2066869300911852E-2</v>
      </c>
      <c r="L7" s="4">
        <v>326</v>
      </c>
      <c r="M7" s="5">
        <f t="shared" si="4"/>
        <v>0.23657474600870829</v>
      </c>
      <c r="N7" s="5">
        <f t="shared" si="7"/>
        <v>0.12802768166089964</v>
      </c>
    </row>
    <row r="8" spans="2:14" ht="20.100000000000001" customHeight="1" x14ac:dyDescent="0.15">
      <c r="B8" s="2" t="s">
        <v>13</v>
      </c>
      <c r="C8" s="2">
        <v>359</v>
      </c>
      <c r="D8" s="3">
        <f t="shared" si="0"/>
        <v>0.23837981407702524</v>
      </c>
      <c r="E8" s="3">
        <f t="shared" si="1"/>
        <v>6.2130177514792898E-2</v>
      </c>
      <c r="F8" s="2">
        <v>379</v>
      </c>
      <c r="G8" s="3">
        <f t="shared" si="2"/>
        <v>0.25166002656042497</v>
      </c>
      <c r="H8" s="3">
        <f t="shared" si="5"/>
        <v>5.8659217877094973E-2</v>
      </c>
      <c r="I8" s="2">
        <v>399</v>
      </c>
      <c r="J8" s="3">
        <f t="shared" si="3"/>
        <v>0.26494023904382469</v>
      </c>
      <c r="K8" s="3">
        <f t="shared" ref="K8" si="9">(I8-I7)/I7</f>
        <v>0.12078651685393259</v>
      </c>
      <c r="L8" s="2">
        <v>369</v>
      </c>
      <c r="M8" s="3">
        <f t="shared" si="4"/>
        <v>0.2450199203187251</v>
      </c>
      <c r="N8" s="3">
        <f t="shared" si="7"/>
        <v>0.13190184049079753</v>
      </c>
    </row>
    <row r="9" spans="2:14" ht="20.100000000000001" customHeight="1" x14ac:dyDescent="0.15">
      <c r="B9" s="4" t="s">
        <v>14</v>
      </c>
      <c r="C9" s="4">
        <v>395</v>
      </c>
      <c r="D9" s="5">
        <f t="shared" si="0"/>
        <v>0.24795982423101068</v>
      </c>
      <c r="E9" s="5">
        <f t="shared" si="1"/>
        <v>0.10027855153203342</v>
      </c>
      <c r="F9" s="4">
        <v>408</v>
      </c>
      <c r="G9" s="5">
        <f t="shared" si="2"/>
        <v>0.25612052730696799</v>
      </c>
      <c r="H9" s="5">
        <f t="shared" si="5"/>
        <v>7.6517150395778361E-2</v>
      </c>
      <c r="I9" s="4">
        <v>401</v>
      </c>
      <c r="J9" s="5">
        <f t="shared" si="3"/>
        <v>0.25172630257376022</v>
      </c>
      <c r="K9" s="5">
        <f t="shared" ref="K9" si="10">(I9-I8)/I8</f>
        <v>5.0125313283208017E-3</v>
      </c>
      <c r="L9" s="4">
        <v>389</v>
      </c>
      <c r="M9" s="5">
        <f t="shared" si="4"/>
        <v>0.24419334588826114</v>
      </c>
      <c r="N9" s="5">
        <f t="shared" si="7"/>
        <v>5.4200542005420058E-2</v>
      </c>
    </row>
    <row r="10" spans="2:14" ht="20.100000000000001" customHeight="1" x14ac:dyDescent="0.15">
      <c r="B10" s="2" t="s">
        <v>15</v>
      </c>
      <c r="C10" s="2">
        <v>419</v>
      </c>
      <c r="D10" s="3">
        <f t="shared" si="0"/>
        <v>0.25059808612440193</v>
      </c>
      <c r="E10" s="3">
        <f t="shared" si="1"/>
        <v>6.0759493670886074E-2</v>
      </c>
      <c r="F10" s="2">
        <v>431</v>
      </c>
      <c r="G10" s="3">
        <f t="shared" si="2"/>
        <v>0.25777511961722488</v>
      </c>
      <c r="H10" s="3">
        <f t="shared" si="5"/>
        <v>5.6372549019607844E-2</v>
      </c>
      <c r="I10" s="2">
        <v>421</v>
      </c>
      <c r="J10" s="3">
        <f t="shared" si="3"/>
        <v>0.25179425837320574</v>
      </c>
      <c r="K10" s="3">
        <f t="shared" ref="K10" si="11">(I10-I9)/I9</f>
        <v>4.9875311720698257E-2</v>
      </c>
      <c r="L10" s="2">
        <v>401</v>
      </c>
      <c r="M10" s="3">
        <f t="shared" si="4"/>
        <v>0.23983253588516745</v>
      </c>
      <c r="N10" s="3">
        <f t="shared" si="7"/>
        <v>3.0848329048843187E-2</v>
      </c>
    </row>
    <row r="11" spans="2:14" ht="20.100000000000001" customHeight="1" x14ac:dyDescent="0.15">
      <c r="B11" s="4" t="s">
        <v>16</v>
      </c>
      <c r="C11" s="4">
        <v>436</v>
      </c>
      <c r="D11" s="5">
        <f t="shared" si="0"/>
        <v>0.25100748416810592</v>
      </c>
      <c r="E11" s="5">
        <f t="shared" si="1"/>
        <v>4.0572792362768499E-2</v>
      </c>
      <c r="F11" s="4">
        <v>455</v>
      </c>
      <c r="G11" s="5">
        <f t="shared" si="2"/>
        <v>0.26194588370754174</v>
      </c>
      <c r="H11" s="5">
        <f t="shared" si="5"/>
        <v>5.5684454756380508E-2</v>
      </c>
      <c r="I11" s="4">
        <v>434</v>
      </c>
      <c r="J11" s="5">
        <f t="shared" si="3"/>
        <v>0.24985607369027057</v>
      </c>
      <c r="K11" s="5">
        <f t="shared" ref="K11" si="12">(I11-I10)/I10</f>
        <v>3.0878859857482184E-2</v>
      </c>
      <c r="L11" s="4">
        <v>412</v>
      </c>
      <c r="M11" s="5">
        <f t="shared" si="4"/>
        <v>0.23719055843408174</v>
      </c>
      <c r="N11" s="5">
        <f t="shared" si="7"/>
        <v>2.7431421446384038E-2</v>
      </c>
    </row>
    <row r="12" spans="2:14" ht="20.100000000000001" customHeight="1" x14ac:dyDescent="0.15">
      <c r="B12" s="2" t="s">
        <v>17</v>
      </c>
      <c r="C12" s="2">
        <v>458</v>
      </c>
      <c r="D12" s="3">
        <f t="shared" si="0"/>
        <v>0.25430316490838423</v>
      </c>
      <c r="E12" s="3">
        <f t="shared" si="1"/>
        <v>5.0458715596330278E-2</v>
      </c>
      <c r="F12" s="2">
        <v>465</v>
      </c>
      <c r="G12" s="3">
        <f t="shared" si="2"/>
        <v>0.25818989450305385</v>
      </c>
      <c r="H12" s="3">
        <f t="shared" si="5"/>
        <v>2.197802197802198E-2</v>
      </c>
      <c r="I12" s="2">
        <v>455</v>
      </c>
      <c r="J12" s="3">
        <f t="shared" si="3"/>
        <v>0.25263742365352582</v>
      </c>
      <c r="K12" s="3">
        <f t="shared" ref="K12" si="13">(I12-I11)/I11</f>
        <v>4.8387096774193547E-2</v>
      </c>
      <c r="L12" s="2">
        <v>423</v>
      </c>
      <c r="M12" s="3">
        <f t="shared" si="4"/>
        <v>0.2348695169350361</v>
      </c>
      <c r="N12" s="3">
        <f t="shared" si="7"/>
        <v>2.6699029126213591E-2</v>
      </c>
    </row>
    <row r="13" spans="2:14" ht="20.100000000000001" customHeight="1" x14ac:dyDescent="0.15">
      <c r="B13" s="4" t="s">
        <v>18</v>
      </c>
      <c r="C13" s="4">
        <v>469</v>
      </c>
      <c r="D13" s="5">
        <f t="shared" si="0"/>
        <v>0.25147453083109922</v>
      </c>
      <c r="E13" s="5">
        <f t="shared" si="1"/>
        <v>2.4017467248908297E-2</v>
      </c>
      <c r="F13" s="4">
        <v>495</v>
      </c>
      <c r="G13" s="5">
        <f t="shared" si="2"/>
        <v>0.26541554959785524</v>
      </c>
      <c r="H13" s="5">
        <f t="shared" si="5"/>
        <v>6.4516129032258063E-2</v>
      </c>
      <c r="I13" s="4">
        <v>465</v>
      </c>
      <c r="J13" s="5">
        <f t="shared" si="3"/>
        <v>0.24932975871313673</v>
      </c>
      <c r="K13" s="5">
        <f t="shared" ref="K13" si="14">(I13-I12)/I12</f>
        <v>2.197802197802198E-2</v>
      </c>
      <c r="L13" s="4">
        <v>436</v>
      </c>
      <c r="M13" s="5">
        <f t="shared" si="4"/>
        <v>0.23378016085790884</v>
      </c>
      <c r="N13" s="5">
        <f t="shared" si="7"/>
        <v>3.0732860520094562E-2</v>
      </c>
    </row>
    <row r="14" spans="2:14" ht="20.100000000000001" customHeight="1" x14ac:dyDescent="0.15">
      <c r="B14" s="2" t="s">
        <v>19</v>
      </c>
      <c r="C14" s="2">
        <v>472</v>
      </c>
      <c r="D14" s="3">
        <f t="shared" si="0"/>
        <v>0.24596143824908806</v>
      </c>
      <c r="E14" s="3">
        <f t="shared" si="1"/>
        <v>6.3965884861407248E-3</v>
      </c>
      <c r="F14" s="2">
        <v>499</v>
      </c>
      <c r="G14" s="3">
        <f t="shared" si="2"/>
        <v>0.26003126628452317</v>
      </c>
      <c r="H14" s="3">
        <f t="shared" si="5"/>
        <v>8.0808080808080808E-3</v>
      </c>
      <c r="I14" s="2">
        <v>489</v>
      </c>
      <c r="J14" s="3">
        <f t="shared" si="3"/>
        <v>0.25482021886399164</v>
      </c>
      <c r="K14" s="3">
        <f t="shared" ref="K14" si="15">(I14-I13)/I13</f>
        <v>5.1612903225806452E-2</v>
      </c>
      <c r="L14" s="2">
        <v>459</v>
      </c>
      <c r="M14" s="3">
        <f t="shared" si="4"/>
        <v>0.23918707660239708</v>
      </c>
      <c r="N14" s="3">
        <f t="shared" si="7"/>
        <v>5.2752293577981654E-2</v>
      </c>
    </row>
    <row r="15" spans="2:14" ht="20.100000000000001" customHeight="1" x14ac:dyDescent="0.15">
      <c r="B15" s="4" t="s">
        <v>20</v>
      </c>
      <c r="C15" s="4">
        <v>485</v>
      </c>
      <c r="D15" s="5">
        <f t="shared" si="0"/>
        <v>0.24433249370277077</v>
      </c>
      <c r="E15" s="5">
        <f t="shared" si="1"/>
        <v>2.7542372881355932E-2</v>
      </c>
      <c r="F15" s="4">
        <v>510</v>
      </c>
      <c r="G15" s="5">
        <f t="shared" si="2"/>
        <v>0.25692695214105793</v>
      </c>
      <c r="H15" s="5">
        <f t="shared" si="5"/>
        <v>2.2044088176352707E-2</v>
      </c>
      <c r="I15" s="4">
        <v>501</v>
      </c>
      <c r="J15" s="5">
        <f t="shared" si="3"/>
        <v>0.25239294710327453</v>
      </c>
      <c r="K15" s="5">
        <f t="shared" ref="K15" si="16">(I15-I14)/I14</f>
        <v>2.4539877300613498E-2</v>
      </c>
      <c r="L15" s="4">
        <v>489</v>
      </c>
      <c r="M15" s="5">
        <f t="shared" si="4"/>
        <v>0.24634760705289674</v>
      </c>
      <c r="N15" s="5">
        <f t="shared" si="7"/>
        <v>6.535947712418301E-2</v>
      </c>
    </row>
    <row r="16" spans="2:14" ht="20.100000000000001" customHeight="1" x14ac:dyDescent="0.15">
      <c r="B16" s="1" t="s">
        <v>21</v>
      </c>
      <c r="C16" s="6">
        <f>SUM(C4:C15)</f>
        <v>4624</v>
      </c>
      <c r="D16" s="6"/>
      <c r="E16" s="6"/>
      <c r="F16" s="6">
        <f>SUM(F4:F15)</f>
        <v>4861</v>
      </c>
      <c r="G16" s="6"/>
      <c r="H16" s="6"/>
      <c r="I16" s="7">
        <f>SUM(I4:I15)</f>
        <v>4852</v>
      </c>
      <c r="J16" s="8"/>
      <c r="K16" s="9"/>
      <c r="L16" s="7">
        <f>SUM(L4:L15)</f>
        <v>4488</v>
      </c>
      <c r="M16" s="8"/>
      <c r="N16" s="9"/>
    </row>
  </sheetData>
  <mergeCells count="9">
    <mergeCell ref="C16:E16"/>
    <mergeCell ref="F16:H16"/>
    <mergeCell ref="I16:K16"/>
    <mergeCell ref="L16:N16"/>
    <mergeCell ref="B2:B3"/>
    <mergeCell ref="C2:E2"/>
    <mergeCell ref="F2:H2"/>
    <mergeCell ref="I2:K2"/>
    <mergeCell ref="L2:N2"/>
  </mergeCells>
  <phoneticPr fontId="3" type="noConversion"/>
  <pageMargins left="0.69930555555555596" right="0.69930555555555596" top="0.75" bottom="0.75" header="0.3" footer="0.3"/>
  <pageSetup paperSize="9" orientation="portrait" horizontalDpi="2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2006-09-13T11:21:00Z</dcterms:created>
  <dcterms:modified xsi:type="dcterms:W3CDTF">2019-05-15T10:08:29Z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
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B13" i="1" l="1"/>
  <c r="C13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<sst xmlns="http://schemas.openxmlformats.org/spreadsheetml/2006/main" count="16" uniqueCount="16">
  <si>
    <t>销售地域成交金额分析</t>
  </si>
  <si>
    <t>地区</t>
  </si>
  <si>
    <t>成交金额</t>
  </si>
  <si>
    <t>去年同期</t>
  </si>
  <si>
    <t>今年增长</t>
  </si>
  <si>
    <t>华东</t>
  </si>
  <si>
    <t>华南</t>
  </si>
  <si>
    <t>华西</t>
  </si>
  <si>
    <t>华北</t>
  </si>
  <si>
    <t>华中</t>
  </si>
  <si>
    <t>西北</t>
  </si>
  <si>
    <t>西南</t>
  </si>
  <si>
    <t>东北</t>
  </si>
  <si>
    <t>港澳台</t>
  </si>
  <si>
    <t>海外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</si>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</sst>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6"/>
      <color theme="1" tint="0.249977111117893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1"/>
      <color theme="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B997"/>
        <bgColor indexed="64"/>
      </patternFill>
    </fill>
    <fill>
      <patternFill patternType="solid">
        <fgColor rgb="FFECFDF9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>
      <alignment vertical="center"/>
    </xf>
    <xf numFmtId="0" fontId="3" fillId="0" borderId="1" xfId="1" applyNumberFormat="1" applyFont="1" applyBorder="1">
      <alignment vertical="center"/>
    </xf>
    <xf numFmtId="0" fontId="3" fillId="3" borderId="1" xfId="0" applyNumberFormat="1" applyFont="1" applyFill="1" applyBorder="1">
      <alignment vertical="center"/>
    </xf>
    <xf numFmtId="0" fontId="3" fillId="3" borderId="1" xfId="1" applyNumberFormat="1" applyFont="1" applyFill="1" applyBorder="1">
      <alignment vertical="center"/>
    </xf>
    <xf numFmtId="0" fontId="1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E2AA00"/>
      <color rgb="FF1FB997"/>
      <color rgb="FFD8F9F1"/>
      <color rgb="FFECFDF9"/>
      <color rgb="FF8CEC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600" b="0" i="0" u="none" strike="noStrike" kern="1200" spc="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 b="0" i="0" u="none" strike="noStrike" kern="1200" cap="none" spc="0" normalizeH="0" baseline="0">
                <a:solidFill>
                  <a:schemeClr val="tx2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各地区本年成交金额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Sheet1!$B$2</c:f>
              <c:strCache>
                <c:ptCount val="1"/>
                <c:pt idx="0">
                  <c:v>成交金额</c:v>
                </c:pt>
              </c:strCache>
            </c:strRef>
          </c:tx>
          <c:spPr>
            <a:solidFill>
              <a:srgbClr val="ECFDF9"/>
            </a:solidFill>
            <a:ln w="57150" cap="rnd">
              <a:noFill/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580</c:v>
                </c:pt>
                <c:pt idx="1">
                  <c:v>1119</c:v>
                </c:pt>
                <c:pt idx="2">
                  <c:v>995</c:v>
                </c:pt>
                <c:pt idx="3">
                  <c:v>823</c:v>
                </c:pt>
                <c:pt idx="4">
                  <c:v>371</c:v>
                </c:pt>
                <c:pt idx="5">
                  <c:v>880</c:v>
                </c:pt>
                <c:pt idx="6">
                  <c:v>1063</c:v>
                </c:pt>
                <c:pt idx="7">
                  <c:v>1162</c:v>
                </c:pt>
                <c:pt idx="8">
                  <c:v>948</c:v>
                </c:pt>
                <c:pt idx="9">
                  <c:v>602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85E-4378-BD10-DCFE0E249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69824"/>
        <c:axId val="147471360"/>
      </c:areaChart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成交金额</c:v>
                </c:pt>
              </c:strCache>
            </c:strRef>
          </c:tx>
          <c:spPr>
            <a:solidFill>
              <a:srgbClr val="1FB997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580</c:v>
                </c:pt>
                <c:pt idx="1">
                  <c:v>1119</c:v>
                </c:pt>
                <c:pt idx="2">
                  <c:v>995</c:v>
                </c:pt>
                <c:pt idx="3">
                  <c:v>823</c:v>
                </c:pt>
                <c:pt idx="4">
                  <c:v>371</c:v>
                </c:pt>
                <c:pt idx="5">
                  <c:v>880</c:v>
                </c:pt>
                <c:pt idx="6">
                  <c:v>1063</c:v>
                </c:pt>
                <c:pt idx="7">
                  <c:v>1162</c:v>
                </c:pt>
                <c:pt idx="8">
                  <c:v>948</c:v>
                </c:pt>
                <c:pt idx="9">
                  <c:v>602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85E-4378-BD10-DCFE0E249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147469824"/>
        <c:axId val="147471360"/>
      </c:barChart>
      <c:catAx>
        <c:axId val="14746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7471360"/>
        <c:crosses val="autoZero"/>
        <c:auto val="1"/>
        <c:lblAlgn val="ctr"/>
        <c:lblOffset val="100"/>
        <c:noMultiLvlLbl val="0"/>
      </c:catAx>
      <c:valAx>
        <c:axId val="1474713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746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与去年同期对比分析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成交金额</c:v>
                </c:pt>
              </c:strCache>
            </c:strRef>
          </c:tx>
          <c:spPr>
            <a:solidFill>
              <a:srgbClr val="1FB99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580</c:v>
                </c:pt>
                <c:pt idx="1">
                  <c:v>1119</c:v>
                </c:pt>
                <c:pt idx="2">
                  <c:v>995</c:v>
                </c:pt>
                <c:pt idx="3">
                  <c:v>823</c:v>
                </c:pt>
                <c:pt idx="4">
                  <c:v>371</c:v>
                </c:pt>
                <c:pt idx="5">
                  <c:v>880</c:v>
                </c:pt>
                <c:pt idx="6">
                  <c:v>1063</c:v>
                </c:pt>
                <c:pt idx="7">
                  <c:v>1162</c:v>
                </c:pt>
                <c:pt idx="8">
                  <c:v>948</c:v>
                </c:pt>
                <c:pt idx="9">
                  <c:v>602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81A-4705-926D-FCC9B1FD27F1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去年同期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286</c:v>
                </c:pt>
                <c:pt idx="1">
                  <c:v>436</c:v>
                </c:pt>
                <c:pt idx="2">
                  <c:v>600</c:v>
                </c:pt>
                <c:pt idx="3">
                  <c:v>316</c:v>
                </c:pt>
                <c:pt idx="4">
                  <c:v>282</c:v>
                </c:pt>
                <c:pt idx="5">
                  <c:v>406</c:v>
                </c:pt>
                <c:pt idx="6">
                  <c:v>586</c:v>
                </c:pt>
                <c:pt idx="7">
                  <c:v>402</c:v>
                </c:pt>
                <c:pt idx="8">
                  <c:v>356</c:v>
                </c:pt>
                <c:pt idx="9">
                  <c:v>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81A-4705-926D-FCC9B1FD27F1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今年增长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294</c:v>
                </c:pt>
                <c:pt idx="1">
                  <c:v>683</c:v>
                </c:pt>
                <c:pt idx="2">
                  <c:v>395</c:v>
                </c:pt>
                <c:pt idx="3">
                  <c:v>507</c:v>
                </c:pt>
                <c:pt idx="4">
                  <c:v>89</c:v>
                </c:pt>
                <c:pt idx="5">
                  <c:v>474</c:v>
                </c:pt>
                <c:pt idx="6">
                  <c:v>477</c:v>
                </c:pt>
                <c:pt idx="7">
                  <c:v>760</c:v>
                </c:pt>
                <c:pt idx="8">
                  <c:v>592</c:v>
                </c:pt>
                <c:pt idx="9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81A-4705-926D-FCC9B1FD2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47982976"/>
        <c:axId val="147997056"/>
      </c:barChart>
      <c:catAx>
        <c:axId val="14798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7997056"/>
        <c:crosses val="autoZero"/>
        <c:auto val="1"/>
        <c:lblAlgn val="ctr"/>
        <c:lblOffset val="100"/>
        <c:noMultiLvlLbl val="0"/>
      </c:catAx>
      <c:valAx>
        <c:axId val="14799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798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384175</xdr:rowOff>
    </xdr:from>
    <xdr:to>
      <xdr:col>10</xdr:col>
      <xdr:colOff>514350</xdr:colOff>
      <xdr:row>13</xdr:row>
      <xdr:rowOff>2540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60325</xdr:rowOff>
    </xdr:from>
    <xdr:to>
      <xdr:col>10</xdr:col>
      <xdr:colOff>504190</xdr:colOff>
      <xdr:row>29</xdr:row>
      <xdr:rowOff>60325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workbookViewId="0">
      <selection activeCell="T12" sqref="T12"/>
    </sheetView>
  </sheetViews>
  <sheetFormatPr defaultColWidth="9" defaultRowHeight="13.5" x14ac:dyDescent="0.15"/>
  <cols>
    <col min="1" max="1" width="9.625" customWidth="1"/>
    <col min="2" max="2" width="10.75" customWidth="1"/>
    <col min="3" max="3" width="14.125"/>
    <col min="4" max="4" width="11.875" customWidth="1"/>
  </cols>
  <sheetData>
    <row r="1" spans="1:10" ht="30.95" customHeight="1" x14ac:dyDescent="0.15">
      <c r="A1" s="7" t="s">
        <v>0</v>
      </c>
      <c r="B1" s="7"/>
      <c r="C1" s="7"/>
      <c r="D1" s="7"/>
      <c r="E1" s="1"/>
      <c r="F1" s="1"/>
      <c r="G1" s="1"/>
      <c r="H1" s="1"/>
      <c r="I1" s="1"/>
      <c r="J1" s="1"/>
    </row>
    <row r="2" spans="1:10" ht="18.9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10" ht="18.95" customHeight="1" x14ac:dyDescent="0.15">
      <c r="A3" s="3" t="s">
        <v>5</v>
      </c>
      <c r="B3" s="3">
        <v>580</v>
      </c>
      <c r="C3" s="4">
        <v>286</v>
      </c>
      <c r="D3" s="4">
        <f>B3-C3</f>
        <v>294</v>
      </c>
    </row>
    <row r="4" spans="1:10" ht="18.95" customHeight="1" x14ac:dyDescent="0.15">
      <c r="A4" s="5" t="s">
        <v>6</v>
      </c>
      <c r="B4" s="5">
        <v>1119</v>
      </c>
      <c r="C4" s="6">
        <v>436</v>
      </c>
      <c r="D4" s="6">
        <f t="shared" ref="D4:D13" si="0">B4-C4</f>
        <v>683</v>
      </c>
    </row>
    <row r="5" spans="1:10" ht="18.95" customHeight="1" x14ac:dyDescent="0.15">
      <c r="A5" s="3" t="s">
        <v>7</v>
      </c>
      <c r="B5" s="3">
        <v>995</v>
      </c>
      <c r="C5" s="4">
        <v>600</v>
      </c>
      <c r="D5" s="4">
        <f t="shared" si="0"/>
        <v>395</v>
      </c>
    </row>
    <row r="6" spans="1:10" ht="18.95" customHeight="1" x14ac:dyDescent="0.15">
      <c r="A6" s="5" t="s">
        <v>8</v>
      </c>
      <c r="B6" s="5">
        <v>823</v>
      </c>
      <c r="C6" s="6">
        <v>316</v>
      </c>
      <c r="D6" s="6">
        <f t="shared" si="0"/>
        <v>507</v>
      </c>
    </row>
    <row r="7" spans="1:10" ht="18.95" customHeight="1" x14ac:dyDescent="0.15">
      <c r="A7" s="3" t="s">
        <v>9</v>
      </c>
      <c r="B7" s="3">
        <v>371</v>
      </c>
      <c r="C7" s="4">
        <v>282</v>
      </c>
      <c r="D7" s="4">
        <f t="shared" si="0"/>
        <v>89</v>
      </c>
    </row>
    <row r="8" spans="1:10" ht="18.95" customHeight="1" x14ac:dyDescent="0.15">
      <c r="A8" s="5" t="s">
        <v>10</v>
      </c>
      <c r="B8" s="5">
        <v>880</v>
      </c>
      <c r="C8" s="6">
        <v>406</v>
      </c>
      <c r="D8" s="6">
        <f t="shared" si="0"/>
        <v>474</v>
      </c>
    </row>
    <row r="9" spans="1:10" ht="18.95" customHeight="1" x14ac:dyDescent="0.15">
      <c r="A9" s="3" t="s">
        <v>11</v>
      </c>
      <c r="B9" s="3">
        <v>1063</v>
      </c>
      <c r="C9" s="4">
        <v>586</v>
      </c>
      <c r="D9" s="4">
        <f t="shared" si="0"/>
        <v>477</v>
      </c>
    </row>
    <row r="10" spans="1:10" ht="18.95" customHeight="1" x14ac:dyDescent="0.15">
      <c r="A10" s="5" t="s">
        <v>12</v>
      </c>
      <c r="B10" s="5">
        <v>1162</v>
      </c>
      <c r="C10" s="6">
        <v>402</v>
      </c>
      <c r="D10" s="6">
        <f t="shared" si="0"/>
        <v>760</v>
      </c>
    </row>
    <row r="11" spans="1:10" ht="18.95" customHeight="1" x14ac:dyDescent="0.15">
      <c r="A11" s="3" t="s">
        <v>13</v>
      </c>
      <c r="B11" s="3">
        <v>948</v>
      </c>
      <c r="C11" s="4">
        <v>356</v>
      </c>
      <c r="D11" s="4">
        <f t="shared" si="0"/>
        <v>592</v>
      </c>
    </row>
    <row r="12" spans="1:10" ht="18.95" customHeight="1" x14ac:dyDescent="0.15">
      <c r="A12" s="5" t="s">
        <v>14</v>
      </c>
      <c r="B12" s="5">
        <v>602</v>
      </c>
      <c r="C12" s="6">
        <v>584</v>
      </c>
      <c r="D12" s="6">
        <f t="shared" si="0"/>
        <v>18</v>
      </c>
    </row>
    <row r="13" spans="1:10" ht="18" customHeight="1" x14ac:dyDescent="0.15">
      <c r="A13" s="3" t="s">
        <v>15</v>
      </c>
      <c r="B13" s="3">
        <f>SUM(B3:B12)</f>
        <v>8543</v>
      </c>
      <c r="C13" s="4">
        <f>SUM(C3:C12)</f>
        <v>4254</v>
      </c>
      <c r="D13" s="4">
        <f t="shared" si="0"/>
        <v>4289</v>
      </c>
    </row>
  </sheetData>
  <mergeCells count="1">
    <mergeCell ref="A1:D1"/>
  </mergeCells>
  <phoneticPr fontId="5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2016-05-23T15:09:00Z</dcterms:created>
  <dcterms:modified xsi:type="dcterms:W3CDTF">2019-05-15T10:08:13Z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
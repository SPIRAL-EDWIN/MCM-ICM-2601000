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C18" i="1"/>
  <c r="B18" i="1"/>
  <c r="C15" i="1"/>
  <c r="B15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</calcChain>
</file>

<file path=xl/sharedStrings.xml><?xml version="1.0" encoding="utf-8"?>
<sst xmlns="http://schemas.openxmlformats.org/spreadsheetml/2006/main" count="24" uniqueCount="22">
  <si>
    <t>姓名</t>
  </si>
  <si>
    <t>去年销量</t>
  </si>
  <si>
    <t>今年销量</t>
  </si>
  <si>
    <t>目标销量</t>
  </si>
  <si>
    <t>销售增长率</t>
  </si>
  <si>
    <t>正增长</t>
  </si>
  <si>
    <t>负增长</t>
  </si>
  <si>
    <t>超产人员销量</t>
  </si>
  <si>
    <t>未达标人员销量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</si>
  <si>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</si>
  <si>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</si>
  <si>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</si>
  <si>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</si>
  <si>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</si>
  <si>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</si>
  <si>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</si>
  <si>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</si>
  <si>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</si>
  <si>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最大销量</t>
  </si>
  <si>
    <t>销量</t>
  </si>
  <si>
    <t>最大增长率</t>
  </si>
  <si>
    <t>增长比率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</si>
</sst>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color theme="9" tint="-0.249977111117893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0" fontId="1" fillId="0" borderId="0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Sheet1!$I$2</c:f>
              <c:strCache>
                <c:ptCount val="1"/>
                <c:pt idx="0">
                  <c:v>超产人员销量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Sheet1!$B$3:$B$11</c:f>
              <c:strCache>
                <c:ptCount val="9"/>
                <c:pt idx="0">
                  <c:v>N1</c:v>
                </c:pt>
                <c:pt idx="1">
                  <c:v>N2</c:v>
                </c:pt>
                <c:pt idx="2">
                  <c:v>N3</c:v>
                </c:pt>
                <c:pt idx="3">
                  <c:v>N4</c:v>
                </c:pt>
                <c:pt idx="4">
                  <c:v>N5</c:v>
                </c:pt>
                <c:pt idx="5">
                  <c:v>N6</c:v>
                </c:pt>
                <c:pt idx="6">
                  <c:v>N7</c:v>
                </c:pt>
                <c:pt idx="7">
                  <c:v>N8</c:v>
                </c:pt>
                <c:pt idx="8">
                  <c:v>N9</c:v>
                </c:pt>
              </c:strCache>
            </c:strRef>
          </c:cat>
          <c:val>
            <c:numRef>
              <c:f>Sheet1!$I$3:$I$11</c:f>
              <c:numCache>
                <c:formatCode>General</c:formatCode>
                <c:ptCount val="9"/>
                <c:pt idx="0">
                  <c:v>0</c:v>
                </c:pt>
                <c:pt idx="1">
                  <c:v>1342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1380</c:v>
                </c:pt>
                <c:pt idx="6">
                  <c:v>0</c:v>
                </c:pt>
                <c:pt idx="7">
                  <c:v>0</c:v>
                </c:pt>
                <c:pt idx="8">
                  <c:v>1316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FF2-4C6B-8254-0CC8F779257E}"/>
            </c:ext>
          </c:extLst>
        </c:ser>
        <c:ser>
          <c:idx val="2"/>
          <c:order val="1"/>
          <c:tx>
            <c:strRef>
              <c:f>Sheet1!$J$2</c:f>
              <c:strCache>
                <c:ptCount val="1"/>
                <c:pt idx="0">
                  <c:v>未达标人员销量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Sheet1!$B$3:$B$11</c:f>
              <c:strCache>
                <c:ptCount val="9"/>
                <c:pt idx="0">
                  <c:v>N1</c:v>
                </c:pt>
                <c:pt idx="1">
                  <c:v>N2</c:v>
                </c:pt>
                <c:pt idx="2">
                  <c:v>N3</c:v>
                </c:pt>
                <c:pt idx="3">
                  <c:v>N4</c:v>
                </c:pt>
                <c:pt idx="4">
                  <c:v>N5</c:v>
                </c:pt>
                <c:pt idx="5">
                  <c:v>N6</c:v>
                </c:pt>
                <c:pt idx="6">
                  <c:v>N7</c:v>
                </c:pt>
                <c:pt idx="7">
                  <c:v>N8</c:v>
                </c:pt>
                <c:pt idx="8">
                  <c:v>N9</c:v>
                </c:pt>
              </c:strCache>
            </c:strRef>
          </c:cat>
          <c:val>
            <c:numRef>
              <c:f>Sheet1!$J$3:$J$11</c:f>
              <c:numCache>
                <c:formatCode>General</c:formatCode>
                <c:ptCount val="9"/>
                <c:pt idx="0">
                  <c:v>1176</c:v>
                </c:pt>
                <c:pt idx="1">
                  <c:v>0</c:v>
                </c:pt>
                <c:pt idx="2">
                  <c:v>1143</c:v>
                </c:pt>
                <c:pt idx="3">
                  <c:v>1126</c:v>
                </c:pt>
                <c:pt idx="4">
                  <c:v>1103</c:v>
                </c:pt>
                <c:pt idx="5">
                  <c:v>0</c:v>
                </c:pt>
                <c:pt idx="6">
                  <c:v>1161</c:v>
                </c:pt>
                <c:pt idx="7">
                  <c:v>1155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FF2-4C6B-8254-0CC8F77925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31705216"/>
        <c:axId val="231719296"/>
      </c:barChart>
      <c:catAx>
        <c:axId val="231705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231719296"/>
        <c:crosses val="autoZero"/>
        <c:auto val="1"/>
        <c:lblAlgn val="ctr"/>
        <c:lblOffset val="100"/>
        <c:noMultiLvlLbl val="0"/>
      </c:catAx>
      <c:valAx>
        <c:axId val="231719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23170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正增长</c:v>
                </c:pt>
              </c:strCache>
            </c:strRef>
          </c:tx>
          <c:spPr>
            <a:noFill/>
            <a:ln w="19050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C5-4248-A5CD-342C5175011A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C5-4248-A5CD-342C5175011A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C5-4248-A5CD-342C5175011A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C5-4248-A5CD-342C51750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Sheet1!$B$3:$B$11</c:f>
              <c:strCache>
                <c:ptCount val="9"/>
                <c:pt idx="0">
                  <c:v>N1</c:v>
                </c:pt>
                <c:pt idx="1">
                  <c:v>N2</c:v>
                </c:pt>
                <c:pt idx="2">
                  <c:v>N3</c:v>
                </c:pt>
                <c:pt idx="3">
                  <c:v>N4</c:v>
                </c:pt>
                <c:pt idx="4">
                  <c:v>N5</c:v>
                </c:pt>
                <c:pt idx="5">
                  <c:v>N6</c:v>
                </c:pt>
                <c:pt idx="6">
                  <c:v>N7</c:v>
                </c:pt>
                <c:pt idx="7">
                  <c:v>N8</c:v>
                </c:pt>
                <c:pt idx="8">
                  <c:v>N9</c:v>
                </c:pt>
              </c:strCache>
            </c:strRef>
          </c:cat>
          <c:val>
            <c:numRef>
              <c:f>Sheet1!$G$3:$G$11</c:f>
              <c:numCache>
                <c:formatCode>0.00%</c:formatCode>
                <c:ptCount val="9"/>
                <c:pt idx="0">
                  <c:v>5.3763440860215055E-2</c:v>
                </c:pt>
                <c:pt idx="1">
                  <c:v>5.5031446540880505E-2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0.13300492610837439</c:v>
                </c:pt>
                <c:pt idx="6">
                  <c:v>0</c:v>
                </c:pt>
                <c:pt idx="7">
                  <c:v>0.11271676300578035</c:v>
                </c:pt>
                <c:pt idx="8">
                  <c:v>4.1139240506329111E-2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BC5-4248-A5CD-342C5175011A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负增长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C5-4248-A5CD-342C5175011A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BC5-4248-A5CD-342C5175011A}"/>
                </c:ext>
              </c:extLst>
            </c:dLbl>
            <c:dLbl>
              <c:idx val="2"/>
              <c:layout>
                <c:manualLayout>
                  <c:x val="0"/>
                  <c:y val="0.110069302894414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FBC5-4248-A5CD-342C5175011A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BC5-4248-A5CD-342C5175011A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C5-4248-A5CD-342C5175011A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BC5-4248-A5CD-342C51750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Sheet1!$B$3:$B$11</c:f>
              <c:strCache>
                <c:ptCount val="9"/>
                <c:pt idx="0">
                  <c:v>N1</c:v>
                </c:pt>
                <c:pt idx="1">
                  <c:v>N2</c:v>
                </c:pt>
                <c:pt idx="2">
                  <c:v>N3</c:v>
                </c:pt>
                <c:pt idx="3">
                  <c:v>N4</c:v>
                </c:pt>
                <c:pt idx="4">
                  <c:v>N5</c:v>
                </c:pt>
                <c:pt idx="5">
                  <c:v>N6</c:v>
                </c:pt>
                <c:pt idx="6">
                  <c:v>N7</c:v>
                </c:pt>
                <c:pt idx="7">
                  <c:v>N8</c:v>
                </c:pt>
                <c:pt idx="8">
                  <c:v>N9</c:v>
                </c:pt>
              </c:strCache>
            </c:strRef>
          </c:cat>
          <c:val>
            <c:numRef>
              <c:f>Sheet1!$H$3:$H$11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-5.2219321148825066E-3</c:v>
                </c:pt>
                <c:pt idx="3">
                  <c:v>-7.9313164349959123E-2</c:v>
                </c:pt>
                <c:pt idx="4">
                  <c:v>-4.2534722222222224E-2</c:v>
                </c:pt>
                <c:pt idx="5">
                  <c:v>0</c:v>
                </c:pt>
                <c:pt idx="6">
                  <c:v>-1.5267175572519083E-2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FBC5-4248-A5CD-342C517501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7"/>
        <c:overlap val="-29"/>
        <c:axId val="215837696"/>
        <c:axId val="215839488"/>
      </c:barChart>
      <c:catAx>
        <c:axId val="215837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215839488"/>
        <c:crosses val="autoZero"/>
        <c:auto val="1"/>
        <c:lblAlgn val="ctr"/>
        <c:lblOffset val="100"/>
        <c:noMultiLvlLbl val="0"/>
      </c:catAx>
      <c:valAx>
        <c:axId val="215839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21583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lt1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8332857550670898"/>
          <c:y val="0.25111503165153798"/>
          <c:w val="0.474721103196385"/>
          <c:h val="0.69945237623425405"/>
        </c:manualLayout>
      </c:layout>
      <c:doughnutChart>
        <c:varyColors val="1"/>
        <c:ser>
          <c:idx val="0"/>
          <c:order val="0"/>
          <c:tx>
            <c:strRef>
              <c:f>Sheet1!$D$2</c:f>
              <c:strCache>
                <c:ptCount val="1"/>
                <c:pt idx="0">
                  <c:v>今年销量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774-49E4-A135-CA0CA9643BA9}"/>
              </c:ext>
            </c:extLst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774-49E4-A135-CA0CA9643BA9}"/>
              </c:ext>
            </c:extLst>
          </c:dPt>
          <c:dPt>
            <c:idx val="2"/>
            <c:bubble3D val="0"/>
            <c:spPr>
              <a:solidFill>
                <a:schemeClr val="accent3">
                  <a:shade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774-49E4-A135-CA0CA9643BA9}"/>
              </c:ext>
            </c:extLst>
          </c:dPt>
          <c:dPt>
            <c:idx val="3"/>
            <c:bubble3D val="0"/>
            <c:spPr>
              <a:solidFill>
                <a:schemeClr val="accent4">
                  <a:shade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774-49E4-A135-CA0CA9643BA9}"/>
              </c:ext>
            </c:extLst>
          </c:dPt>
          <c:dPt>
            <c:idx val="4"/>
            <c:bubble3D val="0"/>
            <c:spPr>
              <a:solidFill>
                <a:schemeClr val="accent5">
                  <a:shade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774-49E4-A135-CA0CA9643BA9}"/>
              </c:ext>
            </c:extLst>
          </c:dPt>
          <c:dPt>
            <c:idx val="5"/>
            <c:bubble3D val="0"/>
            <c:spPr>
              <a:solidFill>
                <a:schemeClr val="accent6">
                  <a:shade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774-49E4-A135-CA0CA9643BA9}"/>
              </c:ext>
            </c:extLst>
          </c:dPt>
          <c:dPt>
            <c:idx val="6"/>
            <c:bubble3D val="0"/>
            <c:spPr>
              <a:solidFill>
                <a:schemeClr val="accent1">
                  <a:tint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774-49E4-A135-CA0CA9643BA9}"/>
              </c:ext>
            </c:extLst>
          </c:dPt>
          <c:dPt>
            <c:idx val="7"/>
            <c:bubble3D val="0"/>
            <c:spPr>
              <a:solidFill>
                <a:schemeClr val="accent2">
                  <a:tint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9774-49E4-A135-CA0CA9643BA9}"/>
              </c:ext>
            </c:extLst>
          </c:dPt>
          <c:dPt>
            <c:idx val="8"/>
            <c:bubble3D val="0"/>
            <c:spPr>
              <a:solidFill>
                <a:schemeClr val="accent3">
                  <a:tint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9774-49E4-A135-CA0CA9643B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Sheet1!$B$3:$B$11</c:f>
              <c:strCache>
                <c:ptCount val="9"/>
                <c:pt idx="0">
                  <c:v>N1</c:v>
                </c:pt>
                <c:pt idx="1">
                  <c:v>N2</c:v>
                </c:pt>
                <c:pt idx="2">
                  <c:v>N3</c:v>
                </c:pt>
                <c:pt idx="3">
                  <c:v>N4</c:v>
                </c:pt>
                <c:pt idx="4">
                  <c:v>N5</c:v>
                </c:pt>
                <c:pt idx="5">
                  <c:v>N6</c:v>
                </c:pt>
                <c:pt idx="6">
                  <c:v>N7</c:v>
                </c:pt>
                <c:pt idx="7">
                  <c:v>N8</c:v>
                </c:pt>
                <c:pt idx="8">
                  <c:v>N9</c:v>
                </c:pt>
              </c:strCache>
            </c:strRef>
          </c:cat>
          <c:val>
            <c:numRef>
              <c:f>Sheet1!$D$3:$D$11</c:f>
              <c:numCache>
                <c:formatCode>General</c:formatCode>
                <c:ptCount val="9"/>
                <c:pt idx="0">
                  <c:v>1176</c:v>
                </c:pt>
                <c:pt idx="1">
                  <c:v>1342</c:v>
                </c:pt>
                <c:pt idx="2">
                  <c:v>1143</c:v>
                </c:pt>
                <c:pt idx="3">
                  <c:v>1126</c:v>
                </c:pt>
                <c:pt idx="4">
                  <c:v>1103</c:v>
                </c:pt>
                <c:pt idx="5">
                  <c:v>1380</c:v>
                </c:pt>
                <c:pt idx="6">
                  <c:v>1161</c:v>
                </c:pt>
                <c:pt idx="7">
                  <c:v>1155</c:v>
                </c:pt>
                <c:pt idx="8">
                  <c:v>1316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9774-49E4-A135-CA0CA9643BA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204396231801313"/>
          <c:y val="0.153522607781282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1</xdr:row>
      <xdr:rowOff>28575</xdr:rowOff>
    </xdr:from>
    <xdr:to>
      <xdr:col>16</xdr:col>
      <xdr:colOff>151765</xdr:colOff>
      <xdr:row>10</xdr:row>
      <xdr:rowOff>238125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56515</xdr:colOff>
      <xdr:row>12</xdr:row>
      <xdr:rowOff>27940</xdr:rowOff>
    </xdr:from>
    <xdr:to>
      <xdr:col>16</xdr:col>
      <xdr:colOff>180340</xdr:colOff>
      <xdr:row>18</xdr:row>
      <xdr:rowOff>28575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66674</xdr:colOff>
      <xdr:row>12</xdr:row>
      <xdr:rowOff>28574</xdr:rowOff>
    </xdr:from>
    <xdr:to>
      <xdr:col>10</xdr:col>
      <xdr:colOff>0</xdr:colOff>
      <xdr:row>18</xdr:row>
      <xdr:rowOff>19049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tabSelected="1" workbookViewId="0">
      <selection activeCell="W18" sqref="W18"/>
    </sheetView>
  </sheetViews>
  <sheetFormatPr defaultColWidth="9" defaultRowHeight="16.5" x14ac:dyDescent="0.15"/>
  <cols>
    <col min="1" max="1" width="1.625" customWidth="1"/>
    <col min="2" max="5" width="9" style="3"/>
    <col min="6" max="6" width="11" style="4" customWidth="1"/>
    <col min="7" max="7" width="8" style="5" customWidth="1"/>
    <col min="8" max="8" width="7.125" style="5" customWidth="1"/>
    <col min="9" max="9" width="7.125" style="3" customWidth="1"/>
    <col min="10" max="10" width="8.875" style="4" customWidth="1"/>
    <col min="11" max="16" width="9" style="3"/>
  </cols>
  <sheetData>
    <row r="2" spans="2:16" s="1" customFormat="1" ht="32.25" customHeight="1" x14ac:dyDescent="0.15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7" t="s">
        <v>5</v>
      </c>
      <c r="H2" s="7" t="s">
        <v>6</v>
      </c>
      <c r="I2" s="6" t="s">
        <v>7</v>
      </c>
      <c r="J2" s="6" t="s">
        <v>8</v>
      </c>
      <c r="K2" s="15"/>
      <c r="L2" s="15"/>
      <c r="M2" s="15"/>
      <c r="N2" s="15"/>
      <c r="O2" s="15"/>
      <c r="P2" s="15"/>
    </row>
    <row r="3" spans="2:16" ht="20.100000000000001" customHeight="1" x14ac:dyDescent="0.15">
      <c r="B3" s="8" t="s">
        <v>9</v>
      </c>
      <c r="C3" s="8">
        <v>1116</v>
      </c>
      <c r="D3" s="8">
        <v>1176</v>
      </c>
      <c r="E3" s="8">
        <v>1200</v>
      </c>
      <c r="F3" s="9">
        <f>(D3-C3)/C3</f>
        <v>5.3763440860215055E-2</v>
      </c>
      <c r="G3" s="9">
        <f>IF(F3&gt;0,F3,0)</f>
        <v>5.3763440860215055E-2</v>
      </c>
      <c r="H3" s="9">
        <f>IF(F3&lt;=0,F3,0)</f>
        <v>0</v>
      </c>
      <c r="I3" s="16">
        <f t="shared" ref="I3:I11" si="0">IF(D3&gt;E3,D3,0)</f>
        <v>0</v>
      </c>
      <c r="J3" s="16">
        <f t="shared" ref="J3:J11" si="1">IF(D3&lt;=E3,D3,0)</f>
        <v>1176</v>
      </c>
    </row>
    <row r="4" spans="2:16" ht="20.100000000000001" customHeight="1" x14ac:dyDescent="0.15">
      <c r="B4" s="8" t="s">
        <v>10</v>
      </c>
      <c r="C4" s="8">
        <v>1272</v>
      </c>
      <c r="D4" s="8">
        <v>1342</v>
      </c>
      <c r="E4" s="8">
        <v>1200</v>
      </c>
      <c r="F4" s="9">
        <f t="shared" ref="F4:F11" si="2">(D4-C4)/C4</f>
        <v>5.5031446540880505E-2</v>
      </c>
      <c r="G4" s="9">
        <f t="shared" ref="G4:G11" si="3">IF(F4&gt;0,F4,0)</f>
        <v>5.5031446540880505E-2</v>
      </c>
      <c r="H4" s="9">
        <f t="shared" ref="H4:H11" si="4">IF(F4&lt;=0,F4,0)</f>
        <v>0</v>
      </c>
      <c r="I4" s="16">
        <f t="shared" si="0"/>
        <v>1342</v>
      </c>
      <c r="J4" s="16">
        <f t="shared" si="1"/>
        <v>0</v>
      </c>
    </row>
    <row r="5" spans="2:16" ht="20.100000000000001" customHeight="1" x14ac:dyDescent="0.15">
      <c r="B5" s="8" t="s">
        <v>11</v>
      </c>
      <c r="C5" s="8">
        <v>1149</v>
      </c>
      <c r="D5" s="8">
        <v>1143</v>
      </c>
      <c r="E5" s="8">
        <v>1200</v>
      </c>
      <c r="F5" s="9">
        <f t="shared" si="2"/>
        <v>-5.2219321148825066E-3</v>
      </c>
      <c r="G5" s="9">
        <f t="shared" si="3"/>
        <v>0</v>
      </c>
      <c r="H5" s="9">
        <f t="shared" si="4"/>
        <v>-5.2219321148825066E-3</v>
      </c>
      <c r="I5" s="16">
        <f t="shared" si="0"/>
        <v>0</v>
      </c>
      <c r="J5" s="16">
        <f t="shared" si="1"/>
        <v>1143</v>
      </c>
    </row>
    <row r="6" spans="2:16" ht="20.100000000000001" customHeight="1" x14ac:dyDescent="0.15">
      <c r="B6" s="8" t="s">
        <v>12</v>
      </c>
      <c r="C6" s="8">
        <v>1223</v>
      </c>
      <c r="D6" s="8">
        <v>1126</v>
      </c>
      <c r="E6" s="8">
        <v>1200</v>
      </c>
      <c r="F6" s="9">
        <f t="shared" si="2"/>
        <v>-7.9313164349959123E-2</v>
      </c>
      <c r="G6" s="9">
        <f t="shared" si="3"/>
        <v>0</v>
      </c>
      <c r="H6" s="9">
        <f t="shared" si="4"/>
        <v>-7.9313164349959123E-2</v>
      </c>
      <c r="I6" s="16">
        <f t="shared" si="0"/>
        <v>0</v>
      </c>
      <c r="J6" s="16">
        <f t="shared" si="1"/>
        <v>1126</v>
      </c>
    </row>
    <row r="7" spans="2:16" ht="20.100000000000001" customHeight="1" x14ac:dyDescent="0.15">
      <c r="B7" s="8" t="s">
        <v>13</v>
      </c>
      <c r="C7" s="8">
        <v>1152</v>
      </c>
      <c r="D7" s="8">
        <v>1103</v>
      </c>
      <c r="E7" s="8">
        <v>1200</v>
      </c>
      <c r="F7" s="9">
        <f t="shared" si="2"/>
        <v>-4.2534722222222224E-2</v>
      </c>
      <c r="G7" s="9">
        <f t="shared" si="3"/>
        <v>0</v>
      </c>
      <c r="H7" s="9">
        <f t="shared" si="4"/>
        <v>-4.2534722222222224E-2</v>
      </c>
      <c r="I7" s="16">
        <f t="shared" si="0"/>
        <v>0</v>
      </c>
      <c r="J7" s="16">
        <f t="shared" si="1"/>
        <v>1103</v>
      </c>
    </row>
    <row r="8" spans="2:16" ht="20.100000000000001" customHeight="1" x14ac:dyDescent="0.15">
      <c r="B8" s="8" t="s">
        <v>14</v>
      </c>
      <c r="C8" s="8">
        <v>1218</v>
      </c>
      <c r="D8" s="8">
        <v>1380</v>
      </c>
      <c r="E8" s="8">
        <v>1200</v>
      </c>
      <c r="F8" s="9">
        <f t="shared" si="2"/>
        <v>0.13300492610837439</v>
      </c>
      <c r="G8" s="9">
        <f t="shared" si="3"/>
        <v>0.13300492610837439</v>
      </c>
      <c r="H8" s="9">
        <f t="shared" si="4"/>
        <v>0</v>
      </c>
      <c r="I8" s="16">
        <f t="shared" si="0"/>
        <v>1380</v>
      </c>
      <c r="J8" s="16">
        <f t="shared" si="1"/>
        <v>0</v>
      </c>
    </row>
    <row r="9" spans="2:16" ht="20.100000000000001" customHeight="1" x14ac:dyDescent="0.15">
      <c r="B9" s="8" t="s">
        <v>15</v>
      </c>
      <c r="C9" s="8">
        <v>1179</v>
      </c>
      <c r="D9" s="8">
        <v>1161</v>
      </c>
      <c r="E9" s="8">
        <v>1200</v>
      </c>
      <c r="F9" s="9">
        <f t="shared" si="2"/>
        <v>-1.5267175572519083E-2</v>
      </c>
      <c r="G9" s="9">
        <f t="shared" si="3"/>
        <v>0</v>
      </c>
      <c r="H9" s="9">
        <f t="shared" si="4"/>
        <v>-1.5267175572519083E-2</v>
      </c>
      <c r="I9" s="16">
        <f t="shared" si="0"/>
        <v>0</v>
      </c>
      <c r="J9" s="16">
        <f t="shared" si="1"/>
        <v>1161</v>
      </c>
    </row>
    <row r="10" spans="2:16" ht="20.100000000000001" customHeight="1" x14ac:dyDescent="0.15">
      <c r="B10" s="8" t="s">
        <v>16</v>
      </c>
      <c r="C10" s="8">
        <v>1038</v>
      </c>
      <c r="D10" s="8">
        <v>1155</v>
      </c>
      <c r="E10" s="8">
        <v>1200</v>
      </c>
      <c r="F10" s="9">
        <f t="shared" si="2"/>
        <v>0.11271676300578035</v>
      </c>
      <c r="G10" s="9">
        <f t="shared" si="3"/>
        <v>0.11271676300578035</v>
      </c>
      <c r="H10" s="9">
        <f t="shared" si="4"/>
        <v>0</v>
      </c>
      <c r="I10" s="16">
        <f t="shared" si="0"/>
        <v>0</v>
      </c>
      <c r="J10" s="16">
        <f t="shared" si="1"/>
        <v>1155</v>
      </c>
    </row>
    <row r="11" spans="2:16" ht="20.100000000000001" customHeight="1" x14ac:dyDescent="0.15">
      <c r="B11" s="8" t="s">
        <v>17</v>
      </c>
      <c r="C11" s="8">
        <v>1264</v>
      </c>
      <c r="D11" s="8">
        <v>1316</v>
      </c>
      <c r="E11" s="8">
        <v>1200</v>
      </c>
      <c r="F11" s="9">
        <f t="shared" si="2"/>
        <v>4.1139240506329111E-2</v>
      </c>
      <c r="G11" s="9">
        <f t="shared" si="3"/>
        <v>4.1139240506329111E-2</v>
      </c>
      <c r="H11" s="9">
        <f t="shared" si="4"/>
        <v>0</v>
      </c>
      <c r="I11" s="16">
        <f t="shared" si="0"/>
        <v>1316</v>
      </c>
      <c r="J11" s="16">
        <f t="shared" si="1"/>
        <v>0</v>
      </c>
    </row>
    <row r="12" spans="2:16" s="2" customFormat="1" ht="3" customHeight="1" x14ac:dyDescent="0.15">
      <c r="B12" s="10"/>
      <c r="C12" s="10"/>
      <c r="D12" s="10"/>
      <c r="E12" s="10"/>
      <c r="F12" s="11"/>
      <c r="G12" s="11"/>
      <c r="H12" s="11"/>
      <c r="I12" s="17"/>
      <c r="J12" s="17"/>
      <c r="K12" s="18"/>
      <c r="L12" s="18"/>
      <c r="M12" s="18"/>
      <c r="N12" s="18"/>
      <c r="O12" s="18"/>
      <c r="P12" s="18"/>
    </row>
    <row r="13" spans="2:16" ht="39.950000000000003" customHeight="1" x14ac:dyDescent="0.15">
      <c r="B13" s="19" t="s">
        <v>18</v>
      </c>
      <c r="C13" s="19"/>
    </row>
    <row r="14" spans="2:16" ht="39.950000000000003" customHeight="1" x14ac:dyDescent="0.15">
      <c r="B14" s="12" t="s">
        <v>0</v>
      </c>
      <c r="C14" s="12" t="s">
        <v>19</v>
      </c>
    </row>
    <row r="15" spans="2:16" ht="39.950000000000003" customHeight="1" x14ac:dyDescent="0.15">
      <c r="B15" s="13" t="str">
        <f>INDEX(B3:B11,MATCH(C15,D3:D11,0),)</f>
        <v>N6</v>
      </c>
      <c r="C15" s="13">
        <f>MAX(D3:D11)</f>
        <v>1380</v>
      </c>
    </row>
    <row r="16" spans="2:16" ht="39.950000000000003" customHeight="1" x14ac:dyDescent="0.15">
      <c r="B16" s="19" t="s">
        <v>20</v>
      </c>
      <c r="C16" s="19"/>
    </row>
    <row r="17" spans="2:3" ht="39.950000000000003" customHeight="1" x14ac:dyDescent="0.15">
      <c r="B17" s="12" t="s">
        <v>0</v>
      </c>
      <c r="C17" s="12" t="s">
        <v>21</v>
      </c>
    </row>
    <row r="18" spans="2:3" ht="39.950000000000003" customHeight="1" x14ac:dyDescent="0.15">
      <c r="B18" s="13" t="str">
        <f>INDEX(B3:B11,MATCH(C18,F3:F11,0),)</f>
        <v>N6</v>
      </c>
      <c r="C18" s="14">
        <f>MAX(F3:F11)</f>
        <v>0.13300492610837439</v>
      </c>
    </row>
    <row r="19" spans="2:3" ht="39.950000000000003" customHeight="1" x14ac:dyDescent="0.15"/>
  </sheetData>
  <mergeCells count="2">
    <mergeCell ref="B13:C13"/>
    <mergeCell ref="B16:C16"/>
  </mergeCells>
  <phoneticPr fontId="4" type="noConversion"/>
  <conditionalFormatting sqref="G2:H1048576">
    <cfRule type="cellIs" dxfId="1" priority="1" operator="equal">
      <formula>0</formula>
    </cfRule>
  </conditionalFormatting>
  <conditionalFormatting sqref="I2:J1048576">
    <cfRule type="cellIs" dxfId="0" priority="2" operator="equal">
      <formula>0</formula>
    </cfRule>
  </conditionalFormatting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2006-09-13T11:21:00Z</dcterms:created>
  <dcterms:modified xsi:type="dcterms:W3CDTF">2019-05-15T10:01:21Z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
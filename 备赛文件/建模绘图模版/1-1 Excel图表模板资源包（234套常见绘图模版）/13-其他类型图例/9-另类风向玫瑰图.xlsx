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3-其他类型图例\"/>
    </mc:Choice>
  </mc:AlternateContent>
  <xr:revisionPtr revIDLastSave="0" documentId="13_ncr:1_{4B7DBDC5-9B0B-4C93-97BE-0A3517CE0E84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 a="1"/>
  <c r="F5" i="1"/>
  <c r="G5" i="1"/>
  <c r="H5" i="1"/>
  <c r="I5" i="1"/>
  <c r="J5" i="1"/>
  <c r="K5" i="1"/>
  <c r="L5" i="1"/>
  <c r="M5" i="1"/>
  <c r="N5" i="1"/>
  <c r="D17" i="1"/>
  <c r="N6" i="1"/>
  <c r="M6" i="1"/>
  <c r="M17" i="1"/>
  <c r="L6" i="1"/>
  <c r="L17" i="1"/>
  <c r="K6" i="1"/>
  <c r="K17" i="1"/>
  <c r="J6" i="1"/>
  <c r="J17" i="1"/>
  <c r="I6" i="1"/>
  <c r="I17" i="1"/>
  <c r="H6" i="1"/>
  <c r="H17" i="1"/>
  <c r="G6" i="1"/>
  <c r="G17" i="1"/>
  <c r="F6" i="1"/>
  <c r="F17" i="1"/>
  <c r="E17" i="1"/>
  <c r="D16" i="1"/>
  <c r="N16" i="1"/>
  <c r="L16" i="1"/>
  <c r="K16" i="1"/>
  <c r="J16" i="1"/>
  <c r="I16" i="1"/>
  <c r="H16" i="1"/>
  <c r="G16" i="1"/>
  <c r="F16" i="1"/>
  <c r="E16" i="1"/>
  <c r="D15" i="1"/>
  <c r="N15" i="1"/>
  <c r="M15" i="1"/>
  <c r="K15" i="1"/>
  <c r="J15" i="1"/>
  <c r="I15" i="1"/>
  <c r="H15" i="1"/>
  <c r="G15" i="1"/>
  <c r="F15" i="1"/>
  <c r="E15" i="1"/>
  <c r="D14" i="1"/>
  <c r="N14" i="1"/>
  <c r="M14" i="1"/>
  <c r="L14" i="1"/>
  <c r="J14" i="1"/>
  <c r="I14" i="1"/>
  <c r="H14" i="1"/>
  <c r="G14" i="1"/>
  <c r="F14" i="1"/>
  <c r="E14" i="1"/>
  <c r="B14" i="1"/>
  <c r="D13" i="1"/>
  <c r="N13" i="1"/>
  <c r="M13" i="1"/>
  <c r="L13" i="1"/>
  <c r="K13" i="1"/>
  <c r="I13" i="1"/>
  <c r="H13" i="1"/>
  <c r="G13" i="1"/>
  <c r="F13" i="1"/>
  <c r="E13" i="1"/>
  <c r="B13" i="1"/>
  <c r="D12" i="1"/>
  <c r="N12" i="1"/>
  <c r="M12" i="1"/>
  <c r="L12" i="1"/>
  <c r="K12" i="1"/>
  <c r="J12" i="1"/>
  <c r="H12" i="1"/>
  <c r="G12" i="1"/>
  <c r="F12" i="1"/>
  <c r="E12" i="1"/>
  <c r="B12" i="1"/>
  <c r="D11" i="1"/>
  <c r="N11" i="1"/>
  <c r="M11" i="1"/>
  <c r="L11" i="1"/>
  <c r="K11" i="1"/>
  <c r="J11" i="1"/>
  <c r="I11" i="1"/>
  <c r="G11" i="1"/>
  <c r="F11" i="1"/>
  <c r="E11" i="1"/>
  <c r="B11" i="1"/>
  <c r="D10" i="1"/>
  <c r="N10" i="1"/>
  <c r="M10" i="1"/>
  <c r="L10" i="1"/>
  <c r="K10" i="1"/>
  <c r="J10" i="1"/>
  <c r="I10" i="1"/>
  <c r="H10" i="1"/>
  <c r="F10" i="1"/>
  <c r="E10" i="1"/>
  <c r="B10" i="1"/>
  <c r="D9" i="1"/>
  <c r="N9" i="1"/>
  <c r="M9" i="1"/>
  <c r="L9" i="1"/>
  <c r="K9" i="1"/>
  <c r="J9" i="1"/>
  <c r="I9" i="1"/>
  <c r="H9" i="1"/>
  <c r="G9" i="1"/>
  <c r="E9" i="1"/>
  <c r="B9" i="1"/>
  <c r="D8" i="1"/>
  <c r="N8" i="1"/>
  <c r="M8" i="1"/>
  <c r="L8" i="1"/>
  <c r="K8" i="1"/>
  <c r="J8" i="1"/>
  <c r="I8" i="1"/>
  <c r="H8" i="1"/>
  <c r="G8" i="1"/>
  <c r="F8" i="1"/>
  <c r="B8" i="1"/>
  <c r="E7" i="1" a="1"/>
  <c r="F7" i="1"/>
  <c r="G7" i="1"/>
  <c r="H7" i="1"/>
  <c r="I7" i="1"/>
  <c r="J7" i="1"/>
  <c r="K7" i="1"/>
  <c r="L7" i="1"/>
  <c r="M7" i="1"/>
  <c r="N7" i="1"/>
  <c r="E7" i="1"/>
  <c r="B7" i="1"/>
  <c r="B6" i="1"/>
  <c r="B5" i="1"/>
  <c r="E4" i="1" a="1"/>
  <c r="E4" i="1"/>
  <c r="E8" i="1"/>
  <c r="F4" i="1"/>
  <c r="F9" i="1"/>
  <c r="G4" i="1"/>
  <c r="G10" i="1"/>
  <c r="H4" i="1"/>
  <c r="H11" i="1"/>
  <c r="I4" i="1"/>
  <c r="I12" i="1"/>
  <c r="J4" i="1"/>
  <c r="J13" i="1"/>
  <c r="K4" i="1"/>
  <c r="K14" i="1"/>
  <c r="L4" i="1"/>
  <c r="L15" i="1"/>
  <c r="M4" i="1"/>
  <c r="M16" i="1"/>
  <c r="N4" i="1"/>
  <c r="N17" i="1"/>
</calcChain>
</file>

<file path=xl/sharedStrings.xml><?xml version="1.0" encoding="utf-8"?>
<sst xmlns="http://schemas.openxmlformats.org/spreadsheetml/2006/main" count="16" uniqueCount="16">
  <si>
    <t>名称</t>
  </si>
  <si>
    <t>数据</t>
  </si>
  <si>
    <t>转置数据</t>
  </si>
  <si>
    <t>A</t>
  </si>
  <si>
    <t>结束角度</t>
  </si>
  <si>
    <t>B</t>
  </si>
  <si>
    <t>开始角度</t>
  </si>
  <si>
    <t>C</t>
  </si>
  <si>
    <t>数据标签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</si>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</sst>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860724570554"/>
          <c:y val="7.4235437107402394E-2"/>
          <c:w val="0.78086822267421196"/>
          <c:h val="0.86914591832449495"/>
        </c:manualLayout>
      </c:layout>
      <c:doughnutChart>
        <c:varyColors val="1"/>
        <c:ser>
          <c:idx val="10"/>
          <c:order val="10"/>
          <c:tx>
            <c:v>圆环</c:v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98-42DD-B6BC-C1C0D0F3597E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98-42DD-B6BC-C1C0D0F3597E}"/>
              </c:ext>
            </c:extLst>
          </c:dPt>
          <c: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F698-42DD-B6BC-C1C0D0F3597E}"/>
            </c:ext>
          </c:extLst>
        </c:ser>
        <c:ser>
          <c:idx val="11"/>
          <c:order val="11"/>
          <c:tx>
            <c:v>圆环</c:v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698-42DD-B6BC-C1C0D0F3597E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698-42DD-B6BC-C1C0D0F3597E}"/>
              </c:ext>
            </c:extLst>
          </c:dPt>
          <c: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9-F698-42DD-B6BC-C1C0D0F3597E}"/>
            </c:ext>
          </c:extLst>
        </c:ser>
        <c:ser>
          <c:idx val="12"/>
          <c:order val="12"/>
          <c:tx>
            <c:v>圆环</c:v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698-42DD-B6BC-C1C0D0F3597E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698-42DD-B6BC-C1C0D0F3597E}"/>
              </c:ext>
            </c:extLst>
          </c:dPt>
          <c: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E-F698-42DD-B6BC-C1C0D0F3597E}"/>
            </c:ext>
          </c:extLst>
        </c:ser>
        <c:ser>
          <c:idx val="13"/>
          <c:order val="13"/>
          <c:tx>
            <c:v>圆环</c:v>
          </c:tx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698-42DD-B6BC-C1C0D0F3597E}"/>
              </c:ext>
            </c:extLst>
          </c:dPt>
          <c:dPt>
            <c:idx val="1"/>
            <c:bubble3D val="0"/>
            <c:spPr>
              <a:solidFill>
                <a:srgbClr val="EE64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698-42DD-B6BC-C1C0D0F3597E}"/>
              </c:ext>
            </c:extLst>
          </c:dPt>
          <c: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3-F698-42DD-B6BC-C1C0D0F35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90"/>
      </c:doughnutChart>
      <c:radarChart>
        <c:radarStyle val="marker"/>
        <c:varyColors val="0"/>
        <c:ser>
          <c:idx val="0"/>
          <c:order val="0"/>
          <c:spPr>
            <a:ln w="15875" cap="rnd">
              <a:solidFill>
                <a:srgbClr val="EE644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6448"/>
              </a:solidFill>
              <a:ln w="9525">
                <a:noFill/>
              </a:ln>
              <a:effectLst/>
            </c:spPr>
          </c:marker>
          <c:cat>
            <c:strRef>
              <c:f>案例!$E$7:$N$7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案例!$E$8:$N$8</c:f>
              <c:numCache>
                <c:formatCode>General</c:formatCode>
                <c:ptCount val="10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698-42DD-B6BC-C1C0D0F3597E}"/>
            </c:ext>
          </c:extLst>
        </c:ser>
        <c:ser>
          <c:idx val="1"/>
          <c:order val="1"/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6448"/>
              </a:solidFill>
              <a:ln w="9525">
                <a:noFill/>
              </a:ln>
              <a:effectLst/>
            </c:spPr>
          </c:marker>
          <c:cat>
            <c:strRef>
              <c:f>案例!$E$7:$N$7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案例!$E$9:$N$9</c:f>
              <c:numCache>
                <c:formatCode>General</c:formatCode>
                <c:ptCount val="10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698-42DD-B6BC-C1C0D0F3597E}"/>
            </c:ext>
          </c:extLst>
        </c:ser>
        <c:ser>
          <c:idx val="2"/>
          <c:order val="2"/>
          <c:spPr>
            <a:ln w="15875" cap="rnd">
              <a:solidFill>
                <a:srgbClr val="EE644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6448"/>
              </a:solidFill>
              <a:ln w="9525">
                <a:noFill/>
              </a:ln>
              <a:effectLst/>
            </c:spPr>
          </c:marker>
          <c:cat>
            <c:strRef>
              <c:f>案例!$E$7:$N$7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案例!$E$10:$N$10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698-42DD-B6BC-C1C0D0F3597E}"/>
            </c:ext>
          </c:extLst>
        </c:ser>
        <c:ser>
          <c:idx val="3"/>
          <c:order val="3"/>
          <c:spPr>
            <a:ln w="15875" cap="rnd">
              <a:solidFill>
                <a:srgbClr val="EE644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6448"/>
              </a:solidFill>
              <a:ln w="9525">
                <a:noFill/>
              </a:ln>
              <a:effectLst/>
            </c:spPr>
          </c:marker>
          <c:cat>
            <c:strRef>
              <c:f>案例!$E$7:$N$7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案例!$E$11:$N$11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698-42DD-B6BC-C1C0D0F3597E}"/>
            </c:ext>
          </c:extLst>
        </c:ser>
        <c:ser>
          <c:idx val="4"/>
          <c:order val="4"/>
          <c:spPr>
            <a:ln w="15875" cap="rnd">
              <a:solidFill>
                <a:srgbClr val="EE644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6448"/>
              </a:solidFill>
              <a:ln w="9525">
                <a:noFill/>
              </a:ln>
              <a:effectLst/>
            </c:spPr>
          </c:marker>
          <c:cat>
            <c:strRef>
              <c:f>案例!$E$7:$N$7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案例!$E$12:$N$12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698-42DD-B6BC-C1C0D0F3597E}"/>
            </c:ext>
          </c:extLst>
        </c:ser>
        <c:ser>
          <c:idx val="5"/>
          <c:order val="5"/>
          <c:spPr>
            <a:ln w="15875" cap="rnd">
              <a:solidFill>
                <a:srgbClr val="EE644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6448">
                  <a:alpha val="97000"/>
                </a:srgbClr>
              </a:solidFill>
              <a:ln w="9525">
                <a:noFill/>
              </a:ln>
              <a:effectLst/>
            </c:spPr>
          </c:marker>
          <c:cat>
            <c:strRef>
              <c:f>案例!$E$7:$N$7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案例!$E$13:$N$13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698-42DD-B6BC-C1C0D0F3597E}"/>
            </c:ext>
          </c:extLst>
        </c:ser>
        <c:ser>
          <c:idx val="6"/>
          <c:order val="6"/>
          <c:spPr>
            <a:ln w="15875" cap="rnd">
              <a:solidFill>
                <a:srgbClr val="EE644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6448"/>
              </a:solidFill>
              <a:ln w="9525">
                <a:noFill/>
              </a:ln>
              <a:effectLst/>
            </c:spPr>
          </c:marker>
          <c:cat>
            <c:strRef>
              <c:f>案例!$E$7:$N$7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案例!$E$14:$N$14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698-42DD-B6BC-C1C0D0F3597E}"/>
            </c:ext>
          </c:extLst>
        </c:ser>
        <c:ser>
          <c:idx val="7"/>
          <c:order val="7"/>
          <c:spPr>
            <a:ln w="15875" cap="rnd">
              <a:solidFill>
                <a:srgbClr val="EE644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6448"/>
              </a:solidFill>
              <a:ln w="9525">
                <a:noFill/>
              </a:ln>
              <a:effectLst/>
            </c:spPr>
          </c:marker>
          <c:cat>
            <c:strRef>
              <c:f>案例!$E$7:$N$7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案例!$E$15:$N$15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698-42DD-B6BC-C1C0D0F3597E}"/>
            </c:ext>
          </c:extLst>
        </c:ser>
        <c:ser>
          <c:idx val="8"/>
          <c:order val="8"/>
          <c:spPr>
            <a:ln w="15875" cap="rnd">
              <a:solidFill>
                <a:srgbClr val="EE644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6448"/>
              </a:solidFill>
              <a:ln w="9525">
                <a:noFill/>
              </a:ln>
              <a:effectLst/>
            </c:spPr>
          </c:marker>
          <c:cat>
            <c:strRef>
              <c:f>案例!$E$7:$N$7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案例!$E$16:$N$16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698-42DD-B6BC-C1C0D0F3597E}"/>
            </c:ext>
          </c:extLst>
        </c:ser>
        <c:ser>
          <c:idx val="9"/>
          <c:order val="9"/>
          <c:spPr>
            <a:ln w="15875" cap="rnd">
              <a:solidFill>
                <a:srgbClr val="EE644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6448"/>
              </a:solidFill>
              <a:ln w="9525">
                <a:noFill/>
              </a:ln>
              <a:effectLst/>
            </c:spPr>
          </c:marker>
          <c:cat>
            <c:strRef>
              <c:f>案例!$E$7:$N$7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案例!$E$17:$N$17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698-42DD-B6BC-C1C0D0F3597E}"/>
            </c:ext>
          </c:extLst>
        </c:ser>
        <c:ser>
          <c:idx val="14"/>
          <c:order val="14"/>
          <c:tx>
            <c:v>中心点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15875">
                <a:solidFill>
                  <a:srgbClr val="EE6448"/>
                </a:solidFill>
              </a:ln>
              <a:effectLst/>
            </c:spPr>
          </c:marker>
          <c:val>
            <c:numRef>
              <c:f>案例!$O$4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698-42DD-B6BC-C1C0D0F35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69792"/>
        <c:axId val="132376064"/>
      </c:radarChart>
      <c:catAx>
        <c:axId val="13236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376064"/>
        <c:crosses val="autoZero"/>
        <c:auto val="1"/>
        <c:lblAlgn val="ctr"/>
        <c:lblOffset val="100"/>
        <c:noMultiLvlLbl val="0"/>
      </c:catAx>
      <c:valAx>
        <c:axId val="132376064"/>
        <c:scaling>
          <c:orientation val="minMax"/>
          <c:max val="22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236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5</xdr:row>
      <xdr:rowOff>9526</xdr:rowOff>
    </xdr:from>
    <xdr:to>
      <xdr:col>18</xdr:col>
      <xdr:colOff>545105</xdr:colOff>
      <xdr:row>16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114059</xdr:colOff>
      <xdr:row>3</xdr:row>
      <xdr:rowOff>76200</xdr:rowOff>
    </xdr:from>
    <xdr:ext cx="2038827" cy="359073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04915" y="619125"/>
          <a:ext cx="2038985" cy="358775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1600" b="1" cap="none" spc="0">
              <a:ln w="22225">
                <a:noFill/>
                <a:prstDash val="solid"/>
              </a:ln>
              <a:solidFill>
                <a:schemeClr val="bg1">
                  <a:lumMod val="50000"/>
                </a:schemeClr>
              </a:solidFill>
              <a:effectLst/>
              <a:latin typeface="幼圆" panose="02010509060101010101" pitchFamily="49" charset="-122"/>
              <a:ea typeface="幼圆" panose="02010509060101010101" pitchFamily="49" charset="-122"/>
            </a:rPr>
            <a:t>请在此放置您的文字</a:t>
          </a:r>
        </a:p>
      </xdr:txBody>
    </xdr:sp>
    <xdr:clientData/>
  </xdr:oneCellAnchor>
  <xdr:twoCellAnchor>
    <xdr:from>
      <xdr:col>15</xdr:col>
      <xdr:colOff>209550</xdr:colOff>
      <xdr:row>4</xdr:row>
      <xdr:rowOff>180975</xdr:rowOff>
    </xdr:from>
    <xdr:to>
      <xdr:col>18</xdr:col>
      <xdr:colOff>476250</xdr:colOff>
      <xdr:row>4</xdr:row>
      <xdr:rowOff>180975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400800" y="933450"/>
          <a:ext cx="23241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O18"/>
  <sheetViews>
    <sheetView showGridLines="0" tabSelected="1" workbookViewId="0">
      <selection activeCell="F23" sqref="F23"/>
    </sheetView>
  </sheetViews>
  <sheetFormatPr defaultColWidth="9" defaultRowHeight="12.75" x14ac:dyDescent="0.4"/>
  <cols>
    <col min="1" max="1" width="9" style="1" customWidth="1"/>
    <col min="2" max="2" width="9" style="1"/>
    <col min="3" max="3" width="5.86328125" style="1" customWidth="1"/>
    <col min="4" max="4" width="9.265625" style="1" customWidth="1"/>
    <col min="5" max="15" width="4.3984375" style="1" customWidth="1"/>
    <col min="16" max="16384" width="9" style="1"/>
  </cols>
  <sheetData>
    <row r="1" spans="1:15" ht="14.25" customHeight="1" x14ac:dyDescent="0.4">
      <c r="B1" s="2"/>
    </row>
    <row r="2" spans="1:15" ht="14.25" customHeight="1" x14ac:dyDescent="0.4">
      <c r="B2" s="2"/>
    </row>
    <row r="3" spans="1:15" ht="14.25" customHeight="1" x14ac:dyDescent="0.4"/>
    <row r="4" spans="1:15" ht="13.9" x14ac:dyDescent="0.4">
      <c r="A4" s="3" t="s">
        <v>0</v>
      </c>
      <c r="B4" s="3" t="s">
        <v>1</v>
      </c>
      <c r="D4" s="3" t="s">
        <v>2</v>
      </c>
      <c r="E4" s="4">
        <f t="array" aca="1" ref="E4:N4" ca="1">TRANSPOSE(B5:B14)</f>
        <v>15</v>
      </c>
      <c r="F4" s="4">
        <f ca="1"/>
        <v>7</v>
      </c>
      <c r="G4" s="4">
        <f ca="1"/>
        <v>18</v>
      </c>
      <c r="H4" s="4">
        <f ca="1"/>
        <v>13</v>
      </c>
      <c r="I4" s="4">
        <f ca="1"/>
        <v>9</v>
      </c>
      <c r="J4" s="6">
        <f ca="1"/>
        <v>12</v>
      </c>
      <c r="K4" s="6">
        <f ca="1"/>
        <v>11</v>
      </c>
      <c r="L4" s="6">
        <f ca="1"/>
        <v>16</v>
      </c>
      <c r="M4" s="6">
        <f ca="1"/>
        <v>15</v>
      </c>
      <c r="N4" s="6">
        <f ca="1"/>
        <v>7</v>
      </c>
      <c r="O4" s="1">
        <v>0</v>
      </c>
    </row>
    <row r="5" spans="1:15" ht="13.9" x14ac:dyDescent="0.4">
      <c r="A5" s="1" t="s">
        <v>3</v>
      </c>
      <c r="B5" s="1">
        <f t="shared" ref="B5:B14" ca="1" si="0">RANDBETWEEN(5,20)</f>
        <v>15</v>
      </c>
      <c r="D5" s="3" t="s">
        <v>4</v>
      </c>
      <c r="E5" s="4">
        <v>36</v>
      </c>
      <c r="F5" s="4">
        <f t="shared" ref="F5:N5" si="1">E5+36</f>
        <v>72</v>
      </c>
      <c r="G5" s="4">
        <f t="shared" si="1"/>
        <v>108</v>
      </c>
      <c r="H5" s="4">
        <f t="shared" si="1"/>
        <v>144</v>
      </c>
      <c r="I5" s="4">
        <f t="shared" si="1"/>
        <v>180</v>
      </c>
      <c r="J5" s="6">
        <f t="shared" si="1"/>
        <v>216</v>
      </c>
      <c r="K5" s="6">
        <f t="shared" si="1"/>
        <v>252</v>
      </c>
      <c r="L5" s="6">
        <f t="shared" si="1"/>
        <v>288</v>
      </c>
      <c r="M5" s="6">
        <f t="shared" si="1"/>
        <v>324</v>
      </c>
      <c r="N5" s="6">
        <f t="shared" si="1"/>
        <v>360</v>
      </c>
    </row>
    <row r="6" spans="1:15" ht="13.9" x14ac:dyDescent="0.4">
      <c r="A6" s="1" t="s">
        <v>5</v>
      </c>
      <c r="B6" s="1">
        <f t="shared" ca="1" si="0"/>
        <v>7</v>
      </c>
      <c r="D6" s="3" t="s">
        <v>6</v>
      </c>
      <c r="E6" s="4">
        <v>0</v>
      </c>
      <c r="F6" s="4">
        <f t="shared" ref="F6:N6" si="2">E5</f>
        <v>36</v>
      </c>
      <c r="G6" s="4">
        <f t="shared" si="2"/>
        <v>72</v>
      </c>
      <c r="H6" s="4">
        <f t="shared" si="2"/>
        <v>108</v>
      </c>
      <c r="I6" s="4">
        <f t="shared" si="2"/>
        <v>144</v>
      </c>
      <c r="J6" s="6">
        <f t="shared" si="2"/>
        <v>180</v>
      </c>
      <c r="K6" s="6">
        <f t="shared" si="2"/>
        <v>216</v>
      </c>
      <c r="L6" s="6">
        <f t="shared" si="2"/>
        <v>252</v>
      </c>
      <c r="M6" s="6">
        <f t="shared" si="2"/>
        <v>288</v>
      </c>
      <c r="N6" s="6">
        <f t="shared" si="2"/>
        <v>324</v>
      </c>
    </row>
    <row r="7" spans="1:15" ht="13.9" x14ac:dyDescent="0.4">
      <c r="A7" s="1" t="s">
        <v>7</v>
      </c>
      <c r="B7" s="1">
        <f t="shared" ca="1" si="0"/>
        <v>18</v>
      </c>
      <c r="D7" s="3" t="s">
        <v>8</v>
      </c>
      <c r="E7" s="3" t="str">
        <f t="array" ref="E7:N7">TRANSPOSE(A5:A14)</f>
        <v>A</v>
      </c>
      <c r="F7" s="3" t="str">
        <v>B</v>
      </c>
      <c r="G7" s="3" t="str">
        <v>C</v>
      </c>
      <c r="H7" s="3" t="str">
        <v>D</v>
      </c>
      <c r="I7" s="3" t="str">
        <v>E</v>
      </c>
      <c r="J7" s="3" t="str">
        <v>F</v>
      </c>
      <c r="K7" s="3" t="str">
        <v>G</v>
      </c>
      <c r="L7" s="3" t="str">
        <v>H</v>
      </c>
      <c r="M7" s="3" t="str">
        <v>I</v>
      </c>
      <c r="N7" s="3" t="str">
        <v>J</v>
      </c>
    </row>
    <row r="8" spans="1:15" ht="13.9" x14ac:dyDescent="0.4">
      <c r="A8" s="1" t="s">
        <v>9</v>
      </c>
      <c r="B8" s="1">
        <f t="shared" ca="1" si="0"/>
        <v>13</v>
      </c>
      <c r="D8" s="5">
        <f t="array" ref="D8:D17">TRANSPOSE(E5:N5)</f>
        <v>36</v>
      </c>
      <c r="E8" s="5">
        <f t="shared" ref="E8:N17" ca="1" si="3">IF(($D8&gt;E$6)*($D8&lt;=E$5),E$4,)</f>
        <v>15</v>
      </c>
      <c r="F8" s="5">
        <f t="shared" si="3"/>
        <v>0</v>
      </c>
      <c r="G8" s="5">
        <f t="shared" si="3"/>
        <v>0</v>
      </c>
      <c r="H8" s="5">
        <f t="shared" si="3"/>
        <v>0</v>
      </c>
      <c r="I8" s="5">
        <f t="shared" si="3"/>
        <v>0</v>
      </c>
      <c r="J8" s="5">
        <f t="shared" si="3"/>
        <v>0</v>
      </c>
      <c r="K8" s="5">
        <f t="shared" si="3"/>
        <v>0</v>
      </c>
      <c r="L8" s="5">
        <f t="shared" si="3"/>
        <v>0</v>
      </c>
      <c r="M8" s="5">
        <f t="shared" si="3"/>
        <v>0</v>
      </c>
      <c r="N8" s="5">
        <f t="shared" si="3"/>
        <v>0</v>
      </c>
    </row>
    <row r="9" spans="1:15" ht="13.9" x14ac:dyDescent="0.4">
      <c r="A9" s="1" t="s">
        <v>10</v>
      </c>
      <c r="B9" s="1">
        <f t="shared" ca="1" si="0"/>
        <v>9</v>
      </c>
      <c r="D9" s="5">
        <v>72</v>
      </c>
      <c r="E9" s="5">
        <f t="shared" si="3"/>
        <v>0</v>
      </c>
      <c r="F9" s="5">
        <f t="shared" ca="1" si="3"/>
        <v>7</v>
      </c>
      <c r="G9" s="5">
        <f t="shared" si="3"/>
        <v>0</v>
      </c>
      <c r="H9" s="5">
        <f t="shared" si="3"/>
        <v>0</v>
      </c>
      <c r="I9" s="5">
        <f t="shared" si="3"/>
        <v>0</v>
      </c>
      <c r="J9" s="5">
        <f t="shared" si="3"/>
        <v>0</v>
      </c>
      <c r="K9" s="5">
        <f t="shared" si="3"/>
        <v>0</v>
      </c>
      <c r="L9" s="5">
        <f t="shared" si="3"/>
        <v>0</v>
      </c>
      <c r="M9" s="5">
        <f t="shared" si="3"/>
        <v>0</v>
      </c>
      <c r="N9" s="5">
        <f t="shared" si="3"/>
        <v>0</v>
      </c>
    </row>
    <row r="10" spans="1:15" ht="13.9" x14ac:dyDescent="0.4">
      <c r="A10" s="1" t="s">
        <v>11</v>
      </c>
      <c r="B10" s="1">
        <f t="shared" ca="1" si="0"/>
        <v>12</v>
      </c>
      <c r="D10" s="5">
        <v>108</v>
      </c>
      <c r="E10" s="5">
        <f t="shared" si="3"/>
        <v>0</v>
      </c>
      <c r="F10" s="5">
        <f t="shared" si="3"/>
        <v>0</v>
      </c>
      <c r="G10" s="5">
        <f t="shared" ca="1" si="3"/>
        <v>18</v>
      </c>
      <c r="H10" s="5">
        <f t="shared" si="3"/>
        <v>0</v>
      </c>
      <c r="I10" s="5">
        <f t="shared" si="3"/>
        <v>0</v>
      </c>
      <c r="J10" s="5">
        <f t="shared" si="3"/>
        <v>0</v>
      </c>
      <c r="K10" s="5">
        <f t="shared" si="3"/>
        <v>0</v>
      </c>
      <c r="L10" s="5">
        <f t="shared" si="3"/>
        <v>0</v>
      </c>
      <c r="M10" s="5">
        <f t="shared" si="3"/>
        <v>0</v>
      </c>
      <c r="N10" s="5">
        <f t="shared" si="3"/>
        <v>0</v>
      </c>
    </row>
    <row r="11" spans="1:15" ht="13.9" x14ac:dyDescent="0.4">
      <c r="A11" s="1" t="s">
        <v>12</v>
      </c>
      <c r="B11" s="1">
        <f t="shared" ca="1" si="0"/>
        <v>11</v>
      </c>
      <c r="D11" s="5">
        <v>144</v>
      </c>
      <c r="E11" s="5">
        <f t="shared" si="3"/>
        <v>0</v>
      </c>
      <c r="F11" s="5">
        <f t="shared" si="3"/>
        <v>0</v>
      </c>
      <c r="G11" s="5">
        <f t="shared" si="3"/>
        <v>0</v>
      </c>
      <c r="H11" s="5">
        <f t="shared" ca="1" si="3"/>
        <v>13</v>
      </c>
      <c r="I11" s="5">
        <f t="shared" si="3"/>
        <v>0</v>
      </c>
      <c r="J11" s="5">
        <f t="shared" si="3"/>
        <v>0</v>
      </c>
      <c r="K11" s="5">
        <f t="shared" si="3"/>
        <v>0</v>
      </c>
      <c r="L11" s="5">
        <f t="shared" si="3"/>
        <v>0</v>
      </c>
      <c r="M11" s="5">
        <f t="shared" si="3"/>
        <v>0</v>
      </c>
      <c r="N11" s="5">
        <f t="shared" si="3"/>
        <v>0</v>
      </c>
    </row>
    <row r="12" spans="1:15" ht="13.9" x14ac:dyDescent="0.4">
      <c r="A12" s="1" t="s">
        <v>13</v>
      </c>
      <c r="B12" s="1">
        <f t="shared" ca="1" si="0"/>
        <v>16</v>
      </c>
      <c r="D12" s="5">
        <v>180</v>
      </c>
      <c r="E12" s="5">
        <f t="shared" si="3"/>
        <v>0</v>
      </c>
      <c r="F12" s="5">
        <f t="shared" si="3"/>
        <v>0</v>
      </c>
      <c r="G12" s="5">
        <f t="shared" si="3"/>
        <v>0</v>
      </c>
      <c r="H12" s="5">
        <f t="shared" si="3"/>
        <v>0</v>
      </c>
      <c r="I12" s="5">
        <f t="shared" ca="1" si="3"/>
        <v>9</v>
      </c>
      <c r="J12" s="5">
        <f t="shared" si="3"/>
        <v>0</v>
      </c>
      <c r="K12" s="5">
        <f t="shared" si="3"/>
        <v>0</v>
      </c>
      <c r="L12" s="5">
        <f t="shared" si="3"/>
        <v>0</v>
      </c>
      <c r="M12" s="5">
        <f t="shared" si="3"/>
        <v>0</v>
      </c>
      <c r="N12" s="5">
        <f t="shared" si="3"/>
        <v>0</v>
      </c>
    </row>
    <row r="13" spans="1:15" ht="13.9" x14ac:dyDescent="0.4">
      <c r="A13" s="1" t="s">
        <v>14</v>
      </c>
      <c r="B13" s="1">
        <f t="shared" ca="1" si="0"/>
        <v>15</v>
      </c>
      <c r="D13" s="5">
        <v>216</v>
      </c>
      <c r="E13" s="5">
        <f t="shared" si="3"/>
        <v>0</v>
      </c>
      <c r="F13" s="5">
        <f t="shared" si="3"/>
        <v>0</v>
      </c>
      <c r="G13" s="5">
        <f t="shared" si="3"/>
        <v>0</v>
      </c>
      <c r="H13" s="5">
        <f t="shared" si="3"/>
        <v>0</v>
      </c>
      <c r="I13" s="5">
        <f t="shared" si="3"/>
        <v>0</v>
      </c>
      <c r="J13" s="5">
        <f t="shared" ca="1" si="3"/>
        <v>12</v>
      </c>
      <c r="K13" s="5">
        <f t="shared" si="3"/>
        <v>0</v>
      </c>
      <c r="L13" s="5">
        <f t="shared" si="3"/>
        <v>0</v>
      </c>
      <c r="M13" s="5">
        <f t="shared" si="3"/>
        <v>0</v>
      </c>
      <c r="N13" s="5">
        <f t="shared" si="3"/>
        <v>0</v>
      </c>
    </row>
    <row r="14" spans="1:15" ht="13.9" x14ac:dyDescent="0.4">
      <c r="A14" s="1" t="s">
        <v>15</v>
      </c>
      <c r="B14" s="1">
        <f t="shared" ca="1" si="0"/>
        <v>7</v>
      </c>
      <c r="D14" s="5">
        <v>252</v>
      </c>
      <c r="E14" s="5">
        <f t="shared" si="3"/>
        <v>0</v>
      </c>
      <c r="F14" s="5">
        <f t="shared" si="3"/>
        <v>0</v>
      </c>
      <c r="G14" s="5">
        <f t="shared" si="3"/>
        <v>0</v>
      </c>
      <c r="H14" s="5">
        <f t="shared" si="3"/>
        <v>0</v>
      </c>
      <c r="I14" s="5">
        <f t="shared" si="3"/>
        <v>0</v>
      </c>
      <c r="J14" s="5">
        <f t="shared" si="3"/>
        <v>0</v>
      </c>
      <c r="K14" s="5">
        <f t="shared" ca="1" si="3"/>
        <v>11</v>
      </c>
      <c r="L14" s="5">
        <f t="shared" si="3"/>
        <v>0</v>
      </c>
      <c r="M14" s="5">
        <f t="shared" si="3"/>
        <v>0</v>
      </c>
      <c r="N14" s="5">
        <f t="shared" si="3"/>
        <v>0</v>
      </c>
    </row>
    <row r="15" spans="1:15" ht="13.9" x14ac:dyDescent="0.4">
      <c r="D15" s="5">
        <v>288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ca="1" si="3"/>
        <v>16</v>
      </c>
      <c r="M15" s="5">
        <f t="shared" si="3"/>
        <v>0</v>
      </c>
      <c r="N15" s="5">
        <f t="shared" si="3"/>
        <v>0</v>
      </c>
    </row>
    <row r="16" spans="1:15" ht="13.9" x14ac:dyDescent="0.4">
      <c r="D16" s="5">
        <v>324</v>
      </c>
      <c r="E16" s="5">
        <f t="shared" si="3"/>
        <v>0</v>
      </c>
      <c r="F16" s="5">
        <f t="shared" si="3"/>
        <v>0</v>
      </c>
      <c r="G16" s="5">
        <f t="shared" si="3"/>
        <v>0</v>
      </c>
      <c r="H16" s="5">
        <f t="shared" si="3"/>
        <v>0</v>
      </c>
      <c r="I16" s="5">
        <f t="shared" si="3"/>
        <v>0</v>
      </c>
      <c r="J16" s="5">
        <f t="shared" si="3"/>
        <v>0</v>
      </c>
      <c r="K16" s="5">
        <f t="shared" si="3"/>
        <v>0</v>
      </c>
      <c r="L16" s="5">
        <f t="shared" si="3"/>
        <v>0</v>
      </c>
      <c r="M16" s="5">
        <f t="shared" ca="1" si="3"/>
        <v>15</v>
      </c>
      <c r="N16" s="5">
        <f t="shared" si="3"/>
        <v>0</v>
      </c>
    </row>
    <row r="17" spans="4:14" ht="13.9" x14ac:dyDescent="0.4">
      <c r="D17" s="5">
        <v>360</v>
      </c>
      <c r="E17" s="5">
        <f t="shared" si="3"/>
        <v>0</v>
      </c>
      <c r="F17" s="5">
        <f t="shared" si="3"/>
        <v>0</v>
      </c>
      <c r="G17" s="5">
        <f t="shared" si="3"/>
        <v>0</v>
      </c>
      <c r="H17" s="5">
        <f t="shared" si="3"/>
        <v>0</v>
      </c>
      <c r="I17" s="5">
        <f t="shared" si="3"/>
        <v>0</v>
      </c>
      <c r="J17" s="5">
        <f t="shared" si="3"/>
        <v>0</v>
      </c>
      <c r="K17" s="5">
        <f t="shared" si="3"/>
        <v>0</v>
      </c>
      <c r="L17" s="5">
        <f t="shared" si="3"/>
        <v>0</v>
      </c>
      <c r="M17" s="5">
        <f t="shared" si="3"/>
        <v>0</v>
      </c>
      <c r="N17" s="5">
        <f t="shared" ca="1" si="3"/>
        <v>7</v>
      </c>
    </row>
    <row r="18" spans="4:14" ht="13.9" x14ac:dyDescent="0.4">
      <c r="D18" s="5"/>
    </row>
  </sheetData>
  <phoneticPr fontId="7" type="noConversion"/>
  <pageMargins left="0.69930555555555596" right="0.69930555555555596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2016-11-21T06:24:00Z</dcterms:created>
  <dcterms:modified xsi:type="dcterms:W3CDTF">2021-03-16T02:36:14Z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
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C9CC7908-A624-4E42-BD1C-C05E1D030D41}" xr6:coauthVersionLast="46" xr6:coauthVersionMax="46" xr10:uidLastSave="{00000000-0000-0000-0000-000000000000}"/>
  <bookViews>
    <workbookView xWindow="-98" yWindow="-98" windowWidth="19396" windowHeight="11596" tabRatio="690" xr2:uid="{00000000-000D-0000-FFFF-FFFF00000000}"/>
  </bookViews>
  <sheets>
    <sheet name="案例" sheetId="9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2" i="9" l="1"/>
  <c r="J201" i="9"/>
  <c r="J200" i="9"/>
  <c r="J199" i="9"/>
  <c r="J198" i="9"/>
  <c r="J197" i="9"/>
  <c r="J196" i="9"/>
  <c r="J195" i="9"/>
  <c r="J194" i="9"/>
  <c r="J193" i="9"/>
  <c r="J192" i="9"/>
  <c r="J191" i="9"/>
  <c r="J190" i="9"/>
  <c r="J189" i="9"/>
  <c r="J188" i="9"/>
  <c r="J187" i="9"/>
  <c r="J186" i="9"/>
  <c r="J185" i="9"/>
  <c r="J184" i="9"/>
  <c r="J183" i="9"/>
  <c r="J182" i="9"/>
  <c r="J181" i="9"/>
  <c r="J180" i="9"/>
  <c r="J179" i="9"/>
  <c r="J178" i="9"/>
  <c r="J177" i="9"/>
  <c r="J176" i="9"/>
  <c r="J175" i="9"/>
  <c r="J174" i="9"/>
  <c r="J173" i="9"/>
  <c r="J172" i="9"/>
  <c r="J171" i="9"/>
  <c r="J170" i="9"/>
  <c r="J169" i="9"/>
  <c r="J168" i="9"/>
  <c r="J167" i="9"/>
  <c r="J166" i="9"/>
  <c r="J165" i="9"/>
  <c r="J164" i="9"/>
  <c r="J163" i="9"/>
  <c r="J162" i="9"/>
  <c r="J161" i="9"/>
  <c r="J160" i="9"/>
  <c r="J159" i="9"/>
  <c r="J158" i="9"/>
  <c r="J157" i="9"/>
  <c r="J156" i="9"/>
  <c r="J155" i="9"/>
  <c r="J154" i="9"/>
  <c r="J153" i="9"/>
  <c r="J152" i="9"/>
  <c r="J151" i="9"/>
  <c r="J150" i="9"/>
  <c r="J149" i="9"/>
  <c r="J148" i="9"/>
  <c r="J147" i="9"/>
  <c r="J146" i="9"/>
  <c r="J145" i="9"/>
  <c r="J144" i="9"/>
  <c r="J143" i="9"/>
  <c r="J142" i="9"/>
  <c r="J141" i="9"/>
  <c r="J140" i="9"/>
  <c r="J139" i="9"/>
  <c r="J138" i="9"/>
  <c r="J137" i="9"/>
  <c r="J136" i="9"/>
  <c r="J135" i="9"/>
  <c r="J134" i="9"/>
  <c r="J133" i="9"/>
  <c r="J132" i="9"/>
  <c r="J131" i="9"/>
  <c r="J130" i="9"/>
  <c r="J129" i="9"/>
  <c r="J128" i="9"/>
  <c r="J127" i="9"/>
  <c r="J126" i="9"/>
  <c r="J125" i="9"/>
  <c r="J124" i="9"/>
  <c r="J123" i="9"/>
  <c r="J122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J89" i="9"/>
  <c r="J88" i="9"/>
  <c r="J87" i="9"/>
  <c r="J86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T10" i="9"/>
  <c r="J10" i="9"/>
  <c r="J9" i="9"/>
  <c r="J8" i="9"/>
  <c r="J7" i="9"/>
  <c r="S5" i="9" a="1"/>
  <c r="X5" i="9"/>
  <c r="X6" i="9"/>
  <c r="W5" i="9"/>
  <c r="W6" i="9"/>
  <c r="V5" i="9"/>
  <c r="V6" i="9"/>
  <c r="U5" i="9"/>
  <c r="U6" i="9"/>
  <c r="T5" i="9"/>
  <c r="T6" i="9"/>
  <c r="S5" i="9"/>
  <c r="S6" i="9"/>
  <c r="J6" i="9"/>
  <c r="J5" i="9"/>
  <c r="Y4" i="9" a="1"/>
  <c r="Y5" i="9"/>
  <c r="Y6" i="9"/>
  <c r="Y7" i="9"/>
  <c r="Y8" i="9"/>
  <c r="Y9" i="9"/>
  <c r="Y4" i="9"/>
  <c r="S4" i="9" a="1"/>
  <c r="T4" i="9"/>
  <c r="U4" i="9"/>
  <c r="V4" i="9"/>
  <c r="W4" i="9"/>
  <c r="X4" i="9"/>
  <c r="S4" i="9"/>
</calcChain>
</file>

<file path=xl/sharedStrings.xml><?xml version="1.0" encoding="utf-8"?>
<sst xmlns="http://schemas.openxmlformats.org/spreadsheetml/2006/main" count="1213" uniqueCount="121">
  <si>
    <t>https://shop101189323.taobao.com</t>
  </si>
  <si>
    <t>https://item.jd.com/12005778.html</t>
  </si>
  <si>
    <t>地区</t>
  </si>
  <si>
    <t>城市</t>
  </si>
  <si>
    <t>公司名称</t>
  </si>
  <si>
    <t>姓名</t>
  </si>
  <si>
    <t>类别名称</t>
  </si>
  <si>
    <t>产品名称</t>
  </si>
  <si>
    <t>订购日期</t>
  </si>
  <si>
    <t>数量</t>
  </si>
  <si>
    <t>单价</t>
  </si>
  <si>
    <t>总价</t>
  </si>
  <si>
    <t>一月</t>
  </si>
  <si>
    <t>二月</t>
  </si>
  <si>
    <t>三月</t>
  </si>
  <si>
    <t>四月</t>
  </si>
  <si>
    <t>五月</t>
  </si>
  <si>
    <t>六月</t>
  </si>
  <si>
    <t>华北</t>
  </si>
  <si>
    <t>天津</t>
  </si>
  <si>
    <t>高上补习班</t>
  </si>
  <si>
    <t>张颖</t>
  </si>
  <si>
    <t>饮料</t>
  </si>
  <si>
    <t>苹果汁</t>
  </si>
  <si>
    <t>华东</t>
  </si>
  <si>
    <t>温州</t>
  </si>
  <si>
    <t>学仁贸易</t>
  </si>
  <si>
    <t>郑建杰</t>
  </si>
  <si>
    <t>正太实业</t>
  </si>
  <si>
    <t>孙林</t>
  </si>
  <si>
    <t>凯旋科技</t>
  </si>
  <si>
    <t>刘英玫</t>
  </si>
  <si>
    <t>东北</t>
  </si>
  <si>
    <t>大连</t>
  </si>
  <si>
    <t>就业广兑</t>
  </si>
  <si>
    <t>金士鹏</t>
  </si>
  <si>
    <t>浩天旅行社</t>
  </si>
  <si>
    <t>李芳</t>
  </si>
  <si>
    <t>池春建设</t>
  </si>
  <si>
    <t>张家口</t>
  </si>
  <si>
    <t>康毅系统</t>
  </si>
  <si>
    <t>赵军</t>
  </si>
  <si>
    <t>南京</t>
  </si>
  <si>
    <t>幸义房屋</t>
  </si>
  <si>
    <t>石家庄</t>
  </si>
  <si>
    <t>升格企业</t>
  </si>
  <si>
    <t>协昌妮绒有限公司</t>
  </si>
  <si>
    <t>华科</t>
  </si>
  <si>
    <t>常州</t>
  </si>
  <si>
    <t>迈策船舶</t>
  </si>
  <si>
    <t>汉典电机</t>
  </si>
  <si>
    <t>国皓</t>
  </si>
  <si>
    <t>师大贸易</t>
  </si>
  <si>
    <t>张雪眉</t>
  </si>
  <si>
    <t>通恒机械</t>
  </si>
  <si>
    <t>王伟</t>
  </si>
  <si>
    <t>西南</t>
  </si>
  <si>
    <t>重庆</t>
  </si>
  <si>
    <t>大钰贸易</t>
  </si>
  <si>
    <t>华南</t>
  </si>
  <si>
    <t>海口</t>
  </si>
  <si>
    <t>保信人寿</t>
  </si>
  <si>
    <t>富同企业</t>
  </si>
  <si>
    <t>深圳</t>
  </si>
  <si>
    <t>远东开发</t>
  </si>
  <si>
    <t>艾德高科技</t>
  </si>
  <si>
    <t>凯诚国际顾问公司</t>
  </si>
  <si>
    <t>建资</t>
  </si>
  <si>
    <t>广通</t>
  </si>
  <si>
    <t>成都</t>
  </si>
  <si>
    <t>新巨企业</t>
  </si>
  <si>
    <t>志远有限公司</t>
  </si>
  <si>
    <t>北京</t>
  </si>
  <si>
    <t>仪和贸易</t>
  </si>
  <si>
    <t>福星制衣厂股份有限公司</t>
  </si>
  <si>
    <t>中通</t>
  </si>
  <si>
    <t>永大企业</t>
  </si>
  <si>
    <t>牛奶</t>
  </si>
  <si>
    <t>正人资源</t>
  </si>
  <si>
    <t>五洲信托</t>
  </si>
  <si>
    <t>秦皇岛</t>
  </si>
  <si>
    <t>友恒信托</t>
  </si>
  <si>
    <t>厦门</t>
  </si>
  <si>
    <t>万海</t>
  </si>
  <si>
    <t>椅天文化事业</t>
  </si>
  <si>
    <t>宇欣实业</t>
  </si>
  <si>
    <t>国顶有限公司</t>
  </si>
  <si>
    <t>一诠精密工业</t>
  </si>
  <si>
    <t>千固</t>
  </si>
  <si>
    <t>西北</t>
  </si>
  <si>
    <t>西安</t>
  </si>
  <si>
    <t>鑫增贸易</t>
  </si>
  <si>
    <t>坦森行贸易</t>
  </si>
  <si>
    <t>阳林</t>
  </si>
  <si>
    <t>上海</t>
  </si>
  <si>
    <t>业兴</t>
  </si>
  <si>
    <t>汽水</t>
  </si>
  <si>
    <t>德化食品</t>
  </si>
  <si>
    <t>康浦</t>
  </si>
  <si>
    <t>红阳事业</t>
  </si>
  <si>
    <t>汉光企管</t>
  </si>
  <si>
    <t>青岛</t>
  </si>
  <si>
    <t>东帝望</t>
  </si>
  <si>
    <t>中硕贸易</t>
  </si>
  <si>
    <t>南昌</t>
  </si>
  <si>
    <t>实翼</t>
  </si>
  <si>
    <t>顶上系统</t>
  </si>
  <si>
    <t>和福建设</t>
  </si>
  <si>
    <t>留学服务中心</t>
  </si>
  <si>
    <t>嘉业</t>
  </si>
  <si>
    <t>永业房屋</t>
  </si>
  <si>
    <t>建国科技</t>
  </si>
  <si>
    <t>啤酒</t>
  </si>
  <si>
    <t>上河工业</t>
  </si>
  <si>
    <t>威航货运有限公司</t>
  </si>
  <si>
    <t>兰格英语</t>
  </si>
  <si>
    <t>蜜桃汁</t>
  </si>
  <si>
    <t>光明杂志</t>
  </si>
  <si>
    <t>昇昕股份有限公司</t>
  </si>
  <si>
    <t>绿茶</t>
  </si>
  <si>
    <t>百达电子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</si>
</sst>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\¥#,##0.00;\(&quot;$&quot;#,##0.00\)"/>
    <numFmt numFmtId="177" formatCode="\¥#,##0.00_);\(\¥#,##0.00\)"/>
    <numFmt numFmtId="178" formatCode="yyyy\-mm\-dd"/>
  </numFmts>
  <fonts count="1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0"/>
      <color theme="0" tint="-0.499984740745262"/>
      <name val="微软雅黑"/>
      <family val="2"/>
      <charset val="134"/>
    </font>
    <font>
      <sz val="11"/>
      <color theme="0" tint="-0.499984740745262"/>
      <name val="微软雅黑"/>
      <family val="2"/>
      <charset val="134"/>
    </font>
    <font>
      <sz val="9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sz val="12"/>
      <color indexed="8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F286B4"/>
      </left>
      <right/>
      <top style="medium">
        <color rgb="FFF286B4"/>
      </top>
      <bottom/>
      <diagonal/>
    </border>
    <border>
      <left/>
      <right/>
      <top style="medium">
        <color rgb="FFF286B4"/>
      </top>
      <bottom/>
      <diagonal/>
    </border>
    <border>
      <left style="medium">
        <color rgb="FFF286B4"/>
      </left>
      <right/>
      <top/>
      <bottom/>
      <diagonal/>
    </border>
    <border>
      <left style="medium">
        <color rgb="FFF286B4"/>
      </left>
      <right/>
      <top/>
      <bottom style="medium">
        <color rgb="FFF286B4"/>
      </bottom>
      <diagonal/>
    </border>
    <border>
      <left/>
      <right/>
      <top/>
      <bottom style="medium">
        <color rgb="FFF286B4"/>
      </bottom>
      <diagonal/>
    </border>
    <border>
      <left/>
      <right style="medium">
        <color rgb="FFF286B4"/>
      </right>
      <top style="medium">
        <color rgb="FFF286B4"/>
      </top>
      <bottom/>
      <diagonal/>
    </border>
    <border>
      <left/>
      <right style="medium">
        <color rgb="FFF286B4"/>
      </right>
      <top/>
      <bottom/>
      <diagonal/>
    </border>
    <border>
      <left/>
      <right style="medium">
        <color rgb="FFF286B4"/>
      </right>
      <top/>
      <bottom style="medium">
        <color rgb="FFF286B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10" fillId="0" borderId="0"/>
  </cellStyleXfs>
  <cellXfs count="33">
    <xf numFmtId="0" fontId="0" fillId="0" borderId="0" xfId="0"/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2" fillId="0" borderId="0" xfId="1" applyFont="1" applyFill="1" applyBorder="1" applyAlignment="1">
      <alignment horizontal="right" vertical="center"/>
    </xf>
    <xf numFmtId="0" fontId="3" fillId="2" borderId="0" xfId="2" applyFont="1" applyFill="1" applyBorder="1" applyAlignment="1">
      <alignment horizontal="right" vertical="center"/>
    </xf>
    <xf numFmtId="0" fontId="4" fillId="0" borderId="0" xfId="2" applyFont="1" applyFill="1" applyBorder="1" applyAlignment="1">
      <alignment horizontal="right" vertical="center" wrapText="1"/>
    </xf>
    <xf numFmtId="178" fontId="4" fillId="0" borderId="0" xfId="2" applyNumberFormat="1" applyFont="1" applyFill="1" applyBorder="1" applyAlignment="1">
      <alignment horizontal="right" vertical="center" wrapText="1"/>
    </xf>
    <xf numFmtId="0" fontId="5" fillId="2" borderId="0" xfId="2" applyFont="1" applyFill="1" applyBorder="1" applyAlignment="1">
      <alignment horizontal="right" vertical="center"/>
    </xf>
    <xf numFmtId="0" fontId="4" fillId="0" borderId="0" xfId="2" applyFont="1" applyFill="1" applyBorder="1" applyAlignment="1">
      <alignment horizontal="center" vertical="center"/>
    </xf>
    <xf numFmtId="176" fontId="4" fillId="0" borderId="0" xfId="2" applyNumberFormat="1" applyFont="1" applyFill="1" applyBorder="1" applyAlignment="1">
      <alignment horizontal="right" vertical="center" wrapText="1"/>
    </xf>
    <xf numFmtId="177" fontId="1" fillId="0" borderId="0" xfId="0" applyNumberFormat="1" applyFont="1" applyFill="1" applyBorder="1" applyAlignment="1">
      <alignment horizontal="right" vertical="center"/>
    </xf>
    <xf numFmtId="177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/>
    </xf>
    <xf numFmtId="0" fontId="1" fillId="3" borderId="2" xfId="0" applyFont="1" applyFill="1" applyBorder="1"/>
    <xf numFmtId="0" fontId="1" fillId="3" borderId="6" xfId="0" applyFont="1" applyFill="1" applyBorder="1"/>
    <xf numFmtId="0" fontId="1" fillId="3" borderId="0" xfId="0" applyFont="1" applyFill="1" applyBorder="1"/>
    <xf numFmtId="0" fontId="1" fillId="3" borderId="7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1" fillId="3" borderId="5" xfId="0" applyFont="1" applyFill="1" applyBorder="1"/>
    <xf numFmtId="0" fontId="1" fillId="3" borderId="8" xfId="0" applyFont="1" applyFill="1" applyBorder="1"/>
    <xf numFmtId="0" fontId="1" fillId="0" borderId="0" xfId="0" applyFont="1" applyFill="1" applyBorder="1" applyAlignment="1">
      <alignment horizontal="right"/>
    </xf>
  </cellXfs>
  <cellStyles count="3">
    <cellStyle name="常规" xfId="0" builtinId="0"/>
    <cellStyle name="常规_Sheet1" xfId="2" xr:uid="{00000000-0005-0000-0000-000001000000}"/>
    <cellStyle name="超链接" xfId="1" builtinId="8"/>
  </cellStyles>
  <dxfs count="26">
    <dxf>
      <font>
        <b/>
        <color theme="1"/>
      </font>
      <fill>
        <patternFill patternType="none"/>
      </fill>
      <border>
        <bottom style="thin">
          <color theme="5"/>
        </bottom>
        <vertical/>
        <horizontal/>
      </border>
    </dxf>
    <dxf>
      <font>
        <sz val="8"/>
        <color rgb="FFC00000"/>
      </font>
      <fill>
        <patternFill patternType="solid">
          <fgColor rgb="FFFCDCEA"/>
          <bgColor rgb="FFFCE4EF"/>
        </patternFill>
      </fill>
      <border>
        <left/>
        <right/>
        <top/>
        <bottom/>
        <vertical/>
        <horizontal/>
      </border>
    </dxf>
    <dxf>
      <font>
        <b/>
        <color theme="1"/>
      </font>
      <fill>
        <patternFill patternType="none"/>
      </fill>
      <border>
        <bottom style="thin">
          <color theme="5"/>
        </bottom>
        <vertical/>
        <horizontal/>
      </border>
    </dxf>
    <dxf>
      <font>
        <sz val="8"/>
        <color rgb="FFC00000"/>
      </font>
      <fill>
        <patternFill patternType="solid">
          <fgColor rgb="FFFCDCEA"/>
          <bgColor rgb="FFFCDCEA"/>
        </patternFill>
      </fill>
      <border>
        <left/>
        <right/>
        <top/>
        <bottom/>
        <vertical/>
        <horizontal/>
      </border>
    </dxf>
    <dxf>
      <font>
        <b/>
        <color theme="1"/>
      </font>
      <fill>
        <patternFill patternType="none"/>
      </fill>
      <border>
        <bottom style="thin">
          <color theme="5"/>
        </bottom>
        <vertical/>
        <horizontal/>
      </border>
    </dxf>
    <dxf>
      <font>
        <sz val="8"/>
        <color rgb="FFC00000"/>
      </font>
      <fill>
        <patternFill patternType="solid">
          <fgColor rgb="FFFCDCEA"/>
          <bgColor rgb="FFFCDCEA"/>
        </patternFill>
      </fill>
      <border>
        <left/>
        <right/>
        <top/>
        <bottom/>
        <vertical/>
        <horizontal/>
      </border>
    </dxf>
    <dxf>
      <font>
        <b/>
        <color theme="1"/>
      </font>
      <fill>
        <patternFill patternType="none"/>
      </fill>
      <border>
        <bottom style="thin">
          <color theme="5"/>
        </bottom>
        <vertical/>
        <horizontal/>
      </border>
    </dxf>
    <dxf>
      <font>
        <sz val="8"/>
        <color rgb="FFC00000"/>
      </font>
      <fill>
        <patternFill patternType="solid">
          <fgColor rgb="FFFCDCEA"/>
          <bgColor rgb="FFFCDCEA"/>
        </patternFill>
      </fill>
      <border>
        <left/>
        <right/>
        <top/>
        <bottom/>
        <vertical/>
        <horizontal/>
      </border>
    </dxf>
    <dxf>
      <font>
        <b/>
        <color theme="1"/>
      </font>
      <fill>
        <patternFill patternType="none"/>
      </fill>
      <border>
        <bottom style="thin">
          <color theme="5"/>
        </bottom>
        <vertical/>
        <horizontal/>
      </border>
    </dxf>
    <dxf>
      <font>
        <sz val="8"/>
        <color rgb="FFC00000"/>
      </font>
      <fill>
        <patternFill patternType="solid">
          <fgColor rgb="FFFCDCEA"/>
          <bgColor rgb="FFFBD5E6"/>
        </patternFill>
      </fill>
      <border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rgb="FFC00000"/>
      </font>
      <fill>
        <patternFill patternType="none"/>
      </fill>
      <border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rgb="FFC00000"/>
      </font>
      <fill>
        <patternFill patternType="none"/>
      </fill>
      <border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rgb="FFC00000"/>
      </font>
      <fill>
        <patternFill patternType="none"/>
      </fill>
      <border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rgb="FFC00000"/>
      </font>
      <fill>
        <patternFill patternType="none"/>
      </fill>
      <border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rgb="FFC00000"/>
      </font>
      <fill>
        <patternFill patternType="none"/>
      </fill>
      <border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rgb="FFC00000"/>
      </font>
      <fill>
        <patternFill patternType="none"/>
      </fill>
      <border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9"/>
        <color rgb="FFC00000"/>
      </font>
      <fill>
        <patternFill patternType="none"/>
      </fill>
      <border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rgb="FFC00000"/>
      </font>
      <fill>
        <patternFill patternType="none"/>
      </fill>
      <border>
        <left/>
        <right/>
        <top/>
        <bottom/>
        <vertical/>
        <horizontal/>
      </border>
    </dxf>
  </dxfs>
  <tableStyles count="13" defaultTableStyle="TableStyleMedium2" defaultPivotStyle="PivotStyleMedium9">
    <tableStyle name="SlicerStyleLight2 2" pivot="0" table="0" count="10" xr9:uid="{00000000-0011-0000-FFFF-FFFF00000000}">
      <tableStyleElement type="wholeTable" dxfId="25"/>
      <tableStyleElement type="headerRow" dxfId="24"/>
    </tableStyle>
    <tableStyle name="SlicerStyleLight2 2 2" pivot="0" table="0" count="10" xr9:uid="{00000000-0011-0000-FFFF-FFFF01000000}">
      <tableStyleElement type="wholeTable" dxfId="23"/>
      <tableStyleElement type="headerRow" dxfId="22"/>
    </tableStyle>
    <tableStyle name="SlicerStyleLight2 2 3" pivot="0" table="0" count="10" xr9:uid="{00000000-0011-0000-FFFF-FFFF02000000}">
      <tableStyleElement type="wholeTable" dxfId="21"/>
      <tableStyleElement type="headerRow" dxfId="20"/>
    </tableStyle>
    <tableStyle name="SlicerStyleLight2 2 4" pivot="0" table="0" count="10" xr9:uid="{00000000-0011-0000-FFFF-FFFF03000000}">
      <tableStyleElement type="wholeTable" dxfId="19"/>
      <tableStyleElement type="headerRow" dxfId="18"/>
    </tableStyle>
    <tableStyle name="SlicerStyleLight2 2 5" pivot="0" table="0" count="10" xr9:uid="{00000000-0011-0000-FFFF-FFFF04000000}">
      <tableStyleElement type="wholeTable" dxfId="17"/>
      <tableStyleElement type="headerRow" dxfId="16"/>
    </tableStyle>
    <tableStyle name="SlicerStyleLight2 2 5 2" pivot="0" table="0" count="10" xr9:uid="{00000000-0011-0000-FFFF-FFFF05000000}">
      <tableStyleElement type="wholeTable" dxfId="15"/>
      <tableStyleElement type="headerRow" dxfId="14"/>
    </tableStyle>
    <tableStyle name="SlicerStyleLight2 2 5 2 2" pivot="0" table="0" count="10" xr9:uid="{00000000-0011-0000-FFFF-FFFF06000000}">
      <tableStyleElement type="wholeTable" dxfId="13"/>
      <tableStyleElement type="headerRow" dxfId="12"/>
    </tableStyle>
    <tableStyle name="SlicerStyleLight2 2 5 2 2 2" pivot="0" table="0" count="10" xr9:uid="{00000000-0011-0000-FFFF-FFFF07000000}">
      <tableStyleElement type="wholeTable" dxfId="11"/>
      <tableStyleElement type="headerRow" dxfId="10"/>
    </tableStyle>
    <tableStyle name="SlicerStyleLight2 2 5 2 2 2 2" pivot="0" table="0" count="10" xr9:uid="{00000000-0011-0000-FFFF-FFFF08000000}">
      <tableStyleElement type="wholeTable" dxfId="9"/>
      <tableStyleElement type="headerRow" dxfId="8"/>
    </tableStyle>
    <tableStyle name="SlicerStyleLight2 2 5 2 2 2 2 2" pivot="0" table="0" count="10" xr9:uid="{00000000-0011-0000-FFFF-FFFF09000000}">
      <tableStyleElement type="wholeTable" dxfId="7"/>
      <tableStyleElement type="headerRow" dxfId="6"/>
    </tableStyle>
    <tableStyle name="SlicerStyleLight2 2 5 2 2 2 2 2 2" pivot="0" table="0" count="10" xr9:uid="{00000000-0011-0000-FFFF-FFFF0A000000}">
      <tableStyleElement type="wholeTable" dxfId="5"/>
      <tableStyleElement type="headerRow" dxfId="4"/>
    </tableStyle>
    <tableStyle name="SlicerStyleLight2 2 5 2 2 2 2 2 2 2" pivot="0" table="0" count="10" xr9:uid="{00000000-0011-0000-FFFF-FFFF0B000000}">
      <tableStyleElement type="wholeTable" dxfId="3"/>
      <tableStyleElement type="headerRow" dxfId="2"/>
    </tableStyle>
    <tableStyle name="SlicerStyleLight2 2 5 2 2 2 2 2 2 2 2" pivot="0" table="0" count="10" xr9:uid="{00000000-0011-0000-FFFF-FFFF0C000000}">
      <tableStyleElement type="wholeTable" dxfId="1"/>
      <tableStyleElement type="headerRow" dxfId="0"/>
    </tableStyle>
  </tableStyles>
  <colors>
    <mruColors>
      <color rgb="FF91D355"/>
      <color rgb="FFD8E3C7"/>
      <color rgb="FFF26A6A"/>
      <color rgb="FFE5DC6D"/>
      <color rgb="FFED8F49"/>
      <color rgb="FFE57777"/>
      <color rgb="FFD0C538"/>
      <color rgb="FFDFBB57"/>
      <color rgb="FF87E72F"/>
      <color rgb="FF37A7DF"/>
    </mruColors>
  </colors>
  <extLst>
    <ext xmlns:x14="http://schemas.microsoft.com/office/spreadsheetml/2009/9/main" uri="{46F421CA-312F-682f-3DD2-61675219B42D}">
      <x14:dxfs count="104"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solid">
              <fgColor rgb="FFFBD5E6"/>
              <bgColor theme="5" tint="0.79992065187536243"/>
            </patternFill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solid">
              <fgColor rgb="FFFBD5E6"/>
              <bgColor rgb="FFFBD5E6"/>
            </patternFill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F5A1C5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solid">
              <fgColor rgb="FFFBD5E6"/>
              <bgColor theme="5" tint="0.79992065187536243"/>
            </patternFill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solid">
              <fgColor rgb="FFFBD5E6"/>
              <bgColor rgb="FFFBD5E6"/>
            </patternFill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F5A1C5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solid">
              <fgColor rgb="FFFBD5E6"/>
              <bgColor theme="5" tint="0.79992065187536243"/>
            </patternFill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solid">
              <fgColor rgb="FFFBD5E6"/>
              <bgColor theme="5" tint="0.59999389629810485"/>
            </patternFill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F5A1C5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solid">
              <fgColor rgb="FFFBD5E6"/>
              <bgColor theme="5" tint="0.79992065187536243"/>
            </patternFill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solid">
              <fgColor rgb="FFFBD5E6"/>
              <bgColor theme="5" tint="0.59999389629810485"/>
            </patternFill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solid">
              <fgColor rgb="FFFBD5E6"/>
              <bgColor theme="5" tint="0.79992065187536243"/>
            </patternFill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solid">
              <fgColor rgb="FFFBD5E6"/>
              <bgColor theme="5" tint="0.59999389629810485"/>
            </patternFill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solid">
              <fgColor rgb="FFFBD5E6"/>
              <bgColor theme="5" tint="0.79992065187536243"/>
            </patternFill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solid">
              <fgColor rgb="FFFBD5E6"/>
              <bgColor theme="5" tint="0.59999389629810485"/>
            </patternFill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solid">
              <fgColor rgb="FFFBD5E6"/>
              <bgColor theme="5" tint="0.79992065187536243"/>
            </patternFill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solid">
              <fgColor rgb="FFFBD5E6"/>
              <bgColor theme="5" tint="0.59999389629810485"/>
            </patternFill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9"/>
            <color rgb="FFF5A1C5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9"/>
            <color rgb="FFC00000"/>
          </font>
          <fill>
            <patternFill patternType="solid">
              <fgColor rgb="FFFBD5E6"/>
              <bgColor theme="5" tint="0.79992065187536243"/>
            </patternFill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solid">
              <fgColor rgb="FFFBD5E6"/>
              <bgColor theme="5" tint="0.59999389629810485"/>
            </patternFill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F5A1C5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F5A1C5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9"/>
            <color rgb="FFC00000"/>
          </font>
          <fill>
            <patternFill patternType="solid">
              <fgColor rgb="FFFBD5E6"/>
              <bgColor theme="5" tint="0.79992065187536243"/>
            </patternFill>
          </fill>
          <border>
            <left/>
            <right/>
            <top/>
            <bottom/>
            <vertical/>
            <horizontal/>
          </border>
        </dxf>
        <dxf>
          <font>
            <sz val="9"/>
            <color rgb="FFC00000"/>
          </font>
          <fill>
            <patternFill patternType="solid">
              <fgColor rgb="FFFBD5E6"/>
              <bgColor theme="5" tint="0.59999389629810485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5117038483843"/>
              <bgColor theme="5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z val="9"/>
            <color rgb="FFC00000"/>
          </font>
          <fill>
            <patternFill patternType="none"/>
          </fill>
          <border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5117038483843"/>
              <bgColor theme="5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5117038483843"/>
              <bgColor theme="5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5117038483843"/>
              <bgColor theme="5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2 2">
          <x14:slicerStyleElements>
            <x14:slicerStyleElement type="unselectedItemWithData" dxfId="103"/>
            <x14:slicerStyleElement type="unselectedItemWithNoData" dxfId="102"/>
            <x14:slicerStyleElement type="selectedItemWithData" dxfId="101"/>
            <x14:slicerStyleElement type="selectedItemWithNoData" dxfId="100"/>
            <x14:slicerStyleElement type="hoveredUnselectedItemWithData" dxfId="99"/>
            <x14:slicerStyleElement type="hoveredSelectedItemWithData" dxfId="98"/>
            <x14:slicerStyleElement type="hoveredUnselectedItemWithNoData" dxfId="97"/>
            <x14:slicerStyleElement type="hoveredSelectedItemWithNoData" dxfId="96"/>
          </x14:slicerStyleElements>
        </x14:slicerStyle>
        <x14:slicerStyle name="SlicerStyleLight2 2 2">
          <x14:slicerStyleElements>
            <x14:slicerStyleElement type="unselectedItemWithData" dxfId="95"/>
            <x14:slicerStyleElement type="unselectedItemWithNoData" dxfId="94"/>
            <x14:slicerStyleElement type="selectedItemWithData" dxfId="93"/>
            <x14:slicerStyleElement type="selectedItemWithNoData" dxfId="92"/>
            <x14:slicerStyleElement type="hoveredUnselectedItemWithData" dxfId="91"/>
            <x14:slicerStyleElement type="hoveredSelectedItemWithData" dxfId="90"/>
            <x14:slicerStyleElement type="hoveredUnselectedItemWithNoData" dxfId="89"/>
            <x14:slicerStyleElement type="hoveredSelectedItemWithNoData" dxfId="88"/>
          </x14:slicerStyleElements>
        </x14:slicerStyle>
        <x14:slicerStyle name="SlicerStyleLight2 2 3">
          <x14:slicerStyleElements>
            <x14:slicerStyleElement type="unselectedItemWithData" dxfId="87"/>
            <x14:slicerStyleElement type="unselectedItemWithNoData" dxfId="86"/>
            <x14:slicerStyleElement type="selectedItemWithData" dxfId="85"/>
            <x14:slicerStyleElement type="selectedItemWithNoData" dxfId="84"/>
            <x14:slicerStyleElement type="hoveredUnselectedItemWithData" dxfId="83"/>
            <x14:slicerStyleElement type="hoveredSelectedItemWithData" dxfId="82"/>
            <x14:slicerStyleElement type="hoveredUnselectedItemWithNoData" dxfId="81"/>
            <x14:slicerStyleElement type="hoveredSelectedItemWithNoData" dxfId="80"/>
          </x14:slicerStyleElements>
        </x14:slicerStyle>
        <x14:slicerStyle name="SlicerStyleLight2 2 4">
          <x14:slicerStyleElements>
            <x14:slicerStyleElement type="unselectedItemWithData" dxfId="79"/>
            <x14:slicerStyleElement type="unselectedItemWithNoData" dxfId="78"/>
            <x14:slicerStyleElement type="selectedItemWithData" dxfId="77"/>
            <x14:slicerStyleElement type="selectedItemWithNoData" dxfId="76"/>
            <x14:slicerStyleElement type="hoveredUnselectedItemWithData" dxfId="75"/>
            <x14:slicerStyleElement type="hoveredSelectedItemWithData" dxfId="74"/>
            <x14:slicerStyleElement type="hoveredUnselectedItemWithNoData" dxfId="73"/>
            <x14:slicerStyleElement type="hoveredSelectedItemWithNoData" dxfId="72"/>
          </x14:slicerStyleElements>
        </x14:slicerStyle>
        <x14:slicerStyle name="SlicerStyleLight2 2 5">
          <x14:slicerStyleElements>
            <x14:slicerStyleElement type="unselectedItemWithData" dxfId="71"/>
            <x14:slicerStyleElement type="unselectedItemWithNoData" dxfId="70"/>
            <x14:slicerStyleElement type="selectedItemWithData" dxfId="69"/>
            <x14:slicerStyleElement type="selectedItemWithNoData" dxfId="68"/>
            <x14:slicerStyleElement type="hoveredUnselectedItemWithData" dxfId="67"/>
            <x14:slicerStyleElement type="hoveredSelectedItemWithData" dxfId="66"/>
            <x14:slicerStyleElement type="hoveredUnselectedItemWithNoData" dxfId="65"/>
            <x14:slicerStyleElement type="hoveredSelectedItemWithNoData" dxfId="64"/>
          </x14:slicerStyleElements>
        </x14:slicerStyle>
        <x14:slicerStyle name="SlicerStyleLight2 2 5 2">
          <x14:slicerStyleElements>
            <x14:slicerStyleElement type="unselectedItemWithData" dxfId="63"/>
            <x14:slicerStyleElement type="unselectedItemWithNoData" dxfId="62"/>
            <x14:slicerStyleElement type="selectedItemWithData" dxfId="61"/>
            <x14:slicerStyleElement type="selectedItemWithNoData" dxfId="60"/>
            <x14:slicerStyleElement type="hoveredUnselectedItemWithData" dxfId="59"/>
            <x14:slicerStyleElement type="hoveredSelectedItemWithData" dxfId="58"/>
            <x14:slicerStyleElement type="hoveredUnselectedItemWithNoData" dxfId="57"/>
            <x14:slicerStyleElement type="hoveredSelectedItemWithNoData" dxfId="56"/>
          </x14:slicerStyleElements>
        </x14:slicerStyle>
        <x14:slicerStyle name="SlicerStyleLight2 2 5 2 2">
          <x14:slicerStyleElements>
            <x14:slicerStyleElement type="unselectedItemWithData" dxfId="55"/>
            <x14:slicerStyleElement type="unselectedItemWithNoData" dxfId="54"/>
            <x14:slicerStyleElement type="selectedItemWithData" dxfId="53"/>
            <x14:slicerStyleElement type="selectedItemWithNoData" dxfId="52"/>
            <x14:slicerStyleElement type="hoveredUnselectedItemWithData" dxfId="51"/>
            <x14:slicerStyleElement type="hoveredSelectedItemWithData" dxfId="50"/>
            <x14:slicerStyleElement type="hoveredUnselectedItemWithNoData" dxfId="49"/>
            <x14:slicerStyleElement type="hoveredSelectedItemWithNoData" dxfId="48"/>
          </x14:slicerStyleElements>
        </x14:slicerStyle>
        <x14:slicerStyle name="SlicerStyleLight2 2 5 2 2 2">
          <x14:slicerStyleElements>
            <x14:slicerStyleElement type="unselectedItemWithData" dxfId="47"/>
            <x14:slicerStyleElement type="unselectedItemWithNoData" dxfId="46"/>
            <x14:slicerStyleElement type="selectedItemWithData" dxfId="45"/>
            <x14:slicerStyleElement type="selectedItemWithNoData" dxfId="44"/>
            <x14:slicerStyleElement type="hoveredUnselectedItemWithData" dxfId="43"/>
            <x14:slicerStyleElement type="hoveredSelectedItemWithData" dxfId="42"/>
            <x14:slicerStyleElement type="hoveredUnselectedItemWithNoData" dxfId="41"/>
            <x14:slicerStyleElement type="hoveredSelectedItemWithNoData" dxfId="40"/>
          </x14:slicerStyleElements>
        </x14:slicerStyle>
        <x14:slicerStyle name="SlicerStyleLight2 2 5 2 2 2 2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SlicerStyleLight2 2 5 2 2 2 2 2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Light2 2 5 2 2 2 2 2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2 2 5 2 2 2 2 2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2 2 5 2 2 2 2 2 2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DD3A8"/>
            </a:solidFill>
            <a:ln>
              <a:noFill/>
            </a:ln>
            <a:effectLst/>
          </c:spPr>
          <c:invertIfNegative val="0"/>
          <c:cat>
            <c:strRef>
              <c:f>案例!$S$4:$X$4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</c:strCache>
            </c:strRef>
          </c:cat>
          <c:val>
            <c:numRef>
              <c:f>案例!$S$5:$X$5</c:f>
              <c:numCache>
                <c:formatCode>General</c:formatCode>
                <c:ptCount val="6"/>
                <c:pt idx="0">
                  <c:v>87</c:v>
                </c:pt>
                <c:pt idx="1">
                  <c:v>10</c:v>
                </c:pt>
                <c:pt idx="2">
                  <c:v>15</c:v>
                </c:pt>
                <c:pt idx="3">
                  <c:v>93</c:v>
                </c:pt>
                <c:pt idx="4">
                  <c:v>61</c:v>
                </c:pt>
                <c:pt idx="5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C-44E2-B9BC-DC4374B47884}"/>
            </c:ext>
          </c:extLst>
        </c:ser>
        <c:ser>
          <c:idx val="1"/>
          <c:order val="1"/>
          <c:spPr>
            <a:solidFill>
              <a:srgbClr val="F286B4"/>
            </a:solidFill>
            <a:ln>
              <a:noFill/>
            </a:ln>
            <a:effectLst/>
          </c:spPr>
          <c:invertIfNegative val="0"/>
          <c:cat>
            <c:strRef>
              <c:f>案例!$S$4:$X$4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</c:strCache>
            </c:strRef>
          </c:cat>
          <c:val>
            <c:numRef>
              <c:f>案例!$S$6:$X$6</c:f>
              <c:numCache>
                <c:formatCode>General</c:formatCode>
                <c:ptCount val="6"/>
                <c:pt idx="0">
                  <c:v>87</c:v>
                </c:pt>
                <c:pt idx="1">
                  <c:v>#N/A</c:v>
                </c:pt>
                <c:pt idx="2">
                  <c:v>#N/A</c:v>
                </c:pt>
                <c:pt idx="3">
                  <c:v>93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7C-44E2-B9BC-DC4374B47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33848064"/>
        <c:axId val="133858048"/>
      </c:barChart>
      <c:scatterChart>
        <c:scatterStyle val="lineMarker"/>
        <c:varyColors val="0"/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plus"/>
            <c:errValType val="fixedVal"/>
            <c:noEndCap val="1"/>
            <c:val val="6"/>
            <c:spPr>
              <a:noFill/>
              <a:ln w="15875" cap="flat" cmpd="sng" algn="ctr">
                <a:solidFill>
                  <a:srgbClr val="FF0000"/>
                </a:solidFill>
                <a:round/>
              </a:ln>
              <a:effectLst/>
            </c:spPr>
          </c:errBars>
          <c:xVal>
            <c:numRef>
              <c:f>案例!$S$10</c:f>
              <c:numCache>
                <c:formatCode>General</c:formatCode>
                <c:ptCount val="1"/>
                <c:pt idx="0">
                  <c:v>0.5</c:v>
                </c:pt>
              </c:numCache>
            </c:numRef>
          </c:xVal>
          <c:yVal>
            <c:numRef>
              <c:f>案例!$T$10</c:f>
              <c:numCache>
                <c:formatCode>General</c:formatCode>
                <c:ptCount val="1"/>
                <c:pt idx="0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7C-44E2-B9BC-DC4374B47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48064"/>
        <c:axId val="133858048"/>
      </c:scatterChart>
      <c:catAx>
        <c:axId val="13384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858048"/>
        <c:crosses val="autoZero"/>
        <c:auto val="1"/>
        <c:lblAlgn val="ctr"/>
        <c:lblOffset val="100"/>
        <c:noMultiLvlLbl val="0"/>
      </c:catAx>
      <c:valAx>
        <c:axId val="133858048"/>
        <c:scaling>
          <c:orientation val="minMax"/>
          <c:max val="99"/>
          <c:min val="0"/>
        </c:scaling>
        <c:delete val="0"/>
        <c:axPos val="l"/>
        <c:majorGridlines>
          <c:spPr>
            <a:ln w="9525" cap="flat" cmpd="sng" algn="ctr">
              <a:solidFill>
                <a:srgbClr val="77E3C7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848064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1">
              <a:lumMod val="50000"/>
            </a:schemeClr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firstButton="1" fmlaLink="$T$8" noThreeD="1"/>
</file>

<file path=xl/ctrlProps/ctrlProp2.xml><?xml version="1.0" encoding="utf-8"?>
<formControlPr xmlns="http://schemas.microsoft.com/office/spreadsheetml/2009/9/main" objectType="Radio" checked="Checked" noThreeD="1"/>
</file>

<file path=xl/ctrlProps/ctrlProp3.xml><?xml version="1.0" encoding="utf-8"?>
<formControlPr xmlns="http://schemas.microsoft.com/office/spreadsheetml/2009/9/main" objectType="Drop" dropLines="6" dropStyle="combo" dx="16" fmlaLink="$S$8" fmlaRange="$Y$4:$Y$9" noThreeD="1" sel="1" val="0"/>
</file>

<file path=xl/ctrlProps/ctrlProp4.xml><?xml version="1.0" encoding="utf-8"?>
<formControlPr xmlns="http://schemas.microsoft.com/office/spreadsheetml/2009/9/main" objectType="Scroll" dx="22" fmlaLink="$T$9" inc="5" max="95" page="20" val="3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180976</xdr:colOff>
      <xdr:row>15</xdr:row>
      <xdr:rowOff>76200</xdr:rowOff>
    </xdr:from>
    <xdr:to>
      <xdr:col>16</xdr:col>
      <xdr:colOff>419101</xdr:colOff>
      <xdr:row>32</xdr:row>
      <xdr:rowOff>47626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219075</xdr:colOff>
          <xdr:row>14</xdr:row>
          <xdr:rowOff>28575</xdr:rowOff>
        </xdr:from>
        <xdr:to>
          <xdr:col>12</xdr:col>
          <xdr:colOff>238125</xdr:colOff>
          <xdr:row>15</xdr:row>
          <xdr:rowOff>152400</xdr:rowOff>
        </xdr:to>
        <xdr:sp macro="" textlink="">
          <xdr:nvSpPr>
            <xdr:cNvPr id="7169" name="Option Butto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月份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466725</xdr:colOff>
          <xdr:row>14</xdr:row>
          <xdr:rowOff>28575</xdr:rowOff>
        </xdr:from>
        <xdr:to>
          <xdr:col>13</xdr:col>
          <xdr:colOff>485775</xdr:colOff>
          <xdr:row>15</xdr:row>
          <xdr:rowOff>152400</xdr:rowOff>
        </xdr:to>
        <xdr:sp macro="" textlink="">
          <xdr:nvSpPr>
            <xdr:cNvPr id="7170" name="Option Button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0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人员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14</xdr:row>
          <xdr:rowOff>66675</xdr:rowOff>
        </xdr:from>
        <xdr:to>
          <xdr:col>16</xdr:col>
          <xdr:colOff>276225</xdr:colOff>
          <xdr:row>15</xdr:row>
          <xdr:rowOff>114300</xdr:rowOff>
        </xdr:to>
        <xdr:sp macro="" textlink="">
          <xdr:nvSpPr>
            <xdr:cNvPr id="7171" name="Drop Down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0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266700</xdr:colOff>
          <xdr:row>17</xdr:row>
          <xdr:rowOff>85725</xdr:rowOff>
        </xdr:from>
        <xdr:to>
          <xdr:col>16</xdr:col>
          <xdr:colOff>504825</xdr:colOff>
          <xdr:row>28</xdr:row>
          <xdr:rowOff>28575</xdr:rowOff>
        </xdr:to>
        <xdr:sp macro="" textlink="">
          <xdr:nvSpPr>
            <xdr:cNvPr id="7172" name="Scroll Bar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0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11</xdr:col>
      <xdr:colOff>87299</xdr:colOff>
      <xdr:row>11</xdr:row>
      <xdr:rowOff>179985</xdr:rowOff>
    </xdr:from>
    <xdr:ext cx="3416320" cy="567078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278370" y="2484755"/>
          <a:ext cx="3416300" cy="567055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2800" b="0" cap="none" spc="0">
              <a:ln w="0">
                <a:noFill/>
              </a:ln>
              <a:solidFill>
                <a:srgbClr val="F286B4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华文新魏" panose="02010800040101010101" pitchFamily="2" charset="-122"/>
              <a:ea typeface="华文新魏" panose="02010800040101010101" pitchFamily="2" charset="-122"/>
            </a:rPr>
            <a:t>请在此放置您的文字</a:t>
          </a:r>
        </a:p>
      </xdr:txBody>
    </xdr:sp>
    <xdr:clientData/>
  </xdr:oneCellAnchor>
  <xdr:twoCellAnchor>
    <xdr:from>
      <xdr:col>16</xdr:col>
      <xdr:colOff>144616</xdr:colOff>
      <xdr:row>16</xdr:row>
      <xdr:rowOff>76200</xdr:rowOff>
    </xdr:from>
    <xdr:to>
      <xdr:col>17</xdr:col>
      <xdr:colOff>95250</xdr:colOff>
      <xdr:row>17</xdr:row>
      <xdr:rowOff>85723</xdr:rowOff>
    </xdr:to>
    <xdr:grpSp>
      <xdr:nvGrpSpPr>
        <xdr:cNvPr id="20" name="组合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9793441" y="3314700"/>
          <a:ext cx="531659" cy="200023"/>
          <a:chOff x="3735541" y="2590800"/>
          <a:chExt cx="569759" cy="180973"/>
        </a:xfrm>
      </xdr:grpSpPr>
      <xdr:cxnSp macro="">
        <xdr:nvCxnSpPr>
          <xdr:cNvPr id="9" name="直接连接符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/>
        </xdr:nvCxnSpPr>
        <xdr:spPr>
          <a:xfrm>
            <a:off x="3962400" y="2590800"/>
            <a:ext cx="342900" cy="0"/>
          </a:xfrm>
          <a:prstGeom prst="line">
            <a:avLst/>
          </a:prstGeom>
          <a:ln>
            <a:solidFill>
              <a:srgbClr val="77E3C7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直接连接符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CxnSpPr/>
        </xdr:nvCxnSpPr>
        <xdr:spPr>
          <a:xfrm flipV="1">
            <a:off x="3735541" y="2590800"/>
            <a:ext cx="226859" cy="180973"/>
          </a:xfrm>
          <a:prstGeom prst="line">
            <a:avLst/>
          </a:prstGeom>
          <a:ln>
            <a:solidFill>
              <a:srgbClr val="77E3C7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17</xdr:col>
      <xdr:colOff>36519</xdr:colOff>
      <xdr:row>15</xdr:row>
      <xdr:rowOff>76201</xdr:rowOff>
    </xdr:from>
    <xdr:ext cx="1011231" cy="397545"/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10942320" y="3400425"/>
          <a:ext cx="1011555" cy="397510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l"/>
          <a:r>
            <a:rPr lang="zh-CN" altLang="en-US" sz="1800" b="0" cap="none" spc="0">
              <a:ln w="0">
                <a:noFill/>
              </a:ln>
              <a:solidFill>
                <a:srgbClr val="2DD3A8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华文新魏" panose="02010800040101010101" pitchFamily="2" charset="-122"/>
              <a:ea typeface="华文新魏" panose="02010800040101010101" pitchFamily="2" charset="-122"/>
            </a:rPr>
            <a:t>数据</a:t>
          </a:r>
        </a:p>
      </xdr:txBody>
    </xdr:sp>
    <xdr:clientData/>
  </xdr:oneCellAnchor>
  <xdr:oneCellAnchor>
    <xdr:from>
      <xdr:col>17</xdr:col>
      <xdr:colOff>512769</xdr:colOff>
      <xdr:row>15</xdr:row>
      <xdr:rowOff>66677</xdr:rowOff>
    </xdr:from>
    <xdr:ext cx="944556" cy="761998"/>
    <xdr:sp macro="" textlink="$T$10">
      <xdr:nvSpPr>
        <xdr:cNvPr id="29" name="矩形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1418570" y="3390900"/>
          <a:ext cx="944880" cy="762000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 anchor="ctr">
          <a:noAutofit/>
        </a:bodyPr>
        <a:lstStyle/>
        <a:p>
          <a:pPr algn="ctr"/>
          <a:fld id="{60607E6B-A11A-4AA6-BB89-F4E160C21F1D}" type="TxLink">
            <a:rPr lang="en-US" altLang="en-US" sz="4400" b="0" i="0" u="none" strike="noStrike" cap="none" spc="0">
              <a:ln w="0">
                <a:noFill/>
              </a:ln>
              <a:solidFill>
                <a:srgbClr val="F286B4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华文新魏" panose="02010800040101010101" pitchFamily="2" charset="-122"/>
              <a:ea typeface="华文新魏" panose="02010800040101010101" pitchFamily="2" charset="-122"/>
            </a:rPr>
            <a:pPr algn="ctr"/>
            <a:t>65</a:t>
          </a:fld>
          <a:endParaRPr lang="zh-CN" altLang="en-US" sz="7200" b="0" cap="none" spc="0">
            <a:ln w="0">
              <a:noFill/>
            </a:ln>
            <a:solidFill>
              <a:srgbClr val="F286B4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华文新魏" panose="02010800040101010101" pitchFamily="2" charset="-122"/>
            <a:ea typeface="华文新魏" panose="02010800040101010101" pitchFamily="2" charset="-122"/>
          </a:endParaRPr>
        </a:p>
      </xdr:txBody>
    </xdr:sp>
    <xdr:clientData/>
  </xdr:oneCellAnchor>
  <xdr:oneCellAnchor>
    <xdr:from>
      <xdr:col>17</xdr:col>
      <xdr:colOff>36519</xdr:colOff>
      <xdr:row>16</xdr:row>
      <xdr:rowOff>133351</xdr:rowOff>
    </xdr:from>
    <xdr:ext cx="1011231" cy="397545"/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0942320" y="3667125"/>
          <a:ext cx="1011555" cy="397510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l"/>
          <a:r>
            <a:rPr lang="zh-CN" altLang="en-US" sz="1800" b="0" cap="none" spc="0">
              <a:ln w="0">
                <a:noFill/>
              </a:ln>
              <a:solidFill>
                <a:srgbClr val="2DD3A8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华文新魏" panose="02010800040101010101" pitchFamily="2" charset="-122"/>
              <a:ea typeface="华文新魏" panose="02010800040101010101" pitchFamily="2" charset="-122"/>
            </a:rPr>
            <a:t>超过</a:t>
          </a:r>
        </a:p>
      </xdr:txBody>
    </xdr:sp>
    <xdr:clientData/>
  </xdr:oneCellAnchor>
  <xdr:twoCellAnchor>
    <xdr:from>
      <xdr:col>16</xdr:col>
      <xdr:colOff>609600</xdr:colOff>
      <xdr:row>19</xdr:row>
      <xdr:rowOff>9524</xdr:rowOff>
    </xdr:from>
    <xdr:to>
      <xdr:col>19</xdr:col>
      <xdr:colOff>123825</xdr:colOff>
      <xdr:row>25</xdr:row>
      <xdr:rowOff>47625</xdr:rowOff>
    </xdr:to>
    <xdr:sp macro="" textlink="">
      <xdr:nvSpPr>
        <xdr:cNvPr id="26" name="文本框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0896600" y="4171315"/>
          <a:ext cx="1438275" cy="1296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50">
              <a:solidFill>
                <a:schemeClr val="bg1">
                  <a:lumMod val="50000"/>
                </a:schemeClr>
              </a:solidFill>
              <a:latin typeface="华文新魏" panose="02010800040101010101" pitchFamily="2" charset="-122"/>
              <a:ea typeface="华文新魏" panose="02010800040101010101" pitchFamily="2" charset="-122"/>
            </a:rPr>
            <a:t>备注：说明文字说明</a:t>
          </a:r>
          <a:endParaRPr lang="en-US" altLang="zh-CN" sz="1050">
            <a:solidFill>
              <a:schemeClr val="bg1">
                <a:lumMod val="50000"/>
              </a:schemeClr>
            </a:solidFill>
            <a:latin typeface="华文新魏" panose="02010800040101010101" pitchFamily="2" charset="-122"/>
            <a:ea typeface="华文新魏" panose="02010800040101010101" pitchFamily="2" charset="-122"/>
          </a:endParaRPr>
        </a:p>
        <a:p>
          <a:r>
            <a:rPr lang="en-US" altLang="zh-CN" sz="1050">
              <a:solidFill>
                <a:schemeClr val="bg1">
                  <a:lumMod val="50000"/>
                </a:schemeClr>
              </a:solidFill>
              <a:latin typeface="华文新魏" panose="02010800040101010101" pitchFamily="2" charset="-122"/>
              <a:ea typeface="华文新魏" panose="02010800040101010101" pitchFamily="2" charset="-122"/>
            </a:rPr>
            <a:t>            </a:t>
          </a:r>
          <a:r>
            <a:rPr lang="zh-CN" altLang="zh-CN" sz="1050">
              <a:solidFill>
                <a:schemeClr val="bg1">
                  <a:lumMod val="50000"/>
                </a:schemeClr>
              </a:solidFill>
              <a:effectLst/>
              <a:latin typeface="华文新魏" panose="02010800040101010101" pitchFamily="2" charset="-122"/>
              <a:ea typeface="华文新魏" panose="02010800040101010101" pitchFamily="2" charset="-122"/>
              <a:cs typeface="+mn-cs"/>
            </a:rPr>
            <a:t>说明文字说明</a:t>
          </a:r>
          <a:endParaRPr lang="zh-CN" altLang="zh-CN" sz="1050">
            <a:solidFill>
              <a:schemeClr val="bg1">
                <a:lumMod val="50000"/>
              </a:schemeClr>
            </a:solidFill>
            <a:effectLst/>
            <a:latin typeface="华文新魏" panose="02010800040101010101" pitchFamily="2" charset="-122"/>
            <a:ea typeface="华文新魏" panose="02010800040101010101" pitchFamily="2" charset="-122"/>
          </a:endParaRPr>
        </a:p>
        <a:p>
          <a:r>
            <a:rPr lang="en-US" altLang="zh-CN" sz="1050">
              <a:solidFill>
                <a:schemeClr val="bg1">
                  <a:lumMod val="50000"/>
                </a:schemeClr>
              </a:solidFill>
              <a:effectLst/>
              <a:latin typeface="华文新魏" panose="02010800040101010101" pitchFamily="2" charset="-122"/>
              <a:ea typeface="华文新魏" panose="02010800040101010101" pitchFamily="2" charset="-122"/>
              <a:cs typeface="+mn-cs"/>
            </a:rPr>
            <a:t>            </a:t>
          </a:r>
          <a:r>
            <a:rPr lang="zh-CN" altLang="zh-CN" sz="1050">
              <a:solidFill>
                <a:schemeClr val="bg1">
                  <a:lumMod val="50000"/>
                </a:schemeClr>
              </a:solidFill>
              <a:effectLst/>
              <a:latin typeface="华文新魏" panose="02010800040101010101" pitchFamily="2" charset="-122"/>
              <a:ea typeface="华文新魏" panose="02010800040101010101" pitchFamily="2" charset="-122"/>
              <a:cs typeface="+mn-cs"/>
            </a:rPr>
            <a:t>说明文字说明</a:t>
          </a:r>
          <a:endParaRPr lang="zh-CN" altLang="zh-CN" sz="1050">
            <a:solidFill>
              <a:schemeClr val="bg1">
                <a:lumMod val="50000"/>
              </a:schemeClr>
            </a:solidFill>
            <a:effectLst/>
            <a:latin typeface="华文新魏" panose="02010800040101010101" pitchFamily="2" charset="-122"/>
            <a:ea typeface="华文新魏" panose="02010800040101010101" pitchFamily="2" charset="-122"/>
          </a:endParaRPr>
        </a:p>
        <a:p>
          <a:r>
            <a:rPr lang="en-US" altLang="zh-CN" sz="1050">
              <a:solidFill>
                <a:schemeClr val="bg1">
                  <a:lumMod val="50000"/>
                </a:schemeClr>
              </a:solidFill>
              <a:effectLst/>
              <a:latin typeface="华文新魏" panose="02010800040101010101" pitchFamily="2" charset="-122"/>
              <a:ea typeface="华文新魏" panose="02010800040101010101" pitchFamily="2" charset="-122"/>
              <a:cs typeface="+mn-cs"/>
            </a:rPr>
            <a:t>            </a:t>
          </a:r>
          <a:r>
            <a:rPr lang="zh-CN" altLang="zh-CN" sz="1050">
              <a:solidFill>
                <a:schemeClr val="bg1">
                  <a:lumMod val="50000"/>
                </a:schemeClr>
              </a:solidFill>
              <a:effectLst/>
              <a:latin typeface="华文新魏" panose="02010800040101010101" pitchFamily="2" charset="-122"/>
              <a:ea typeface="华文新魏" panose="02010800040101010101" pitchFamily="2" charset="-122"/>
              <a:cs typeface="+mn-cs"/>
            </a:rPr>
            <a:t>说明文字说明</a:t>
          </a:r>
          <a:endParaRPr lang="zh-CN" altLang="zh-CN" sz="1050">
            <a:solidFill>
              <a:schemeClr val="bg1">
                <a:lumMod val="50000"/>
              </a:schemeClr>
            </a:solidFill>
            <a:effectLst/>
            <a:latin typeface="华文新魏" panose="02010800040101010101" pitchFamily="2" charset="-122"/>
            <a:ea typeface="华文新魏" panose="02010800040101010101" pitchFamily="2" charset="-122"/>
          </a:endParaRPr>
        </a:p>
        <a:p>
          <a:r>
            <a:rPr lang="en-US" altLang="zh-CN" sz="1050">
              <a:solidFill>
                <a:schemeClr val="bg1">
                  <a:lumMod val="50000"/>
                </a:schemeClr>
              </a:solidFill>
              <a:effectLst/>
              <a:latin typeface="华文新魏" panose="02010800040101010101" pitchFamily="2" charset="-122"/>
              <a:ea typeface="华文新魏" panose="02010800040101010101" pitchFamily="2" charset="-122"/>
              <a:cs typeface="+mn-cs"/>
            </a:rPr>
            <a:t>            </a:t>
          </a:r>
          <a:r>
            <a:rPr lang="zh-CN" altLang="zh-CN" sz="1050">
              <a:solidFill>
                <a:schemeClr val="bg1">
                  <a:lumMod val="50000"/>
                </a:schemeClr>
              </a:solidFill>
              <a:effectLst/>
              <a:latin typeface="华文新魏" panose="02010800040101010101" pitchFamily="2" charset="-122"/>
              <a:ea typeface="华文新魏" panose="02010800040101010101" pitchFamily="2" charset="-122"/>
              <a:cs typeface="+mn-cs"/>
            </a:rPr>
            <a:t>说明文字说明</a:t>
          </a:r>
          <a:endParaRPr lang="zh-CN" altLang="zh-CN" sz="1050">
            <a:solidFill>
              <a:schemeClr val="bg1">
                <a:lumMod val="50000"/>
              </a:schemeClr>
            </a:solidFill>
            <a:effectLst/>
            <a:latin typeface="华文新魏" panose="02010800040101010101" pitchFamily="2" charset="-122"/>
            <a:ea typeface="华文新魏" panose="02010800040101010101" pitchFamily="2" charset="-122"/>
          </a:endParaRPr>
        </a:p>
        <a:p>
          <a:endParaRPr lang="zh-CN" altLang="en-US" sz="1050">
            <a:solidFill>
              <a:schemeClr val="bg1">
                <a:lumMod val="50000"/>
              </a:schemeClr>
            </a:solidFill>
            <a:latin typeface="华文新魏" panose="02010800040101010101" pitchFamily="2" charset="-122"/>
            <a:ea typeface="华文新魏" panose="02010800040101010101" pitchFamily="2" charset="-122"/>
          </a:endParaRPr>
        </a:p>
      </xdr:txBody>
    </xdr:sp>
    <xdr:clientData/>
  </xdr:twoCellAnchor>
  <xdr:twoCellAnchor editAs="oneCell">
    <xdr:from>
      <xdr:col>17</xdr:col>
      <xdr:colOff>114300</xdr:colOff>
      <xdr:row>24</xdr:row>
      <xdr:rowOff>85725</xdr:rowOff>
    </xdr:from>
    <xdr:to>
      <xdr:col>19</xdr:col>
      <xdr:colOff>190500</xdr:colOff>
      <xdr:row>25</xdr:row>
      <xdr:rowOff>66675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020425" y="5295900"/>
          <a:ext cx="13811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570076</xdr:colOff>
      <xdr:row>12</xdr:row>
      <xdr:rowOff>0</xdr:rowOff>
    </xdr:from>
    <xdr:to>
      <xdr:col>20</xdr:col>
      <xdr:colOff>0</xdr:colOff>
      <xdr:row>13</xdr:row>
      <xdr:rowOff>368550</xdr:rowOff>
    </xdr:to>
    <xdr:grpSp>
      <xdr:nvGrpSpPr>
        <xdr:cNvPr id="7176" name="组合 7175">
          <a:extLst>
            <a:ext uri="{FF2B5EF4-FFF2-40B4-BE49-F238E27FC236}">
              <a16:creationId xmlns:a16="http://schemas.microsoft.com/office/drawing/2014/main" id="{00000000-0008-0000-0000-0000081C0000}"/>
            </a:ext>
          </a:extLst>
        </xdr:cNvPr>
        <xdr:cNvGrpSpPr/>
      </xdr:nvGrpSpPr>
      <xdr:grpSpPr>
        <a:xfrm>
          <a:off x="11380951" y="2286000"/>
          <a:ext cx="715799" cy="559050"/>
          <a:chOff x="7439025" y="3612356"/>
          <a:chExt cx="801524" cy="540000"/>
        </a:xfrm>
      </xdr:grpSpPr>
      <xdr:sp macro="" textlink="">
        <xdr:nvSpPr>
          <xdr:cNvPr id="27" name="矩形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7439025" y="3612356"/>
            <a:ext cx="792000" cy="540000"/>
          </a:xfrm>
          <a:prstGeom prst="rect">
            <a:avLst/>
          </a:prstGeom>
          <a:solidFill>
            <a:srgbClr val="F286B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7168" name="菱形 7167">
            <a:extLst>
              <a:ext uri="{FF2B5EF4-FFF2-40B4-BE49-F238E27FC236}">
                <a16:creationId xmlns:a16="http://schemas.microsoft.com/office/drawing/2014/main" id="{00000000-0008-0000-0000-0000001C0000}"/>
              </a:ext>
            </a:extLst>
          </xdr:cNvPr>
          <xdr:cNvSpPr/>
        </xdr:nvSpPr>
        <xdr:spPr>
          <a:xfrm>
            <a:off x="7448549" y="3612356"/>
            <a:ext cx="792000" cy="540000"/>
          </a:xfrm>
          <a:prstGeom prst="diamond">
            <a:avLst/>
          </a:prstGeom>
          <a:solidFill>
            <a:srgbClr val="2DD3A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7174" name="椭圆 7173">
            <a:extLst>
              <a:ext uri="{FF2B5EF4-FFF2-40B4-BE49-F238E27FC236}">
                <a16:creationId xmlns:a16="http://schemas.microsoft.com/office/drawing/2014/main" id="{00000000-0008-0000-0000-0000061C0000}"/>
              </a:ext>
            </a:extLst>
          </xdr:cNvPr>
          <xdr:cNvSpPr/>
        </xdr:nvSpPr>
        <xdr:spPr>
          <a:xfrm>
            <a:off x="7767638" y="3801394"/>
            <a:ext cx="161925" cy="161925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2.xml"/><Relationship Id="rId2" Type="http://schemas.openxmlformats.org/officeDocument/2006/relationships/hyperlink" Target="https://item.jd.com/12005778.html" TargetMode="External"/><Relationship Id="rId1" Type="http://schemas.openxmlformats.org/officeDocument/2006/relationships/hyperlink" Target="https://shop101189323.taobao.com/" TargetMode="Externa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Relationship Id="rId9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AA202"/>
  <sheetViews>
    <sheetView showGridLines="0" tabSelected="1" topLeftCell="D13" workbookViewId="0">
      <selection activeCell="V22" sqref="V22"/>
    </sheetView>
  </sheetViews>
  <sheetFormatPr defaultColWidth="9" defaultRowHeight="15" x14ac:dyDescent="0.5"/>
  <cols>
    <col min="1" max="1" width="4.73046875" style="1" customWidth="1"/>
    <col min="2" max="2" width="6.3984375" style="1" customWidth="1"/>
    <col min="3" max="3" width="20.3984375" style="1" customWidth="1"/>
    <col min="4" max="4" width="6.3984375" style="1" customWidth="1"/>
    <col min="5" max="6" width="8" style="1" customWidth="1"/>
    <col min="7" max="7" width="9.46484375" style="1" customWidth="1"/>
    <col min="8" max="8" width="4.73046875" style="1" customWidth="1"/>
    <col min="9" max="9" width="7.265625" style="1" customWidth="1"/>
    <col min="10" max="10" width="12.73046875" style="1" customWidth="1"/>
    <col min="11" max="11" width="6.265625" style="2" customWidth="1"/>
    <col min="12" max="18" width="8.1328125" style="2" customWidth="1"/>
    <col min="19" max="16384" width="9" style="3"/>
  </cols>
  <sheetData>
    <row r="1" spans="1:27" x14ac:dyDescent="0.5">
      <c r="B1" s="4" t="s">
        <v>0</v>
      </c>
    </row>
    <row r="2" spans="1:27" x14ac:dyDescent="0.5">
      <c r="B2" s="4" t="s">
        <v>1</v>
      </c>
    </row>
    <row r="4" spans="1:27" x14ac:dyDescent="0.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8" t="s">
        <v>11</v>
      </c>
      <c r="K4" s="9"/>
      <c r="L4" s="5" t="s">
        <v>5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tr">
        <f t="array" aca="1" ref="S4:X4" ca="1">IF(T8=1,TRANSPOSE(OFFSET($L$4,1,,6,)),OFFSET(L4,,1,,6))</f>
        <v>一月</v>
      </c>
      <c r="T4" s="5" t="str">
        <f ca="1"/>
        <v>二月</v>
      </c>
      <c r="U4" s="5" t="str">
        <f ca="1"/>
        <v>三月</v>
      </c>
      <c r="V4" s="5" t="str">
        <f ca="1"/>
        <v>四月</v>
      </c>
      <c r="W4" s="5" t="str">
        <f ca="1"/>
        <v>五月</v>
      </c>
      <c r="X4" s="5" t="str">
        <f ca="1"/>
        <v>六月</v>
      </c>
      <c r="Y4" s="32" t="str">
        <f t="array" aca="1" ref="Y4:Y9" ca="1">IF(T8=2,OFFSET($L$4,1,,6,),TRANSPOSE(OFFSET(L4,,1,,6)))</f>
        <v>张颖</v>
      </c>
    </row>
    <row r="5" spans="1:27" x14ac:dyDescent="0.5">
      <c r="A5" s="6" t="s">
        <v>18</v>
      </c>
      <c r="B5" s="6" t="s">
        <v>19</v>
      </c>
      <c r="C5" s="6" t="s">
        <v>20</v>
      </c>
      <c r="D5" s="6" t="s">
        <v>21</v>
      </c>
      <c r="E5" s="6" t="s">
        <v>22</v>
      </c>
      <c r="F5" s="6" t="s">
        <v>23</v>
      </c>
      <c r="G5" s="7">
        <v>35297</v>
      </c>
      <c r="H5" s="6">
        <v>100</v>
      </c>
      <c r="I5" s="10">
        <v>172</v>
      </c>
      <c r="J5" s="11">
        <f>H5*I5</f>
        <v>17200</v>
      </c>
      <c r="K5" s="12"/>
      <c r="L5" s="13" t="s">
        <v>21</v>
      </c>
      <c r="M5" s="1">
        <v>87</v>
      </c>
      <c r="N5" s="1">
        <v>10</v>
      </c>
      <c r="O5" s="1">
        <v>15</v>
      </c>
      <c r="P5" s="1">
        <v>93</v>
      </c>
      <c r="Q5" s="1">
        <v>61</v>
      </c>
      <c r="R5" s="1">
        <v>49</v>
      </c>
      <c r="S5" s="21">
        <f t="array" aca="1" ref="S5:X5" ca="1">IF(T8=1,TRANSPOSE(OFFSET($L$4,1,S8,6,)),OFFSET(L4,S8,1,,6))</f>
        <v>87</v>
      </c>
      <c r="T5" s="21">
        <f ca="1"/>
        <v>10</v>
      </c>
      <c r="U5" s="21">
        <f ca="1"/>
        <v>15</v>
      </c>
      <c r="V5" s="21">
        <f ca="1"/>
        <v>93</v>
      </c>
      <c r="W5" s="21">
        <f ca="1"/>
        <v>61</v>
      </c>
      <c r="X5" s="21">
        <f ca="1"/>
        <v>49</v>
      </c>
      <c r="Y5" s="32" t="str">
        <f ca="1"/>
        <v>郑建杰</v>
      </c>
    </row>
    <row r="6" spans="1:27" x14ac:dyDescent="0.5">
      <c r="A6" s="6" t="s">
        <v>24</v>
      </c>
      <c r="B6" s="6" t="s">
        <v>25</v>
      </c>
      <c r="C6" s="6" t="s">
        <v>26</v>
      </c>
      <c r="D6" s="6" t="s">
        <v>27</v>
      </c>
      <c r="E6" s="6" t="s">
        <v>22</v>
      </c>
      <c r="F6" s="6" t="s">
        <v>23</v>
      </c>
      <c r="G6" s="7">
        <v>35307</v>
      </c>
      <c r="H6" s="6">
        <v>18</v>
      </c>
      <c r="I6" s="10">
        <v>43</v>
      </c>
      <c r="J6" s="11">
        <f t="shared" ref="J6:J68" si="0">H6*I6</f>
        <v>774</v>
      </c>
      <c r="K6" s="12"/>
      <c r="L6" s="13" t="s">
        <v>27</v>
      </c>
      <c r="M6" s="1">
        <v>77</v>
      </c>
      <c r="N6" s="1">
        <v>22</v>
      </c>
      <c r="O6" s="1">
        <v>53</v>
      </c>
      <c r="P6" s="1">
        <v>44</v>
      </c>
      <c r="Q6" s="1">
        <v>64</v>
      </c>
      <c r="R6" s="1">
        <v>53</v>
      </c>
      <c r="S6" s="21">
        <f t="shared" ref="S6:X6" ca="1" si="1">IF(S5&gt;$T10,S5,NA())</f>
        <v>87</v>
      </c>
      <c r="T6" s="21" t="e">
        <f t="shared" ca="1" si="1"/>
        <v>#N/A</v>
      </c>
      <c r="U6" s="21" t="e">
        <f t="shared" ca="1" si="1"/>
        <v>#N/A</v>
      </c>
      <c r="V6" s="21">
        <f t="shared" ca="1" si="1"/>
        <v>93</v>
      </c>
      <c r="W6" s="21" t="e">
        <f t="shared" ca="1" si="1"/>
        <v>#N/A</v>
      </c>
      <c r="X6" s="21" t="e">
        <f t="shared" ca="1" si="1"/>
        <v>#N/A</v>
      </c>
      <c r="Y6" s="32" t="str">
        <f ca="1"/>
        <v>孙林</v>
      </c>
    </row>
    <row r="7" spans="1:27" x14ac:dyDescent="0.5">
      <c r="A7" s="6" t="s">
        <v>18</v>
      </c>
      <c r="B7" s="6" t="s">
        <v>19</v>
      </c>
      <c r="C7" s="6" t="s">
        <v>28</v>
      </c>
      <c r="D7" s="6" t="s">
        <v>29</v>
      </c>
      <c r="E7" s="6" t="s">
        <v>22</v>
      </c>
      <c r="F7" s="6" t="s">
        <v>23</v>
      </c>
      <c r="G7" s="7">
        <v>35338</v>
      </c>
      <c r="H7" s="6">
        <v>20</v>
      </c>
      <c r="I7" s="10">
        <v>287</v>
      </c>
      <c r="J7" s="11">
        <f t="shared" si="0"/>
        <v>5740</v>
      </c>
      <c r="K7" s="12"/>
      <c r="L7" s="13" t="s">
        <v>29</v>
      </c>
      <c r="M7" s="1">
        <v>87</v>
      </c>
      <c r="N7" s="1">
        <v>73</v>
      </c>
      <c r="O7" s="1">
        <v>34</v>
      </c>
      <c r="P7" s="1">
        <v>67</v>
      </c>
      <c r="Q7" s="1">
        <v>30</v>
      </c>
      <c r="R7" s="1">
        <v>75</v>
      </c>
      <c r="S7" s="21"/>
      <c r="T7" s="21"/>
      <c r="Y7" s="32" t="str">
        <f ca="1"/>
        <v>刘英玫</v>
      </c>
    </row>
    <row r="8" spans="1:27" x14ac:dyDescent="0.5">
      <c r="A8" s="6" t="s">
        <v>18</v>
      </c>
      <c r="B8" s="6" t="s">
        <v>19</v>
      </c>
      <c r="C8" s="6" t="s">
        <v>30</v>
      </c>
      <c r="D8" s="6" t="s">
        <v>27</v>
      </c>
      <c r="E8" s="6" t="s">
        <v>22</v>
      </c>
      <c r="F8" s="6" t="s">
        <v>23</v>
      </c>
      <c r="G8" s="7">
        <v>35376</v>
      </c>
      <c r="H8" s="6">
        <v>15</v>
      </c>
      <c r="I8" s="10">
        <v>193</v>
      </c>
      <c r="J8" s="11">
        <f t="shared" si="0"/>
        <v>2895</v>
      </c>
      <c r="K8" s="12"/>
      <c r="L8" s="13" t="s">
        <v>31</v>
      </c>
      <c r="M8" s="1">
        <v>75</v>
      </c>
      <c r="N8" s="1">
        <v>26</v>
      </c>
      <c r="O8" s="1">
        <v>95</v>
      </c>
      <c r="P8" s="1">
        <v>44</v>
      </c>
      <c r="Q8" s="1">
        <v>78</v>
      </c>
      <c r="R8" s="1">
        <v>80</v>
      </c>
      <c r="S8" s="21">
        <v>1</v>
      </c>
      <c r="T8" s="21">
        <v>2</v>
      </c>
      <c r="U8" s="21"/>
      <c r="V8" s="21"/>
      <c r="W8" s="21"/>
      <c r="X8" s="21"/>
      <c r="Y8" s="32" t="str">
        <f ca="1"/>
        <v>金士鹏</v>
      </c>
      <c r="Z8" s="21"/>
    </row>
    <row r="9" spans="1:27" x14ac:dyDescent="0.5">
      <c r="A9" s="6" t="s">
        <v>32</v>
      </c>
      <c r="B9" s="6" t="s">
        <v>33</v>
      </c>
      <c r="C9" s="6" t="s">
        <v>34</v>
      </c>
      <c r="D9" s="6" t="s">
        <v>31</v>
      </c>
      <c r="E9" s="6" t="s">
        <v>22</v>
      </c>
      <c r="F9" s="6" t="s">
        <v>23</v>
      </c>
      <c r="G9" s="7">
        <v>35383</v>
      </c>
      <c r="H9" s="6">
        <v>12</v>
      </c>
      <c r="I9" s="10">
        <v>182</v>
      </c>
      <c r="J9" s="11">
        <f t="shared" si="0"/>
        <v>2184</v>
      </c>
      <c r="K9" s="12"/>
      <c r="L9" s="13" t="s">
        <v>35</v>
      </c>
      <c r="M9" s="1">
        <v>40</v>
      </c>
      <c r="N9" s="1">
        <v>11</v>
      </c>
      <c r="O9" s="1">
        <v>11</v>
      </c>
      <c r="P9" s="1">
        <v>95</v>
      </c>
      <c r="Q9" s="1">
        <v>68</v>
      </c>
      <c r="R9" s="1">
        <v>26</v>
      </c>
      <c r="S9" s="21"/>
      <c r="T9" s="21">
        <v>30</v>
      </c>
      <c r="U9" s="21"/>
      <c r="V9" s="21"/>
      <c r="W9" s="21"/>
      <c r="X9" s="21"/>
      <c r="Y9" s="32" t="str">
        <f ca="1"/>
        <v>李芳</v>
      </c>
      <c r="Z9" s="21"/>
    </row>
    <row r="10" spans="1:27" x14ac:dyDescent="0.5">
      <c r="A10" s="6" t="s">
        <v>18</v>
      </c>
      <c r="B10" s="6" t="s">
        <v>19</v>
      </c>
      <c r="C10" s="6" t="s">
        <v>36</v>
      </c>
      <c r="D10" s="6" t="s">
        <v>29</v>
      </c>
      <c r="E10" s="6" t="s">
        <v>22</v>
      </c>
      <c r="F10" s="6" t="s">
        <v>23</v>
      </c>
      <c r="G10" s="7">
        <v>35402</v>
      </c>
      <c r="H10" s="6">
        <v>15</v>
      </c>
      <c r="I10" s="10">
        <v>78</v>
      </c>
      <c r="J10" s="11">
        <f t="shared" si="0"/>
        <v>1170</v>
      </c>
      <c r="K10" s="12"/>
      <c r="L10" s="13" t="s">
        <v>37</v>
      </c>
      <c r="M10" s="1">
        <v>90</v>
      </c>
      <c r="N10" s="1">
        <v>39</v>
      </c>
      <c r="O10" s="1">
        <v>45</v>
      </c>
      <c r="P10" s="1">
        <v>94</v>
      </c>
      <c r="Q10" s="1">
        <v>40</v>
      </c>
      <c r="R10" s="1">
        <v>48</v>
      </c>
      <c r="S10" s="1">
        <v>0.5</v>
      </c>
      <c r="T10" s="21">
        <f>95-T9</f>
        <v>65</v>
      </c>
      <c r="U10" s="21"/>
      <c r="V10" s="21"/>
      <c r="W10" s="21"/>
      <c r="X10" s="21"/>
      <c r="Y10" s="21"/>
      <c r="Z10" s="21"/>
      <c r="AA10" s="21"/>
    </row>
    <row r="11" spans="1:27" x14ac:dyDescent="0.5">
      <c r="A11" s="6" t="s">
        <v>18</v>
      </c>
      <c r="B11" s="6" t="s">
        <v>19</v>
      </c>
      <c r="C11" s="6" t="s">
        <v>38</v>
      </c>
      <c r="D11" s="6" t="s">
        <v>37</v>
      </c>
      <c r="E11" s="6" t="s">
        <v>22</v>
      </c>
      <c r="F11" s="6" t="s">
        <v>23</v>
      </c>
      <c r="G11" s="7">
        <v>35444</v>
      </c>
      <c r="H11" s="6">
        <v>24</v>
      </c>
      <c r="I11" s="10">
        <v>202</v>
      </c>
      <c r="J11" s="11">
        <f t="shared" si="0"/>
        <v>4848</v>
      </c>
      <c r="K11" s="12"/>
      <c r="L11" s="14"/>
    </row>
    <row r="12" spans="1:27" x14ac:dyDescent="0.5">
      <c r="A12" s="6" t="s">
        <v>18</v>
      </c>
      <c r="B12" s="6" t="s">
        <v>39</v>
      </c>
      <c r="C12" s="6" t="s">
        <v>40</v>
      </c>
      <c r="D12" s="6" t="s">
        <v>41</v>
      </c>
      <c r="E12" s="6" t="s">
        <v>22</v>
      </c>
      <c r="F12" s="6" t="s">
        <v>23</v>
      </c>
      <c r="G12" s="7">
        <v>35506</v>
      </c>
      <c r="H12" s="6">
        <v>15</v>
      </c>
      <c r="I12" s="10">
        <v>253</v>
      </c>
      <c r="J12" s="11">
        <f t="shared" si="0"/>
        <v>3795</v>
      </c>
      <c r="K12" s="12"/>
      <c r="L12" s="14"/>
    </row>
    <row r="13" spans="1:27" x14ac:dyDescent="0.5">
      <c r="A13" s="6" t="s">
        <v>24</v>
      </c>
      <c r="B13" s="6" t="s">
        <v>42</v>
      </c>
      <c r="C13" s="6" t="s">
        <v>43</v>
      </c>
      <c r="D13" s="6" t="s">
        <v>27</v>
      </c>
      <c r="E13" s="6" t="s">
        <v>22</v>
      </c>
      <c r="F13" s="6" t="s">
        <v>23</v>
      </c>
      <c r="G13" s="7">
        <v>35550</v>
      </c>
      <c r="H13" s="6">
        <v>40</v>
      </c>
      <c r="I13" s="10">
        <v>117</v>
      </c>
      <c r="J13" s="11">
        <f t="shared" si="0"/>
        <v>4680</v>
      </c>
      <c r="K13" s="12"/>
      <c r="L13" s="15"/>
      <c r="M13" s="16"/>
      <c r="N13" s="16"/>
      <c r="O13" s="16"/>
      <c r="P13" s="16"/>
      <c r="Q13" s="16"/>
      <c r="R13" s="16"/>
      <c r="S13" s="22"/>
      <c r="T13" s="23"/>
    </row>
    <row r="14" spans="1:27" ht="30" customHeight="1" x14ac:dyDescent="0.5">
      <c r="A14" s="6" t="s">
        <v>18</v>
      </c>
      <c r="B14" s="6" t="s">
        <v>44</v>
      </c>
      <c r="C14" s="6" t="s">
        <v>45</v>
      </c>
      <c r="D14" s="6" t="s">
        <v>27</v>
      </c>
      <c r="E14" s="6" t="s">
        <v>22</v>
      </c>
      <c r="F14" s="6" t="s">
        <v>23</v>
      </c>
      <c r="G14" s="7">
        <v>35555</v>
      </c>
      <c r="H14" s="6">
        <v>8</v>
      </c>
      <c r="I14" s="10">
        <v>290</v>
      </c>
      <c r="J14" s="11">
        <f t="shared" si="0"/>
        <v>2320</v>
      </c>
      <c r="K14" s="12"/>
      <c r="L14" s="17"/>
      <c r="M14" s="18"/>
      <c r="N14" s="18"/>
      <c r="O14" s="18"/>
      <c r="P14" s="18"/>
      <c r="Q14" s="18"/>
      <c r="R14" s="18"/>
      <c r="S14" s="24"/>
      <c r="T14" s="25"/>
    </row>
    <row r="15" spans="1:27" x14ac:dyDescent="0.5">
      <c r="A15" s="6" t="s">
        <v>18</v>
      </c>
      <c r="B15" s="6" t="s">
        <v>19</v>
      </c>
      <c r="C15" s="6" t="s">
        <v>46</v>
      </c>
      <c r="D15" s="6" t="s">
        <v>37</v>
      </c>
      <c r="E15" s="6" t="s">
        <v>22</v>
      </c>
      <c r="F15" s="6" t="s">
        <v>23</v>
      </c>
      <c r="G15" s="7">
        <v>35604</v>
      </c>
      <c r="H15" s="6">
        <v>10</v>
      </c>
      <c r="I15" s="10">
        <v>278</v>
      </c>
      <c r="J15" s="11">
        <f t="shared" si="0"/>
        <v>2780</v>
      </c>
      <c r="K15" s="12"/>
      <c r="L15" s="17"/>
      <c r="M15" s="18"/>
      <c r="N15" s="18"/>
      <c r="O15" s="18"/>
      <c r="P15" s="18"/>
      <c r="Q15" s="18"/>
      <c r="R15" s="18"/>
      <c r="S15" s="24"/>
      <c r="T15" s="25"/>
    </row>
    <row r="16" spans="1:27" x14ac:dyDescent="0.5">
      <c r="A16" s="6" t="s">
        <v>32</v>
      </c>
      <c r="B16" s="6" t="s">
        <v>33</v>
      </c>
      <c r="C16" s="6" t="s">
        <v>47</v>
      </c>
      <c r="D16" s="6" t="s">
        <v>27</v>
      </c>
      <c r="E16" s="6" t="s">
        <v>22</v>
      </c>
      <c r="F16" s="6" t="s">
        <v>23</v>
      </c>
      <c r="G16" s="7">
        <v>35618</v>
      </c>
      <c r="H16" s="6">
        <v>20</v>
      </c>
      <c r="I16" s="10">
        <v>252</v>
      </c>
      <c r="J16" s="11">
        <f t="shared" si="0"/>
        <v>5040</v>
      </c>
      <c r="K16" s="12"/>
      <c r="L16" s="17"/>
      <c r="M16" s="18"/>
      <c r="N16" s="18"/>
      <c r="O16" s="18"/>
      <c r="P16" s="18"/>
      <c r="Q16" s="18"/>
      <c r="R16" s="18"/>
      <c r="S16" s="24"/>
      <c r="T16" s="25"/>
    </row>
    <row r="17" spans="1:24" x14ac:dyDescent="0.5">
      <c r="A17" s="6" t="s">
        <v>24</v>
      </c>
      <c r="B17" s="6" t="s">
        <v>48</v>
      </c>
      <c r="C17" s="6" t="s">
        <v>49</v>
      </c>
      <c r="D17" s="6" t="s">
        <v>35</v>
      </c>
      <c r="E17" s="6" t="s">
        <v>22</v>
      </c>
      <c r="F17" s="6" t="s">
        <v>23</v>
      </c>
      <c r="G17" s="7">
        <v>35635</v>
      </c>
      <c r="H17" s="6">
        <v>3</v>
      </c>
      <c r="I17" s="10">
        <v>14</v>
      </c>
      <c r="J17" s="11">
        <f t="shared" si="0"/>
        <v>42</v>
      </c>
      <c r="K17" s="12"/>
      <c r="L17" s="17"/>
      <c r="M17" s="18"/>
      <c r="N17" s="18"/>
      <c r="O17" s="18"/>
      <c r="P17" s="18"/>
      <c r="Q17" s="18"/>
      <c r="R17" s="18"/>
      <c r="S17" s="24"/>
      <c r="T17" s="25"/>
    </row>
    <row r="18" spans="1:24" x14ac:dyDescent="0.5">
      <c r="A18" s="6" t="s">
        <v>18</v>
      </c>
      <c r="B18" s="6" t="s">
        <v>19</v>
      </c>
      <c r="C18" s="6" t="s">
        <v>50</v>
      </c>
      <c r="D18" s="6" t="s">
        <v>29</v>
      </c>
      <c r="E18" s="6" t="s">
        <v>22</v>
      </c>
      <c r="F18" s="6" t="s">
        <v>23</v>
      </c>
      <c r="G18" s="7">
        <v>35636</v>
      </c>
      <c r="H18" s="6">
        <v>6</v>
      </c>
      <c r="I18" s="10">
        <v>42</v>
      </c>
      <c r="J18" s="11">
        <f t="shared" si="0"/>
        <v>252</v>
      </c>
      <c r="K18" s="12"/>
      <c r="L18" s="17"/>
      <c r="M18" s="18"/>
      <c r="N18" s="18"/>
      <c r="O18" s="18"/>
      <c r="P18" s="18"/>
      <c r="Q18" s="18"/>
      <c r="R18" s="18"/>
      <c r="S18" s="24"/>
      <c r="T18" s="25"/>
    </row>
    <row r="19" spans="1:24" x14ac:dyDescent="0.5">
      <c r="A19" s="6" t="s">
        <v>32</v>
      </c>
      <c r="B19" s="6" t="s">
        <v>33</v>
      </c>
      <c r="C19" s="6" t="s">
        <v>51</v>
      </c>
      <c r="D19" s="6" t="s">
        <v>27</v>
      </c>
      <c r="E19" s="6" t="s">
        <v>22</v>
      </c>
      <c r="F19" s="6" t="s">
        <v>23</v>
      </c>
      <c r="G19" s="7">
        <v>35654</v>
      </c>
      <c r="H19" s="6">
        <v>25</v>
      </c>
      <c r="I19" s="10">
        <v>60</v>
      </c>
      <c r="J19" s="11">
        <f t="shared" si="0"/>
        <v>1500</v>
      </c>
      <c r="K19" s="12"/>
      <c r="L19" s="17"/>
      <c r="M19" s="18"/>
      <c r="N19" s="18"/>
      <c r="O19" s="18"/>
      <c r="P19" s="18"/>
      <c r="Q19" s="18"/>
      <c r="R19" s="18"/>
      <c r="S19" s="24"/>
      <c r="T19" s="25"/>
    </row>
    <row r="20" spans="1:24" x14ac:dyDescent="0.5">
      <c r="A20" s="6" t="s">
        <v>18</v>
      </c>
      <c r="B20" s="6" t="s">
        <v>19</v>
      </c>
      <c r="C20" s="6" t="s">
        <v>52</v>
      </c>
      <c r="D20" s="6" t="s">
        <v>53</v>
      </c>
      <c r="E20" s="6" t="s">
        <v>22</v>
      </c>
      <c r="F20" s="6" t="s">
        <v>23</v>
      </c>
      <c r="G20" s="7">
        <v>35669</v>
      </c>
      <c r="H20" s="6">
        <v>15</v>
      </c>
      <c r="I20" s="10">
        <v>52</v>
      </c>
      <c r="J20" s="11">
        <f t="shared" si="0"/>
        <v>780</v>
      </c>
      <c r="K20" s="12"/>
      <c r="L20" s="17"/>
      <c r="M20" s="18"/>
      <c r="N20" s="18"/>
      <c r="O20" s="18"/>
      <c r="P20" s="18"/>
      <c r="Q20" s="18"/>
      <c r="R20" s="18"/>
      <c r="S20" s="24"/>
      <c r="T20" s="25"/>
    </row>
    <row r="21" spans="1:24" x14ac:dyDescent="0.5">
      <c r="A21" s="6" t="s">
        <v>24</v>
      </c>
      <c r="B21" s="6" t="s">
        <v>42</v>
      </c>
      <c r="C21" s="6" t="s">
        <v>54</v>
      </c>
      <c r="D21" s="6" t="s">
        <v>21</v>
      </c>
      <c r="E21" s="6" t="s">
        <v>22</v>
      </c>
      <c r="F21" s="6" t="s">
        <v>23</v>
      </c>
      <c r="G21" s="7">
        <v>35704</v>
      </c>
      <c r="H21" s="6">
        <v>35</v>
      </c>
      <c r="I21" s="10">
        <v>296</v>
      </c>
      <c r="J21" s="11">
        <f t="shared" si="0"/>
        <v>10360</v>
      </c>
      <c r="K21" s="12"/>
      <c r="L21" s="17"/>
      <c r="M21" s="18"/>
      <c r="N21" s="18"/>
      <c r="O21" s="18"/>
      <c r="P21" s="18"/>
      <c r="Q21" s="18"/>
      <c r="R21" s="18"/>
      <c r="S21" s="24"/>
      <c r="T21" s="25"/>
      <c r="W21" s="26"/>
      <c r="X21" s="27"/>
    </row>
    <row r="22" spans="1:24" x14ac:dyDescent="0.5">
      <c r="A22" s="6" t="s">
        <v>18</v>
      </c>
      <c r="B22" s="6" t="s">
        <v>19</v>
      </c>
      <c r="C22" s="6" t="s">
        <v>20</v>
      </c>
      <c r="D22" s="6" t="s">
        <v>55</v>
      </c>
      <c r="E22" s="6" t="s">
        <v>22</v>
      </c>
      <c r="F22" s="6" t="s">
        <v>23</v>
      </c>
      <c r="G22" s="7">
        <v>35706</v>
      </c>
      <c r="H22" s="6">
        <v>30</v>
      </c>
      <c r="I22" s="10">
        <v>52</v>
      </c>
      <c r="J22" s="11">
        <f t="shared" si="0"/>
        <v>1560</v>
      </c>
      <c r="K22" s="12"/>
      <c r="L22" s="17"/>
      <c r="M22" s="18"/>
      <c r="N22" s="18"/>
      <c r="O22" s="18"/>
      <c r="P22" s="18"/>
      <c r="Q22" s="18"/>
      <c r="R22" s="18"/>
      <c r="S22" s="24"/>
      <c r="T22" s="25"/>
    </row>
    <row r="23" spans="1:24" x14ac:dyDescent="0.5">
      <c r="A23" s="6" t="s">
        <v>56</v>
      </c>
      <c r="B23" s="6" t="s">
        <v>57</v>
      </c>
      <c r="C23" s="6" t="s">
        <v>58</v>
      </c>
      <c r="D23" s="6" t="s">
        <v>37</v>
      </c>
      <c r="E23" s="6" t="s">
        <v>22</v>
      </c>
      <c r="F23" s="6" t="s">
        <v>23</v>
      </c>
      <c r="G23" s="7">
        <v>35713</v>
      </c>
      <c r="H23" s="6">
        <v>5</v>
      </c>
      <c r="I23" s="10">
        <v>259</v>
      </c>
      <c r="J23" s="11">
        <f t="shared" si="0"/>
        <v>1295</v>
      </c>
      <c r="K23" s="12"/>
      <c r="L23" s="17"/>
      <c r="M23" s="18"/>
      <c r="N23" s="18"/>
      <c r="O23" s="18"/>
      <c r="P23" s="18"/>
      <c r="Q23" s="18"/>
      <c r="R23" s="18"/>
      <c r="S23" s="24"/>
      <c r="T23" s="25"/>
      <c r="V23" s="28"/>
      <c r="W23" s="29"/>
    </row>
    <row r="24" spans="1:24" x14ac:dyDescent="0.5">
      <c r="A24" s="6" t="s">
        <v>59</v>
      </c>
      <c r="B24" s="6" t="s">
        <v>60</v>
      </c>
      <c r="C24" s="6" t="s">
        <v>61</v>
      </c>
      <c r="D24" s="6" t="s">
        <v>31</v>
      </c>
      <c r="E24" s="6" t="s">
        <v>22</v>
      </c>
      <c r="F24" s="6" t="s">
        <v>23</v>
      </c>
      <c r="G24" s="7">
        <v>35738</v>
      </c>
      <c r="H24" s="6">
        <v>50</v>
      </c>
      <c r="I24" s="10">
        <v>76</v>
      </c>
      <c r="J24" s="11">
        <f t="shared" si="0"/>
        <v>3800</v>
      </c>
      <c r="K24" s="12"/>
      <c r="L24" s="17"/>
      <c r="M24" s="18"/>
      <c r="N24" s="18"/>
      <c r="O24" s="18"/>
      <c r="P24" s="18"/>
      <c r="Q24" s="18"/>
      <c r="R24" s="18"/>
      <c r="S24" s="24"/>
      <c r="T24" s="25"/>
    </row>
    <row r="25" spans="1:24" x14ac:dyDescent="0.5">
      <c r="A25" s="6" t="s">
        <v>18</v>
      </c>
      <c r="B25" s="6" t="s">
        <v>44</v>
      </c>
      <c r="C25" s="6" t="s">
        <v>62</v>
      </c>
      <c r="D25" s="6" t="s">
        <v>55</v>
      </c>
      <c r="E25" s="6" t="s">
        <v>22</v>
      </c>
      <c r="F25" s="6" t="s">
        <v>23</v>
      </c>
      <c r="G25" s="7">
        <v>35758</v>
      </c>
      <c r="H25" s="6">
        <v>8</v>
      </c>
      <c r="I25" s="10">
        <v>55</v>
      </c>
      <c r="J25" s="11">
        <f t="shared" si="0"/>
        <v>440</v>
      </c>
      <c r="K25" s="12"/>
      <c r="L25" s="17"/>
      <c r="M25" s="18"/>
      <c r="N25" s="18"/>
      <c r="O25" s="18"/>
      <c r="P25" s="18"/>
      <c r="Q25" s="18"/>
      <c r="R25" s="18"/>
      <c r="S25" s="24"/>
      <c r="T25" s="25"/>
    </row>
    <row r="26" spans="1:24" x14ac:dyDescent="0.5">
      <c r="A26" s="6" t="s">
        <v>59</v>
      </c>
      <c r="B26" s="6" t="s">
        <v>60</v>
      </c>
      <c r="C26" s="6" t="s">
        <v>61</v>
      </c>
      <c r="D26" s="6" t="s">
        <v>37</v>
      </c>
      <c r="E26" s="6" t="s">
        <v>22</v>
      </c>
      <c r="F26" s="6" t="s">
        <v>23</v>
      </c>
      <c r="G26" s="7">
        <v>35814</v>
      </c>
      <c r="H26" s="6">
        <v>4</v>
      </c>
      <c r="I26" s="10">
        <v>136</v>
      </c>
      <c r="J26" s="11">
        <f t="shared" si="0"/>
        <v>544</v>
      </c>
      <c r="K26" s="12"/>
      <c r="L26" s="17"/>
      <c r="M26" s="18"/>
      <c r="N26" s="18"/>
      <c r="O26" s="18"/>
      <c r="P26" s="18"/>
      <c r="Q26" s="18"/>
      <c r="R26" s="18"/>
      <c r="S26" s="24"/>
      <c r="T26" s="25"/>
    </row>
    <row r="27" spans="1:24" x14ac:dyDescent="0.5">
      <c r="A27" s="6" t="s">
        <v>56</v>
      </c>
      <c r="B27" s="6" t="s">
        <v>57</v>
      </c>
      <c r="C27" s="6" t="s">
        <v>58</v>
      </c>
      <c r="D27" s="6" t="s">
        <v>27</v>
      </c>
      <c r="E27" s="6" t="s">
        <v>22</v>
      </c>
      <c r="F27" s="6" t="s">
        <v>23</v>
      </c>
      <c r="G27" s="7">
        <v>35817</v>
      </c>
      <c r="H27" s="6">
        <v>80</v>
      </c>
      <c r="I27" s="10">
        <v>146</v>
      </c>
      <c r="J27" s="11">
        <f t="shared" si="0"/>
        <v>11680</v>
      </c>
      <c r="K27" s="12"/>
      <c r="L27" s="17"/>
      <c r="M27" s="18"/>
      <c r="N27" s="18"/>
      <c r="O27" s="18"/>
      <c r="P27" s="18"/>
      <c r="Q27" s="18"/>
      <c r="R27" s="18"/>
      <c r="S27" s="24"/>
      <c r="T27" s="25"/>
    </row>
    <row r="28" spans="1:24" x14ac:dyDescent="0.5">
      <c r="A28" s="6" t="s">
        <v>59</v>
      </c>
      <c r="B28" s="6" t="s">
        <v>63</v>
      </c>
      <c r="C28" s="6" t="s">
        <v>64</v>
      </c>
      <c r="D28" s="6" t="s">
        <v>27</v>
      </c>
      <c r="E28" s="6" t="s">
        <v>22</v>
      </c>
      <c r="F28" s="6" t="s">
        <v>23</v>
      </c>
      <c r="G28" s="7">
        <v>35828</v>
      </c>
      <c r="H28" s="6">
        <v>20</v>
      </c>
      <c r="I28" s="10">
        <v>217</v>
      </c>
      <c r="J28" s="11">
        <f t="shared" si="0"/>
        <v>4340</v>
      </c>
      <c r="K28" s="12"/>
      <c r="L28" s="17"/>
      <c r="M28" s="18"/>
      <c r="N28" s="18"/>
      <c r="O28" s="18"/>
      <c r="P28" s="18"/>
      <c r="Q28" s="18"/>
      <c r="R28" s="18"/>
      <c r="S28" s="24"/>
      <c r="T28" s="25"/>
    </row>
    <row r="29" spans="1:24" x14ac:dyDescent="0.5">
      <c r="A29" s="6" t="s">
        <v>18</v>
      </c>
      <c r="B29" s="6" t="s">
        <v>19</v>
      </c>
      <c r="C29" s="6" t="s">
        <v>65</v>
      </c>
      <c r="D29" s="6" t="s">
        <v>41</v>
      </c>
      <c r="E29" s="6" t="s">
        <v>22</v>
      </c>
      <c r="F29" s="6" t="s">
        <v>23</v>
      </c>
      <c r="G29" s="7">
        <v>35830</v>
      </c>
      <c r="H29" s="6">
        <v>40</v>
      </c>
      <c r="I29" s="10">
        <v>97</v>
      </c>
      <c r="J29" s="11">
        <f t="shared" si="0"/>
        <v>3880</v>
      </c>
      <c r="K29" s="12"/>
      <c r="L29" s="17"/>
      <c r="M29" s="18"/>
      <c r="N29" s="18"/>
      <c r="O29" s="18"/>
      <c r="P29" s="18"/>
      <c r="Q29" s="18"/>
      <c r="R29" s="18"/>
      <c r="S29" s="24"/>
      <c r="T29" s="25"/>
    </row>
    <row r="30" spans="1:24" x14ac:dyDescent="0.5">
      <c r="A30" s="6" t="s">
        <v>59</v>
      </c>
      <c r="B30" s="6" t="s">
        <v>63</v>
      </c>
      <c r="C30" s="6" t="s">
        <v>66</v>
      </c>
      <c r="D30" s="6" t="s">
        <v>53</v>
      </c>
      <c r="E30" s="6" t="s">
        <v>22</v>
      </c>
      <c r="F30" s="6" t="s">
        <v>23</v>
      </c>
      <c r="G30" s="7">
        <v>35850</v>
      </c>
      <c r="H30" s="6">
        <v>20</v>
      </c>
      <c r="I30" s="10">
        <v>284</v>
      </c>
      <c r="J30" s="11">
        <f t="shared" si="0"/>
        <v>5680</v>
      </c>
      <c r="K30" s="12"/>
      <c r="L30" s="17"/>
      <c r="M30" s="18"/>
      <c r="N30" s="18"/>
      <c r="O30" s="18"/>
      <c r="P30" s="18"/>
      <c r="Q30" s="18"/>
      <c r="R30" s="18"/>
      <c r="S30" s="24"/>
      <c r="T30" s="25"/>
    </row>
    <row r="31" spans="1:24" x14ac:dyDescent="0.5">
      <c r="A31" s="6" t="s">
        <v>18</v>
      </c>
      <c r="B31" s="6" t="s">
        <v>39</v>
      </c>
      <c r="C31" s="6" t="s">
        <v>67</v>
      </c>
      <c r="D31" s="6" t="s">
        <v>37</v>
      </c>
      <c r="E31" s="6" t="s">
        <v>22</v>
      </c>
      <c r="F31" s="6" t="s">
        <v>23</v>
      </c>
      <c r="G31" s="7">
        <v>35852</v>
      </c>
      <c r="H31" s="6">
        <v>10</v>
      </c>
      <c r="I31" s="10">
        <v>45</v>
      </c>
      <c r="J31" s="11">
        <f t="shared" si="0"/>
        <v>450</v>
      </c>
      <c r="K31" s="12"/>
      <c r="L31" s="17"/>
      <c r="M31" s="18"/>
      <c r="N31" s="18"/>
      <c r="O31" s="18"/>
      <c r="P31" s="18"/>
      <c r="Q31" s="18"/>
      <c r="R31" s="18"/>
      <c r="S31" s="24"/>
      <c r="T31" s="25"/>
    </row>
    <row r="32" spans="1:24" x14ac:dyDescent="0.5">
      <c r="A32" s="6" t="s">
        <v>56</v>
      </c>
      <c r="B32" s="6" t="s">
        <v>57</v>
      </c>
      <c r="C32" s="6" t="s">
        <v>68</v>
      </c>
      <c r="D32" s="6" t="s">
        <v>37</v>
      </c>
      <c r="E32" s="6" t="s">
        <v>22</v>
      </c>
      <c r="F32" s="6" t="s">
        <v>23</v>
      </c>
      <c r="G32" s="7">
        <v>35856</v>
      </c>
      <c r="H32" s="6">
        <v>60</v>
      </c>
      <c r="I32" s="10">
        <v>265</v>
      </c>
      <c r="J32" s="11">
        <f t="shared" si="0"/>
        <v>15900</v>
      </c>
      <c r="K32" s="12"/>
      <c r="L32" s="17"/>
      <c r="M32" s="18"/>
      <c r="N32" s="18"/>
      <c r="O32" s="18"/>
      <c r="P32" s="18"/>
      <c r="Q32" s="18"/>
      <c r="R32" s="18"/>
      <c r="S32" s="24"/>
      <c r="T32" s="25"/>
    </row>
    <row r="33" spans="1:20" ht="10.5" customHeight="1" x14ac:dyDescent="0.5">
      <c r="A33" s="6" t="s">
        <v>59</v>
      </c>
      <c r="B33" s="6" t="s">
        <v>63</v>
      </c>
      <c r="C33" s="6" t="s">
        <v>66</v>
      </c>
      <c r="D33" s="6" t="s">
        <v>27</v>
      </c>
      <c r="E33" s="6" t="s">
        <v>22</v>
      </c>
      <c r="F33" s="6" t="s">
        <v>23</v>
      </c>
      <c r="G33" s="7">
        <v>35863</v>
      </c>
      <c r="H33" s="6">
        <v>21</v>
      </c>
      <c r="I33" s="10">
        <v>106</v>
      </c>
      <c r="J33" s="11">
        <f t="shared" si="0"/>
        <v>2226</v>
      </c>
      <c r="K33" s="12"/>
      <c r="L33" s="19"/>
      <c r="M33" s="20"/>
      <c r="N33" s="20"/>
      <c r="O33" s="20"/>
      <c r="P33" s="20"/>
      <c r="Q33" s="20"/>
      <c r="R33" s="20"/>
      <c r="S33" s="30"/>
      <c r="T33" s="31"/>
    </row>
    <row r="34" spans="1:20" x14ac:dyDescent="0.5">
      <c r="A34" s="6" t="s">
        <v>56</v>
      </c>
      <c r="B34" s="6" t="s">
        <v>69</v>
      </c>
      <c r="C34" s="6" t="s">
        <v>70</v>
      </c>
      <c r="D34" s="6" t="s">
        <v>37</v>
      </c>
      <c r="E34" s="6" t="s">
        <v>22</v>
      </c>
      <c r="F34" s="6" t="s">
        <v>23</v>
      </c>
      <c r="G34" s="7">
        <v>35891</v>
      </c>
      <c r="H34" s="6">
        <v>4</v>
      </c>
      <c r="I34" s="10">
        <v>83</v>
      </c>
      <c r="J34" s="11">
        <f t="shared" si="0"/>
        <v>332</v>
      </c>
      <c r="K34" s="12"/>
    </row>
    <row r="35" spans="1:20" x14ac:dyDescent="0.5">
      <c r="A35" s="6" t="s">
        <v>18</v>
      </c>
      <c r="B35" s="6" t="s">
        <v>39</v>
      </c>
      <c r="C35" s="6" t="s">
        <v>71</v>
      </c>
      <c r="D35" s="6" t="s">
        <v>55</v>
      </c>
      <c r="E35" s="6" t="s">
        <v>22</v>
      </c>
      <c r="F35" s="6" t="s">
        <v>23</v>
      </c>
      <c r="G35" s="7">
        <v>35892</v>
      </c>
      <c r="H35" s="6">
        <v>2</v>
      </c>
      <c r="I35" s="10">
        <v>80</v>
      </c>
      <c r="J35" s="11">
        <f t="shared" si="0"/>
        <v>160</v>
      </c>
      <c r="K35" s="12"/>
    </row>
    <row r="36" spans="1:20" x14ac:dyDescent="0.5">
      <c r="A36" s="6" t="s">
        <v>18</v>
      </c>
      <c r="B36" s="6" t="s">
        <v>72</v>
      </c>
      <c r="C36" s="6" t="s">
        <v>73</v>
      </c>
      <c r="D36" s="6" t="s">
        <v>37</v>
      </c>
      <c r="E36" s="6" t="s">
        <v>22</v>
      </c>
      <c r="F36" s="6" t="s">
        <v>23</v>
      </c>
      <c r="G36" s="7">
        <v>35892</v>
      </c>
      <c r="H36" s="6">
        <v>8</v>
      </c>
      <c r="I36" s="10">
        <v>271</v>
      </c>
      <c r="J36" s="11">
        <f t="shared" si="0"/>
        <v>2168</v>
      </c>
      <c r="K36" s="12"/>
    </row>
    <row r="37" spans="1:20" x14ac:dyDescent="0.5">
      <c r="A37" s="6" t="s">
        <v>18</v>
      </c>
      <c r="B37" s="6" t="s">
        <v>44</v>
      </c>
      <c r="C37" s="6" t="s">
        <v>45</v>
      </c>
      <c r="D37" s="6" t="s">
        <v>29</v>
      </c>
      <c r="E37" s="6" t="s">
        <v>22</v>
      </c>
      <c r="F37" s="6" t="s">
        <v>23</v>
      </c>
      <c r="G37" s="7">
        <v>35900</v>
      </c>
      <c r="H37" s="6">
        <v>10</v>
      </c>
      <c r="I37" s="10">
        <v>199</v>
      </c>
      <c r="J37" s="11">
        <f t="shared" si="0"/>
        <v>1990</v>
      </c>
      <c r="K37" s="12"/>
    </row>
    <row r="38" spans="1:20" x14ac:dyDescent="0.5">
      <c r="A38" s="6" t="s">
        <v>56</v>
      </c>
      <c r="B38" s="6" t="s">
        <v>57</v>
      </c>
      <c r="C38" s="6" t="s">
        <v>58</v>
      </c>
      <c r="D38" s="6" t="s">
        <v>29</v>
      </c>
      <c r="E38" s="6" t="s">
        <v>22</v>
      </c>
      <c r="F38" s="6" t="s">
        <v>23</v>
      </c>
      <c r="G38" s="7">
        <v>35902</v>
      </c>
      <c r="H38" s="6">
        <v>45</v>
      </c>
      <c r="I38" s="10">
        <v>143</v>
      </c>
      <c r="J38" s="11">
        <f t="shared" si="0"/>
        <v>6435</v>
      </c>
      <c r="K38" s="12"/>
    </row>
    <row r="39" spans="1:20" x14ac:dyDescent="0.5">
      <c r="A39" s="6" t="s">
        <v>18</v>
      </c>
      <c r="B39" s="6" t="s">
        <v>19</v>
      </c>
      <c r="C39" s="6" t="s">
        <v>74</v>
      </c>
      <c r="D39" s="6" t="s">
        <v>55</v>
      </c>
      <c r="E39" s="6" t="s">
        <v>22</v>
      </c>
      <c r="F39" s="6" t="s">
        <v>23</v>
      </c>
      <c r="G39" s="7">
        <v>35905</v>
      </c>
      <c r="H39" s="6">
        <v>10</v>
      </c>
      <c r="I39" s="10">
        <v>164</v>
      </c>
      <c r="J39" s="11">
        <f t="shared" si="0"/>
        <v>1640</v>
      </c>
      <c r="K39" s="12"/>
    </row>
    <row r="40" spans="1:20" x14ac:dyDescent="0.5">
      <c r="A40" s="6" t="s">
        <v>18</v>
      </c>
      <c r="B40" s="6" t="s">
        <v>19</v>
      </c>
      <c r="C40" s="6" t="s">
        <v>75</v>
      </c>
      <c r="D40" s="6" t="s">
        <v>35</v>
      </c>
      <c r="E40" s="6" t="s">
        <v>22</v>
      </c>
      <c r="F40" s="6" t="s">
        <v>23</v>
      </c>
      <c r="G40" s="7">
        <v>35909</v>
      </c>
      <c r="H40" s="6">
        <v>25</v>
      </c>
      <c r="I40" s="10">
        <v>132</v>
      </c>
      <c r="J40" s="11">
        <f t="shared" si="0"/>
        <v>3300</v>
      </c>
      <c r="K40" s="12"/>
    </row>
    <row r="41" spans="1:20" x14ac:dyDescent="0.5">
      <c r="A41" s="6" t="s">
        <v>24</v>
      </c>
      <c r="B41" s="6" t="s">
        <v>42</v>
      </c>
      <c r="C41" s="6" t="s">
        <v>43</v>
      </c>
      <c r="D41" s="6" t="s">
        <v>55</v>
      </c>
      <c r="E41" s="6" t="s">
        <v>22</v>
      </c>
      <c r="F41" s="6" t="s">
        <v>23</v>
      </c>
      <c r="G41" s="7">
        <v>35920</v>
      </c>
      <c r="H41" s="6">
        <v>40</v>
      </c>
      <c r="I41" s="10">
        <v>24</v>
      </c>
      <c r="J41" s="11">
        <f t="shared" si="0"/>
        <v>960</v>
      </c>
      <c r="K41" s="12"/>
    </row>
    <row r="42" spans="1:20" x14ac:dyDescent="0.5">
      <c r="A42" s="6" t="s">
        <v>24</v>
      </c>
      <c r="B42" s="6" t="s">
        <v>42</v>
      </c>
      <c r="C42" s="6" t="s">
        <v>76</v>
      </c>
      <c r="D42" s="6" t="s">
        <v>53</v>
      </c>
      <c r="E42" s="6" t="s">
        <v>22</v>
      </c>
      <c r="F42" s="6" t="s">
        <v>77</v>
      </c>
      <c r="G42" s="7">
        <v>35258</v>
      </c>
      <c r="H42" s="6">
        <v>20</v>
      </c>
      <c r="I42" s="10">
        <v>102</v>
      </c>
      <c r="J42" s="11">
        <f t="shared" si="0"/>
        <v>2040</v>
      </c>
      <c r="K42" s="12"/>
    </row>
    <row r="43" spans="1:20" x14ac:dyDescent="0.5">
      <c r="A43" s="6" t="s">
        <v>59</v>
      </c>
      <c r="B43" s="6" t="s">
        <v>63</v>
      </c>
      <c r="C43" s="6" t="s">
        <v>78</v>
      </c>
      <c r="D43" s="6" t="s">
        <v>21</v>
      </c>
      <c r="E43" s="6" t="s">
        <v>22</v>
      </c>
      <c r="F43" s="6" t="s">
        <v>77</v>
      </c>
      <c r="G43" s="7">
        <v>35263</v>
      </c>
      <c r="H43" s="6">
        <v>50</v>
      </c>
      <c r="I43" s="10">
        <v>112</v>
      </c>
      <c r="J43" s="11">
        <f t="shared" si="0"/>
        <v>5600</v>
      </c>
      <c r="K43" s="12"/>
    </row>
    <row r="44" spans="1:20" x14ac:dyDescent="0.5">
      <c r="A44" s="6" t="s">
        <v>24</v>
      </c>
      <c r="B44" s="6" t="s">
        <v>42</v>
      </c>
      <c r="C44" s="6" t="s">
        <v>79</v>
      </c>
      <c r="D44" s="6" t="s">
        <v>29</v>
      </c>
      <c r="E44" s="6" t="s">
        <v>22</v>
      </c>
      <c r="F44" s="6" t="s">
        <v>77</v>
      </c>
      <c r="G44" s="7">
        <v>35270</v>
      </c>
      <c r="H44" s="6">
        <v>35</v>
      </c>
      <c r="I44" s="10">
        <v>202</v>
      </c>
      <c r="J44" s="11">
        <f t="shared" si="0"/>
        <v>7070</v>
      </c>
      <c r="K44" s="12"/>
    </row>
    <row r="45" spans="1:20" x14ac:dyDescent="0.5">
      <c r="A45" s="6" t="s">
        <v>18</v>
      </c>
      <c r="B45" s="6" t="s">
        <v>19</v>
      </c>
      <c r="C45" s="6" t="s">
        <v>52</v>
      </c>
      <c r="D45" s="6" t="s">
        <v>29</v>
      </c>
      <c r="E45" s="6" t="s">
        <v>22</v>
      </c>
      <c r="F45" s="6" t="s">
        <v>77</v>
      </c>
      <c r="G45" s="7">
        <v>35313</v>
      </c>
      <c r="H45" s="6">
        <v>40</v>
      </c>
      <c r="I45" s="10">
        <v>224</v>
      </c>
      <c r="J45" s="11">
        <f t="shared" si="0"/>
        <v>8960</v>
      </c>
      <c r="K45" s="12"/>
    </row>
    <row r="46" spans="1:20" x14ac:dyDescent="0.5">
      <c r="A46" s="6" t="s">
        <v>24</v>
      </c>
      <c r="B46" s="6" t="s">
        <v>42</v>
      </c>
      <c r="C46" s="6" t="s">
        <v>79</v>
      </c>
      <c r="D46" s="6" t="s">
        <v>55</v>
      </c>
      <c r="E46" s="6" t="s">
        <v>22</v>
      </c>
      <c r="F46" s="6" t="s">
        <v>77</v>
      </c>
      <c r="G46" s="7">
        <v>35349</v>
      </c>
      <c r="H46" s="6">
        <v>25</v>
      </c>
      <c r="I46" s="10">
        <v>12</v>
      </c>
      <c r="J46" s="11">
        <f t="shared" si="0"/>
        <v>300</v>
      </c>
      <c r="K46" s="12"/>
    </row>
    <row r="47" spans="1:20" x14ac:dyDescent="0.5">
      <c r="A47" s="6" t="s">
        <v>18</v>
      </c>
      <c r="B47" s="6" t="s">
        <v>19</v>
      </c>
      <c r="C47" s="6" t="s">
        <v>52</v>
      </c>
      <c r="D47" s="6" t="s">
        <v>35</v>
      </c>
      <c r="E47" s="6" t="s">
        <v>22</v>
      </c>
      <c r="F47" s="6" t="s">
        <v>77</v>
      </c>
      <c r="G47" s="7">
        <v>35360</v>
      </c>
      <c r="H47" s="6">
        <v>7</v>
      </c>
      <c r="I47" s="10">
        <v>16</v>
      </c>
      <c r="J47" s="11">
        <f t="shared" si="0"/>
        <v>112</v>
      </c>
      <c r="K47" s="12"/>
    </row>
    <row r="48" spans="1:20" x14ac:dyDescent="0.5">
      <c r="A48" s="6" t="s">
        <v>18</v>
      </c>
      <c r="B48" s="6" t="s">
        <v>80</v>
      </c>
      <c r="C48" s="6" t="s">
        <v>81</v>
      </c>
      <c r="D48" s="6" t="s">
        <v>27</v>
      </c>
      <c r="E48" s="6" t="s">
        <v>22</v>
      </c>
      <c r="F48" s="6" t="s">
        <v>77</v>
      </c>
      <c r="G48" s="7">
        <v>35368</v>
      </c>
      <c r="H48" s="6">
        <v>24</v>
      </c>
      <c r="I48" s="10">
        <v>286</v>
      </c>
      <c r="J48" s="11">
        <f t="shared" si="0"/>
        <v>6864</v>
      </c>
      <c r="K48" s="12"/>
    </row>
    <row r="49" spans="1:11" x14ac:dyDescent="0.5">
      <c r="A49" s="6" t="s">
        <v>56</v>
      </c>
      <c r="B49" s="6" t="s">
        <v>57</v>
      </c>
      <c r="C49" s="6" t="s">
        <v>58</v>
      </c>
      <c r="D49" s="6" t="s">
        <v>21</v>
      </c>
      <c r="E49" s="6" t="s">
        <v>22</v>
      </c>
      <c r="F49" s="6" t="s">
        <v>77</v>
      </c>
      <c r="G49" s="7">
        <v>35424</v>
      </c>
      <c r="H49" s="6">
        <v>25</v>
      </c>
      <c r="I49" s="10">
        <v>178</v>
      </c>
      <c r="J49" s="11">
        <f t="shared" si="0"/>
        <v>4450</v>
      </c>
      <c r="K49" s="12"/>
    </row>
    <row r="50" spans="1:11" x14ac:dyDescent="0.5">
      <c r="A50" s="6" t="s">
        <v>18</v>
      </c>
      <c r="B50" s="6" t="s">
        <v>19</v>
      </c>
      <c r="C50" s="6" t="s">
        <v>20</v>
      </c>
      <c r="D50" s="6" t="s">
        <v>27</v>
      </c>
      <c r="E50" s="6" t="s">
        <v>22</v>
      </c>
      <c r="F50" s="6" t="s">
        <v>77</v>
      </c>
      <c r="G50" s="7">
        <v>35447</v>
      </c>
      <c r="H50" s="6">
        <v>60</v>
      </c>
      <c r="I50" s="10">
        <v>106</v>
      </c>
      <c r="J50" s="11">
        <f t="shared" si="0"/>
        <v>6360</v>
      </c>
      <c r="K50" s="12"/>
    </row>
    <row r="51" spans="1:11" x14ac:dyDescent="0.5">
      <c r="A51" s="6" t="s">
        <v>59</v>
      </c>
      <c r="B51" s="6" t="s">
        <v>82</v>
      </c>
      <c r="C51" s="6" t="s">
        <v>83</v>
      </c>
      <c r="D51" s="6" t="s">
        <v>31</v>
      </c>
      <c r="E51" s="6" t="s">
        <v>22</v>
      </c>
      <c r="F51" s="6" t="s">
        <v>77</v>
      </c>
      <c r="G51" s="7">
        <v>35465</v>
      </c>
      <c r="H51" s="6">
        <v>10</v>
      </c>
      <c r="I51" s="10">
        <v>40</v>
      </c>
      <c r="J51" s="11">
        <f t="shared" si="0"/>
        <v>400</v>
      </c>
      <c r="K51" s="12"/>
    </row>
    <row r="52" spans="1:11" x14ac:dyDescent="0.5">
      <c r="A52" s="6" t="s">
        <v>56</v>
      </c>
      <c r="B52" s="6" t="s">
        <v>57</v>
      </c>
      <c r="C52" s="6" t="s">
        <v>58</v>
      </c>
      <c r="D52" s="6" t="s">
        <v>27</v>
      </c>
      <c r="E52" s="6" t="s">
        <v>22</v>
      </c>
      <c r="F52" s="6" t="s">
        <v>77</v>
      </c>
      <c r="G52" s="7">
        <v>35471</v>
      </c>
      <c r="H52" s="6">
        <v>45</v>
      </c>
      <c r="I52" s="10">
        <v>118</v>
      </c>
      <c r="J52" s="11">
        <f t="shared" si="0"/>
        <v>5310</v>
      </c>
      <c r="K52" s="12"/>
    </row>
    <row r="53" spans="1:11" x14ac:dyDescent="0.5">
      <c r="A53" s="6" t="s">
        <v>24</v>
      </c>
      <c r="B53" s="6" t="s">
        <v>48</v>
      </c>
      <c r="C53" s="6" t="s">
        <v>84</v>
      </c>
      <c r="D53" s="6" t="s">
        <v>21</v>
      </c>
      <c r="E53" s="6" t="s">
        <v>22</v>
      </c>
      <c r="F53" s="6" t="s">
        <v>77</v>
      </c>
      <c r="G53" s="7">
        <v>35499</v>
      </c>
      <c r="H53" s="6">
        <v>40</v>
      </c>
      <c r="I53" s="10">
        <v>50</v>
      </c>
      <c r="J53" s="11">
        <f t="shared" si="0"/>
        <v>2000</v>
      </c>
      <c r="K53" s="12"/>
    </row>
    <row r="54" spans="1:11" x14ac:dyDescent="0.5">
      <c r="A54" s="6" t="s">
        <v>59</v>
      </c>
      <c r="B54" s="6" t="s">
        <v>60</v>
      </c>
      <c r="C54" s="6" t="s">
        <v>61</v>
      </c>
      <c r="D54" s="6" t="s">
        <v>27</v>
      </c>
      <c r="E54" s="6" t="s">
        <v>22</v>
      </c>
      <c r="F54" s="6" t="s">
        <v>77</v>
      </c>
      <c r="G54" s="7">
        <v>35514</v>
      </c>
      <c r="H54" s="6">
        <v>20</v>
      </c>
      <c r="I54" s="10">
        <v>258</v>
      </c>
      <c r="J54" s="11">
        <f t="shared" si="0"/>
        <v>5160</v>
      </c>
      <c r="K54" s="12"/>
    </row>
    <row r="55" spans="1:11" x14ac:dyDescent="0.5">
      <c r="A55" s="6" t="s">
        <v>24</v>
      </c>
      <c r="B55" s="6" t="s">
        <v>48</v>
      </c>
      <c r="C55" s="6" t="s">
        <v>84</v>
      </c>
      <c r="D55" s="6" t="s">
        <v>27</v>
      </c>
      <c r="E55" s="6" t="s">
        <v>22</v>
      </c>
      <c r="F55" s="6" t="s">
        <v>77</v>
      </c>
      <c r="G55" s="7">
        <v>35531</v>
      </c>
      <c r="H55" s="6">
        <v>12</v>
      </c>
      <c r="I55" s="10">
        <v>183</v>
      </c>
      <c r="J55" s="11">
        <f t="shared" si="0"/>
        <v>2196</v>
      </c>
      <c r="K55" s="12"/>
    </row>
    <row r="56" spans="1:11" x14ac:dyDescent="0.5">
      <c r="A56" s="6" t="s">
        <v>18</v>
      </c>
      <c r="B56" s="6" t="s">
        <v>19</v>
      </c>
      <c r="C56" s="6" t="s">
        <v>50</v>
      </c>
      <c r="D56" s="6" t="s">
        <v>29</v>
      </c>
      <c r="E56" s="6" t="s">
        <v>22</v>
      </c>
      <c r="F56" s="6" t="s">
        <v>77</v>
      </c>
      <c r="G56" s="7">
        <v>35636</v>
      </c>
      <c r="H56" s="6">
        <v>10</v>
      </c>
      <c r="I56" s="10">
        <v>16</v>
      </c>
      <c r="J56" s="11">
        <f t="shared" si="0"/>
        <v>160</v>
      </c>
      <c r="K56" s="12"/>
    </row>
    <row r="57" spans="1:11" x14ac:dyDescent="0.5">
      <c r="A57" s="6" t="s">
        <v>18</v>
      </c>
      <c r="B57" s="6" t="s">
        <v>19</v>
      </c>
      <c r="C57" s="6" t="s">
        <v>85</v>
      </c>
      <c r="D57" s="6" t="s">
        <v>27</v>
      </c>
      <c r="E57" s="6" t="s">
        <v>22</v>
      </c>
      <c r="F57" s="6" t="s">
        <v>77</v>
      </c>
      <c r="G57" s="7">
        <v>35648</v>
      </c>
      <c r="H57" s="6">
        <v>20</v>
      </c>
      <c r="I57" s="10">
        <v>201</v>
      </c>
      <c r="J57" s="11">
        <f t="shared" si="0"/>
        <v>4020</v>
      </c>
      <c r="K57" s="12"/>
    </row>
    <row r="58" spans="1:11" x14ac:dyDescent="0.5">
      <c r="A58" s="6" t="s">
        <v>18</v>
      </c>
      <c r="B58" s="6" t="s">
        <v>19</v>
      </c>
      <c r="C58" s="6" t="s">
        <v>30</v>
      </c>
      <c r="D58" s="6" t="s">
        <v>31</v>
      </c>
      <c r="E58" s="6" t="s">
        <v>22</v>
      </c>
      <c r="F58" s="6" t="s">
        <v>77</v>
      </c>
      <c r="G58" s="7">
        <v>35656</v>
      </c>
      <c r="H58" s="6">
        <v>30</v>
      </c>
      <c r="I58" s="10">
        <v>66</v>
      </c>
      <c r="J58" s="11">
        <f t="shared" si="0"/>
        <v>1980</v>
      </c>
      <c r="K58" s="12"/>
    </row>
    <row r="59" spans="1:11" x14ac:dyDescent="0.5">
      <c r="A59" s="6" t="s">
        <v>59</v>
      </c>
      <c r="B59" s="6" t="s">
        <v>63</v>
      </c>
      <c r="C59" s="6" t="s">
        <v>64</v>
      </c>
      <c r="D59" s="6" t="s">
        <v>27</v>
      </c>
      <c r="E59" s="6" t="s">
        <v>22</v>
      </c>
      <c r="F59" s="6" t="s">
        <v>77</v>
      </c>
      <c r="G59" s="7">
        <v>35664</v>
      </c>
      <c r="H59" s="6">
        <v>50</v>
      </c>
      <c r="I59" s="10">
        <v>192</v>
      </c>
      <c r="J59" s="11">
        <f t="shared" si="0"/>
        <v>9600</v>
      </c>
      <c r="K59" s="12"/>
    </row>
    <row r="60" spans="1:11" x14ac:dyDescent="0.5">
      <c r="A60" s="6" t="s">
        <v>24</v>
      </c>
      <c r="B60" s="6" t="s">
        <v>42</v>
      </c>
      <c r="C60" s="6" t="s">
        <v>79</v>
      </c>
      <c r="D60" s="6" t="s">
        <v>29</v>
      </c>
      <c r="E60" s="6" t="s">
        <v>22</v>
      </c>
      <c r="F60" s="6" t="s">
        <v>77</v>
      </c>
      <c r="G60" s="7">
        <v>35717</v>
      </c>
      <c r="H60" s="6">
        <v>5</v>
      </c>
      <c r="I60" s="10">
        <v>66</v>
      </c>
      <c r="J60" s="11">
        <f t="shared" si="0"/>
        <v>330</v>
      </c>
      <c r="K60" s="12"/>
    </row>
    <row r="61" spans="1:11" x14ac:dyDescent="0.5">
      <c r="A61" s="6" t="s">
        <v>56</v>
      </c>
      <c r="B61" s="6" t="s">
        <v>57</v>
      </c>
      <c r="C61" s="6" t="s">
        <v>58</v>
      </c>
      <c r="D61" s="6" t="s">
        <v>41</v>
      </c>
      <c r="E61" s="6" t="s">
        <v>22</v>
      </c>
      <c r="F61" s="6" t="s">
        <v>77</v>
      </c>
      <c r="G61" s="7">
        <v>35725</v>
      </c>
      <c r="H61" s="6">
        <v>30</v>
      </c>
      <c r="I61" s="10">
        <v>90</v>
      </c>
      <c r="J61" s="11">
        <f t="shared" si="0"/>
        <v>2700</v>
      </c>
      <c r="K61" s="12"/>
    </row>
    <row r="62" spans="1:11" x14ac:dyDescent="0.5">
      <c r="A62" s="6" t="s">
        <v>56</v>
      </c>
      <c r="B62" s="6" t="s">
        <v>57</v>
      </c>
      <c r="C62" s="6" t="s">
        <v>58</v>
      </c>
      <c r="D62" s="6" t="s">
        <v>31</v>
      </c>
      <c r="E62" s="6" t="s">
        <v>22</v>
      </c>
      <c r="F62" s="6" t="s">
        <v>77</v>
      </c>
      <c r="G62" s="7">
        <v>35732</v>
      </c>
      <c r="H62" s="6">
        <v>3</v>
      </c>
      <c r="I62" s="10">
        <v>226</v>
      </c>
      <c r="J62" s="11">
        <f t="shared" si="0"/>
        <v>678</v>
      </c>
      <c r="K62" s="12"/>
    </row>
    <row r="63" spans="1:11" x14ac:dyDescent="0.5">
      <c r="A63" s="6" t="s">
        <v>59</v>
      </c>
      <c r="B63" s="6" t="s">
        <v>63</v>
      </c>
      <c r="C63" s="6" t="s">
        <v>86</v>
      </c>
      <c r="D63" s="6" t="s">
        <v>27</v>
      </c>
      <c r="E63" s="6" t="s">
        <v>22</v>
      </c>
      <c r="F63" s="6" t="s">
        <v>77</v>
      </c>
      <c r="G63" s="7">
        <v>35748</v>
      </c>
      <c r="H63" s="6">
        <v>15</v>
      </c>
      <c r="I63" s="10">
        <v>36</v>
      </c>
      <c r="J63" s="11">
        <f t="shared" si="0"/>
        <v>540</v>
      </c>
      <c r="K63" s="12"/>
    </row>
    <row r="64" spans="1:11" x14ac:dyDescent="0.5">
      <c r="A64" s="6" t="s">
        <v>59</v>
      </c>
      <c r="B64" s="6" t="s">
        <v>63</v>
      </c>
      <c r="C64" s="6" t="s">
        <v>87</v>
      </c>
      <c r="D64" s="6" t="s">
        <v>27</v>
      </c>
      <c r="E64" s="6" t="s">
        <v>22</v>
      </c>
      <c r="F64" s="6" t="s">
        <v>77</v>
      </c>
      <c r="G64" s="7">
        <v>35769</v>
      </c>
      <c r="H64" s="6">
        <v>40</v>
      </c>
      <c r="I64" s="10">
        <v>299</v>
      </c>
      <c r="J64" s="11">
        <f t="shared" si="0"/>
        <v>11960</v>
      </c>
      <c r="K64" s="12"/>
    </row>
    <row r="65" spans="1:11" x14ac:dyDescent="0.5">
      <c r="A65" s="6" t="s">
        <v>18</v>
      </c>
      <c r="B65" s="6" t="s">
        <v>19</v>
      </c>
      <c r="C65" s="6" t="s">
        <v>38</v>
      </c>
      <c r="D65" s="6" t="s">
        <v>55</v>
      </c>
      <c r="E65" s="6" t="s">
        <v>22</v>
      </c>
      <c r="F65" s="6" t="s">
        <v>77</v>
      </c>
      <c r="G65" s="7">
        <v>35783</v>
      </c>
      <c r="H65" s="6">
        <v>15</v>
      </c>
      <c r="I65" s="10">
        <v>172</v>
      </c>
      <c r="J65" s="11">
        <f t="shared" si="0"/>
        <v>2580</v>
      </c>
      <c r="K65" s="12"/>
    </row>
    <row r="66" spans="1:11" x14ac:dyDescent="0.5">
      <c r="A66" s="6" t="s">
        <v>18</v>
      </c>
      <c r="B66" s="6" t="s">
        <v>19</v>
      </c>
      <c r="C66" s="6" t="s">
        <v>50</v>
      </c>
      <c r="D66" s="6" t="s">
        <v>21</v>
      </c>
      <c r="E66" s="6" t="s">
        <v>22</v>
      </c>
      <c r="F66" s="6" t="s">
        <v>77</v>
      </c>
      <c r="G66" s="7">
        <v>35787</v>
      </c>
      <c r="H66" s="6">
        <v>10</v>
      </c>
      <c r="I66" s="10">
        <v>141</v>
      </c>
      <c r="J66" s="11">
        <f t="shared" si="0"/>
        <v>1410</v>
      </c>
      <c r="K66" s="12"/>
    </row>
    <row r="67" spans="1:11" x14ac:dyDescent="0.5">
      <c r="A67" s="6" t="s">
        <v>18</v>
      </c>
      <c r="B67" s="6" t="s">
        <v>80</v>
      </c>
      <c r="C67" s="6" t="s">
        <v>88</v>
      </c>
      <c r="D67" s="6" t="s">
        <v>37</v>
      </c>
      <c r="E67" s="6" t="s">
        <v>22</v>
      </c>
      <c r="F67" s="6" t="s">
        <v>77</v>
      </c>
      <c r="G67" s="7">
        <v>35795</v>
      </c>
      <c r="H67" s="6">
        <v>20</v>
      </c>
      <c r="I67" s="10">
        <v>35</v>
      </c>
      <c r="J67" s="11">
        <f t="shared" si="0"/>
        <v>700</v>
      </c>
      <c r="K67" s="12"/>
    </row>
    <row r="68" spans="1:11" x14ac:dyDescent="0.5">
      <c r="A68" s="6" t="s">
        <v>18</v>
      </c>
      <c r="B68" s="6" t="s">
        <v>19</v>
      </c>
      <c r="C68" s="6" t="s">
        <v>85</v>
      </c>
      <c r="D68" s="6" t="s">
        <v>21</v>
      </c>
      <c r="E68" s="6" t="s">
        <v>22</v>
      </c>
      <c r="F68" s="6" t="s">
        <v>77</v>
      </c>
      <c r="G68" s="7">
        <v>35800</v>
      </c>
      <c r="H68" s="6">
        <v>12</v>
      </c>
      <c r="I68" s="10">
        <v>258</v>
      </c>
      <c r="J68" s="11">
        <f t="shared" si="0"/>
        <v>3096</v>
      </c>
      <c r="K68" s="12"/>
    </row>
    <row r="69" spans="1:11" x14ac:dyDescent="0.5">
      <c r="A69" s="6" t="s">
        <v>89</v>
      </c>
      <c r="B69" s="6" t="s">
        <v>90</v>
      </c>
      <c r="C69" s="6" t="s">
        <v>91</v>
      </c>
      <c r="D69" s="6" t="s">
        <v>53</v>
      </c>
      <c r="E69" s="6" t="s">
        <v>22</v>
      </c>
      <c r="F69" s="6" t="s">
        <v>77</v>
      </c>
      <c r="G69" s="7">
        <v>35808</v>
      </c>
      <c r="H69" s="6">
        <v>10</v>
      </c>
      <c r="I69" s="10">
        <v>229</v>
      </c>
      <c r="J69" s="11">
        <f t="shared" ref="J69:J132" si="2">H69*I69</f>
        <v>2290</v>
      </c>
      <c r="K69" s="12"/>
    </row>
    <row r="70" spans="1:11" x14ac:dyDescent="0.5">
      <c r="A70" s="6" t="s">
        <v>18</v>
      </c>
      <c r="B70" s="6" t="s">
        <v>19</v>
      </c>
      <c r="C70" s="6" t="s">
        <v>85</v>
      </c>
      <c r="D70" s="6" t="s">
        <v>41</v>
      </c>
      <c r="E70" s="6" t="s">
        <v>22</v>
      </c>
      <c r="F70" s="6" t="s">
        <v>77</v>
      </c>
      <c r="G70" s="7">
        <v>35821</v>
      </c>
      <c r="H70" s="6">
        <v>5</v>
      </c>
      <c r="I70" s="10">
        <v>249</v>
      </c>
      <c r="J70" s="11">
        <f t="shared" si="2"/>
        <v>1245</v>
      </c>
      <c r="K70" s="12"/>
    </row>
    <row r="71" spans="1:11" x14ac:dyDescent="0.5">
      <c r="A71" s="6" t="s">
        <v>24</v>
      </c>
      <c r="B71" s="6" t="s">
        <v>25</v>
      </c>
      <c r="C71" s="6" t="s">
        <v>26</v>
      </c>
      <c r="D71" s="6" t="s">
        <v>31</v>
      </c>
      <c r="E71" s="6" t="s">
        <v>22</v>
      </c>
      <c r="F71" s="6" t="s">
        <v>77</v>
      </c>
      <c r="G71" s="7">
        <v>35821</v>
      </c>
      <c r="H71" s="6">
        <v>15</v>
      </c>
      <c r="I71" s="10">
        <v>227</v>
      </c>
      <c r="J71" s="11">
        <f t="shared" si="2"/>
        <v>3405</v>
      </c>
      <c r="K71" s="12"/>
    </row>
    <row r="72" spans="1:11" x14ac:dyDescent="0.5">
      <c r="A72" s="6" t="s">
        <v>18</v>
      </c>
      <c r="B72" s="6" t="s">
        <v>44</v>
      </c>
      <c r="C72" s="6" t="s">
        <v>92</v>
      </c>
      <c r="D72" s="6" t="s">
        <v>37</v>
      </c>
      <c r="E72" s="6" t="s">
        <v>22</v>
      </c>
      <c r="F72" s="6" t="s">
        <v>77</v>
      </c>
      <c r="G72" s="7">
        <v>35823</v>
      </c>
      <c r="H72" s="6">
        <v>20</v>
      </c>
      <c r="I72" s="10">
        <v>226</v>
      </c>
      <c r="J72" s="11">
        <f t="shared" si="2"/>
        <v>4520</v>
      </c>
      <c r="K72" s="12"/>
    </row>
    <row r="73" spans="1:11" x14ac:dyDescent="0.5">
      <c r="A73" s="6" t="s">
        <v>24</v>
      </c>
      <c r="B73" s="6" t="s">
        <v>42</v>
      </c>
      <c r="C73" s="6" t="s">
        <v>54</v>
      </c>
      <c r="D73" s="6" t="s">
        <v>41</v>
      </c>
      <c r="E73" s="6" t="s">
        <v>22</v>
      </c>
      <c r="F73" s="6" t="s">
        <v>77</v>
      </c>
      <c r="G73" s="7">
        <v>35829</v>
      </c>
      <c r="H73" s="6">
        <v>21</v>
      </c>
      <c r="I73" s="10">
        <v>10</v>
      </c>
      <c r="J73" s="11">
        <f t="shared" si="2"/>
        <v>210</v>
      </c>
      <c r="K73" s="12"/>
    </row>
    <row r="74" spans="1:11" x14ac:dyDescent="0.5">
      <c r="A74" s="6" t="s">
        <v>18</v>
      </c>
      <c r="B74" s="6" t="s">
        <v>19</v>
      </c>
      <c r="C74" s="6" t="s">
        <v>74</v>
      </c>
      <c r="D74" s="6" t="s">
        <v>29</v>
      </c>
      <c r="E74" s="6" t="s">
        <v>22</v>
      </c>
      <c r="F74" s="6" t="s">
        <v>77</v>
      </c>
      <c r="G74" s="7">
        <v>35838</v>
      </c>
      <c r="H74" s="6">
        <v>20</v>
      </c>
      <c r="I74" s="10">
        <v>82</v>
      </c>
      <c r="J74" s="11">
        <f t="shared" si="2"/>
        <v>1640</v>
      </c>
      <c r="K74" s="12"/>
    </row>
    <row r="75" spans="1:11" x14ac:dyDescent="0.5">
      <c r="A75" s="6" t="s">
        <v>18</v>
      </c>
      <c r="B75" s="6" t="s">
        <v>39</v>
      </c>
      <c r="C75" s="6" t="s">
        <v>67</v>
      </c>
      <c r="D75" s="6" t="s">
        <v>21</v>
      </c>
      <c r="E75" s="6" t="s">
        <v>22</v>
      </c>
      <c r="F75" s="6" t="s">
        <v>77</v>
      </c>
      <c r="G75" s="7">
        <v>35842</v>
      </c>
      <c r="H75" s="6">
        <v>20</v>
      </c>
      <c r="I75" s="10">
        <v>215</v>
      </c>
      <c r="J75" s="11">
        <f t="shared" si="2"/>
        <v>4300</v>
      </c>
      <c r="K75" s="12"/>
    </row>
    <row r="76" spans="1:11" x14ac:dyDescent="0.5">
      <c r="A76" s="6" t="s">
        <v>59</v>
      </c>
      <c r="B76" s="6" t="s">
        <v>63</v>
      </c>
      <c r="C76" s="6" t="s">
        <v>93</v>
      </c>
      <c r="D76" s="6" t="s">
        <v>55</v>
      </c>
      <c r="E76" s="6" t="s">
        <v>22</v>
      </c>
      <c r="F76" s="6" t="s">
        <v>77</v>
      </c>
      <c r="G76" s="7">
        <v>35864</v>
      </c>
      <c r="H76" s="6">
        <v>10</v>
      </c>
      <c r="I76" s="10">
        <v>89</v>
      </c>
      <c r="J76" s="11">
        <f t="shared" si="2"/>
        <v>890</v>
      </c>
      <c r="K76" s="12"/>
    </row>
    <row r="77" spans="1:11" x14ac:dyDescent="0.5">
      <c r="A77" s="6" t="s">
        <v>18</v>
      </c>
      <c r="B77" s="6" t="s">
        <v>19</v>
      </c>
      <c r="C77" s="6" t="s">
        <v>20</v>
      </c>
      <c r="D77" s="6" t="s">
        <v>21</v>
      </c>
      <c r="E77" s="6" t="s">
        <v>22</v>
      </c>
      <c r="F77" s="6" t="s">
        <v>77</v>
      </c>
      <c r="G77" s="7">
        <v>35886</v>
      </c>
      <c r="H77" s="6">
        <v>50</v>
      </c>
      <c r="I77" s="10">
        <v>98</v>
      </c>
      <c r="J77" s="11">
        <f t="shared" si="2"/>
        <v>4900</v>
      </c>
      <c r="K77" s="12"/>
    </row>
    <row r="78" spans="1:11" x14ac:dyDescent="0.5">
      <c r="A78" s="6" t="s">
        <v>18</v>
      </c>
      <c r="B78" s="6" t="s">
        <v>19</v>
      </c>
      <c r="C78" s="6" t="s">
        <v>20</v>
      </c>
      <c r="D78" s="6" t="s">
        <v>37</v>
      </c>
      <c r="E78" s="6" t="s">
        <v>22</v>
      </c>
      <c r="F78" s="6" t="s">
        <v>77</v>
      </c>
      <c r="G78" s="7">
        <v>35899</v>
      </c>
      <c r="H78" s="6">
        <v>11</v>
      </c>
      <c r="I78" s="10">
        <v>130</v>
      </c>
      <c r="J78" s="11">
        <f t="shared" si="2"/>
        <v>1430</v>
      </c>
      <c r="K78" s="12"/>
    </row>
    <row r="79" spans="1:11" x14ac:dyDescent="0.5">
      <c r="A79" s="6" t="s">
        <v>56</v>
      </c>
      <c r="B79" s="6" t="s">
        <v>57</v>
      </c>
      <c r="C79" s="6" t="s">
        <v>58</v>
      </c>
      <c r="D79" s="6" t="s">
        <v>35</v>
      </c>
      <c r="E79" s="6" t="s">
        <v>22</v>
      </c>
      <c r="F79" s="6" t="s">
        <v>77</v>
      </c>
      <c r="G79" s="7">
        <v>35902</v>
      </c>
      <c r="H79" s="6">
        <v>100</v>
      </c>
      <c r="I79" s="10">
        <v>132</v>
      </c>
      <c r="J79" s="11">
        <f t="shared" si="2"/>
        <v>13200</v>
      </c>
      <c r="K79" s="12"/>
    </row>
    <row r="80" spans="1:11" x14ac:dyDescent="0.5">
      <c r="A80" s="6" t="s">
        <v>18</v>
      </c>
      <c r="B80" s="6" t="s">
        <v>19</v>
      </c>
      <c r="C80" s="6" t="s">
        <v>36</v>
      </c>
      <c r="D80" s="6" t="s">
        <v>37</v>
      </c>
      <c r="E80" s="6" t="s">
        <v>22</v>
      </c>
      <c r="F80" s="6" t="s">
        <v>77</v>
      </c>
      <c r="G80" s="7">
        <v>35907</v>
      </c>
      <c r="H80" s="6">
        <v>30</v>
      </c>
      <c r="I80" s="10">
        <v>173</v>
      </c>
      <c r="J80" s="11">
        <f t="shared" si="2"/>
        <v>5190</v>
      </c>
      <c r="K80" s="12"/>
    </row>
    <row r="81" spans="1:11" x14ac:dyDescent="0.5">
      <c r="A81" s="6" t="s">
        <v>24</v>
      </c>
      <c r="B81" s="6" t="s">
        <v>94</v>
      </c>
      <c r="C81" s="6" t="s">
        <v>95</v>
      </c>
      <c r="D81" s="6" t="s">
        <v>37</v>
      </c>
      <c r="E81" s="6" t="s">
        <v>22</v>
      </c>
      <c r="F81" s="6" t="s">
        <v>77</v>
      </c>
      <c r="G81" s="7">
        <v>35909</v>
      </c>
      <c r="H81" s="6">
        <v>10</v>
      </c>
      <c r="I81" s="10">
        <v>21</v>
      </c>
      <c r="J81" s="11">
        <f t="shared" si="2"/>
        <v>210</v>
      </c>
      <c r="K81" s="12"/>
    </row>
    <row r="82" spans="1:11" x14ac:dyDescent="0.5">
      <c r="A82" s="6" t="s">
        <v>24</v>
      </c>
      <c r="B82" s="6" t="s">
        <v>42</v>
      </c>
      <c r="C82" s="6" t="s">
        <v>43</v>
      </c>
      <c r="D82" s="6" t="s">
        <v>55</v>
      </c>
      <c r="E82" s="6" t="s">
        <v>22</v>
      </c>
      <c r="F82" s="6" t="s">
        <v>77</v>
      </c>
      <c r="G82" s="7">
        <v>35920</v>
      </c>
      <c r="H82" s="6">
        <v>20</v>
      </c>
      <c r="I82" s="10">
        <v>180</v>
      </c>
      <c r="J82" s="11">
        <f t="shared" si="2"/>
        <v>3600</v>
      </c>
      <c r="K82" s="12"/>
    </row>
    <row r="83" spans="1:11" x14ac:dyDescent="0.5">
      <c r="A83" s="6" t="s">
        <v>59</v>
      </c>
      <c r="B83" s="6" t="s">
        <v>63</v>
      </c>
      <c r="C83" s="6" t="s">
        <v>78</v>
      </c>
      <c r="D83" s="6" t="s">
        <v>27</v>
      </c>
      <c r="E83" s="6" t="s">
        <v>22</v>
      </c>
      <c r="F83" s="6" t="s">
        <v>77</v>
      </c>
      <c r="G83" s="7">
        <v>35920</v>
      </c>
      <c r="H83" s="6">
        <v>8</v>
      </c>
      <c r="I83" s="10">
        <v>181</v>
      </c>
      <c r="J83" s="11">
        <f t="shared" si="2"/>
        <v>1448</v>
      </c>
      <c r="K83" s="12"/>
    </row>
    <row r="84" spans="1:11" x14ac:dyDescent="0.5">
      <c r="A84" s="6" t="s">
        <v>24</v>
      </c>
      <c r="B84" s="6" t="s">
        <v>42</v>
      </c>
      <c r="C84" s="6" t="s">
        <v>76</v>
      </c>
      <c r="D84" s="6" t="s">
        <v>31</v>
      </c>
      <c r="E84" s="6" t="s">
        <v>22</v>
      </c>
      <c r="F84" s="6" t="s">
        <v>77</v>
      </c>
      <c r="G84" s="7">
        <v>35921</v>
      </c>
      <c r="H84" s="6">
        <v>10</v>
      </c>
      <c r="I84" s="10">
        <v>140</v>
      </c>
      <c r="J84" s="11">
        <f t="shared" si="2"/>
        <v>1400</v>
      </c>
      <c r="K84" s="12"/>
    </row>
    <row r="85" spans="1:11" x14ac:dyDescent="0.5">
      <c r="A85" s="6" t="s">
        <v>24</v>
      </c>
      <c r="B85" s="6" t="s">
        <v>25</v>
      </c>
      <c r="C85" s="6" t="s">
        <v>26</v>
      </c>
      <c r="D85" s="6" t="s">
        <v>21</v>
      </c>
      <c r="E85" s="6" t="s">
        <v>22</v>
      </c>
      <c r="F85" s="6" t="s">
        <v>77</v>
      </c>
      <c r="G85" s="7">
        <v>35921</v>
      </c>
      <c r="H85" s="6">
        <v>24</v>
      </c>
      <c r="I85" s="10">
        <v>160</v>
      </c>
      <c r="J85" s="11">
        <f t="shared" si="2"/>
        <v>3840</v>
      </c>
      <c r="K85" s="12"/>
    </row>
    <row r="86" spans="1:11" x14ac:dyDescent="0.5">
      <c r="A86" s="6" t="s">
        <v>18</v>
      </c>
      <c r="B86" s="6" t="s">
        <v>19</v>
      </c>
      <c r="C86" s="6" t="s">
        <v>36</v>
      </c>
      <c r="D86" s="6" t="s">
        <v>41</v>
      </c>
      <c r="E86" s="6" t="s">
        <v>22</v>
      </c>
      <c r="F86" s="6" t="s">
        <v>96</v>
      </c>
      <c r="G86" s="7">
        <v>35257</v>
      </c>
      <c r="H86" s="6">
        <v>15</v>
      </c>
      <c r="I86" s="10">
        <v>109</v>
      </c>
      <c r="J86" s="11">
        <f t="shared" si="2"/>
        <v>1635</v>
      </c>
      <c r="K86" s="12"/>
    </row>
    <row r="87" spans="1:11" x14ac:dyDescent="0.5">
      <c r="A87" s="6" t="s">
        <v>59</v>
      </c>
      <c r="B87" s="6" t="s">
        <v>63</v>
      </c>
      <c r="C87" s="6" t="s">
        <v>78</v>
      </c>
      <c r="D87" s="6" t="s">
        <v>53</v>
      </c>
      <c r="E87" s="6" t="s">
        <v>22</v>
      </c>
      <c r="F87" s="6" t="s">
        <v>96</v>
      </c>
      <c r="G87" s="7">
        <v>35269</v>
      </c>
      <c r="H87" s="6">
        <v>28</v>
      </c>
      <c r="I87" s="10">
        <v>255</v>
      </c>
      <c r="J87" s="11">
        <f t="shared" si="2"/>
        <v>7140</v>
      </c>
      <c r="K87" s="12"/>
    </row>
    <row r="88" spans="1:11" x14ac:dyDescent="0.5">
      <c r="A88" s="6" t="s">
        <v>59</v>
      </c>
      <c r="B88" s="6" t="s">
        <v>63</v>
      </c>
      <c r="C88" s="6" t="s">
        <v>93</v>
      </c>
      <c r="D88" s="6" t="s">
        <v>21</v>
      </c>
      <c r="E88" s="6" t="s">
        <v>22</v>
      </c>
      <c r="F88" s="6" t="s">
        <v>96</v>
      </c>
      <c r="G88" s="7">
        <v>35284</v>
      </c>
      <c r="H88" s="6">
        <v>12</v>
      </c>
      <c r="I88" s="10">
        <v>63</v>
      </c>
      <c r="J88" s="11">
        <f t="shared" si="2"/>
        <v>756</v>
      </c>
      <c r="K88" s="12"/>
    </row>
    <row r="89" spans="1:11" x14ac:dyDescent="0.5">
      <c r="A89" s="6" t="s">
        <v>24</v>
      </c>
      <c r="B89" s="6" t="s">
        <v>42</v>
      </c>
      <c r="C89" s="6" t="s">
        <v>54</v>
      </c>
      <c r="D89" s="6" t="s">
        <v>55</v>
      </c>
      <c r="E89" s="6" t="s">
        <v>22</v>
      </c>
      <c r="F89" s="6" t="s">
        <v>96</v>
      </c>
      <c r="G89" s="7">
        <v>35291</v>
      </c>
      <c r="H89" s="6">
        <v>12</v>
      </c>
      <c r="I89" s="10">
        <v>156</v>
      </c>
      <c r="J89" s="11">
        <f t="shared" si="2"/>
        <v>1872</v>
      </c>
      <c r="K89" s="12"/>
    </row>
    <row r="90" spans="1:11" x14ac:dyDescent="0.5">
      <c r="A90" s="6" t="s">
        <v>18</v>
      </c>
      <c r="B90" s="6" t="s">
        <v>19</v>
      </c>
      <c r="C90" s="6" t="s">
        <v>97</v>
      </c>
      <c r="D90" s="6" t="s">
        <v>27</v>
      </c>
      <c r="E90" s="6" t="s">
        <v>22</v>
      </c>
      <c r="F90" s="6" t="s">
        <v>96</v>
      </c>
      <c r="G90" s="7">
        <v>35291</v>
      </c>
      <c r="H90" s="6">
        <v>6</v>
      </c>
      <c r="I90" s="10">
        <v>168</v>
      </c>
      <c r="J90" s="11">
        <f t="shared" si="2"/>
        <v>1008</v>
      </c>
      <c r="K90" s="12"/>
    </row>
    <row r="91" spans="1:11" x14ac:dyDescent="0.5">
      <c r="A91" s="6" t="s">
        <v>18</v>
      </c>
      <c r="B91" s="6" t="s">
        <v>19</v>
      </c>
      <c r="C91" s="6" t="s">
        <v>46</v>
      </c>
      <c r="D91" s="6" t="s">
        <v>21</v>
      </c>
      <c r="E91" s="6" t="s">
        <v>22</v>
      </c>
      <c r="F91" s="6" t="s">
        <v>96</v>
      </c>
      <c r="G91" s="7">
        <v>35306</v>
      </c>
      <c r="H91" s="6">
        <v>10</v>
      </c>
      <c r="I91" s="10">
        <v>82</v>
      </c>
      <c r="J91" s="11">
        <f t="shared" si="2"/>
        <v>820</v>
      </c>
      <c r="K91" s="12"/>
    </row>
    <row r="92" spans="1:11" x14ac:dyDescent="0.5">
      <c r="A92" s="6" t="s">
        <v>24</v>
      </c>
      <c r="B92" s="6" t="s">
        <v>42</v>
      </c>
      <c r="C92" s="6" t="s">
        <v>98</v>
      </c>
      <c r="D92" s="6" t="s">
        <v>37</v>
      </c>
      <c r="E92" s="6" t="s">
        <v>22</v>
      </c>
      <c r="F92" s="6" t="s">
        <v>96</v>
      </c>
      <c r="G92" s="7">
        <v>35381</v>
      </c>
      <c r="H92" s="6">
        <v>10</v>
      </c>
      <c r="I92" s="10">
        <v>273</v>
      </c>
      <c r="J92" s="11">
        <f t="shared" si="2"/>
        <v>2730</v>
      </c>
      <c r="K92" s="12"/>
    </row>
    <row r="93" spans="1:11" x14ac:dyDescent="0.5">
      <c r="A93" s="6" t="s">
        <v>59</v>
      </c>
      <c r="B93" s="6" t="s">
        <v>63</v>
      </c>
      <c r="C93" s="6" t="s">
        <v>86</v>
      </c>
      <c r="D93" s="6" t="s">
        <v>29</v>
      </c>
      <c r="E93" s="6" t="s">
        <v>22</v>
      </c>
      <c r="F93" s="6" t="s">
        <v>96</v>
      </c>
      <c r="G93" s="7">
        <v>35384</v>
      </c>
      <c r="H93" s="6">
        <v>25</v>
      </c>
      <c r="I93" s="10">
        <v>85</v>
      </c>
      <c r="J93" s="11">
        <f t="shared" si="2"/>
        <v>2125</v>
      </c>
      <c r="K93" s="12"/>
    </row>
    <row r="94" spans="1:11" x14ac:dyDescent="0.5">
      <c r="A94" s="6" t="s">
        <v>18</v>
      </c>
      <c r="B94" s="6" t="s">
        <v>19</v>
      </c>
      <c r="C94" s="6" t="s">
        <v>38</v>
      </c>
      <c r="D94" s="6" t="s">
        <v>41</v>
      </c>
      <c r="E94" s="6" t="s">
        <v>22</v>
      </c>
      <c r="F94" s="6" t="s">
        <v>96</v>
      </c>
      <c r="G94" s="7">
        <v>35389</v>
      </c>
      <c r="H94" s="6">
        <v>10</v>
      </c>
      <c r="I94" s="10">
        <v>24</v>
      </c>
      <c r="J94" s="11">
        <f t="shared" si="2"/>
        <v>240</v>
      </c>
      <c r="K94" s="12"/>
    </row>
    <row r="95" spans="1:11" x14ac:dyDescent="0.5">
      <c r="A95" s="6" t="s">
        <v>59</v>
      </c>
      <c r="B95" s="6" t="s">
        <v>63</v>
      </c>
      <c r="C95" s="6" t="s">
        <v>99</v>
      </c>
      <c r="D95" s="6" t="s">
        <v>53</v>
      </c>
      <c r="E95" s="6" t="s">
        <v>22</v>
      </c>
      <c r="F95" s="6" t="s">
        <v>96</v>
      </c>
      <c r="G95" s="7">
        <v>35417</v>
      </c>
      <c r="H95" s="6">
        <v>15</v>
      </c>
      <c r="I95" s="10">
        <v>58</v>
      </c>
      <c r="J95" s="11">
        <f t="shared" si="2"/>
        <v>870</v>
      </c>
      <c r="K95" s="12"/>
    </row>
    <row r="96" spans="1:11" x14ac:dyDescent="0.5">
      <c r="A96" s="6" t="s">
        <v>56</v>
      </c>
      <c r="B96" s="6" t="s">
        <v>57</v>
      </c>
      <c r="C96" s="6" t="s">
        <v>100</v>
      </c>
      <c r="D96" s="6" t="s">
        <v>21</v>
      </c>
      <c r="E96" s="6" t="s">
        <v>22</v>
      </c>
      <c r="F96" s="6" t="s">
        <v>96</v>
      </c>
      <c r="G96" s="7">
        <v>35417</v>
      </c>
      <c r="H96" s="6">
        <v>15</v>
      </c>
      <c r="I96" s="10">
        <v>208</v>
      </c>
      <c r="J96" s="11">
        <f t="shared" si="2"/>
        <v>3120</v>
      </c>
      <c r="K96" s="12"/>
    </row>
    <row r="97" spans="1:11" x14ac:dyDescent="0.5">
      <c r="A97" s="6" t="s">
        <v>24</v>
      </c>
      <c r="B97" s="6" t="s">
        <v>101</v>
      </c>
      <c r="C97" s="6" t="s">
        <v>102</v>
      </c>
      <c r="D97" s="6" t="s">
        <v>29</v>
      </c>
      <c r="E97" s="6" t="s">
        <v>22</v>
      </c>
      <c r="F97" s="6" t="s">
        <v>96</v>
      </c>
      <c r="G97" s="7">
        <v>35475</v>
      </c>
      <c r="H97" s="6">
        <v>20</v>
      </c>
      <c r="I97" s="10">
        <v>8</v>
      </c>
      <c r="J97" s="11">
        <f t="shared" si="2"/>
        <v>160</v>
      </c>
      <c r="K97" s="12"/>
    </row>
    <row r="98" spans="1:11" x14ac:dyDescent="0.5">
      <c r="A98" s="6" t="s">
        <v>59</v>
      </c>
      <c r="B98" s="6" t="s">
        <v>63</v>
      </c>
      <c r="C98" s="6" t="s">
        <v>103</v>
      </c>
      <c r="D98" s="6" t="s">
        <v>21</v>
      </c>
      <c r="E98" s="6" t="s">
        <v>22</v>
      </c>
      <c r="F98" s="6" t="s">
        <v>96</v>
      </c>
      <c r="G98" s="7">
        <v>35494</v>
      </c>
      <c r="H98" s="6">
        <v>25</v>
      </c>
      <c r="I98" s="10">
        <v>164</v>
      </c>
      <c r="J98" s="11">
        <f t="shared" si="2"/>
        <v>4100</v>
      </c>
      <c r="K98" s="12"/>
    </row>
    <row r="99" spans="1:11" x14ac:dyDescent="0.5">
      <c r="A99" s="6" t="s">
        <v>59</v>
      </c>
      <c r="B99" s="6" t="s">
        <v>63</v>
      </c>
      <c r="C99" s="6" t="s">
        <v>93</v>
      </c>
      <c r="D99" s="6" t="s">
        <v>31</v>
      </c>
      <c r="E99" s="6" t="s">
        <v>22</v>
      </c>
      <c r="F99" s="6" t="s">
        <v>96</v>
      </c>
      <c r="G99" s="7">
        <v>35495</v>
      </c>
      <c r="H99" s="6">
        <v>28</v>
      </c>
      <c r="I99" s="10">
        <v>246</v>
      </c>
      <c r="J99" s="11">
        <f t="shared" si="2"/>
        <v>6888</v>
      </c>
      <c r="K99" s="12"/>
    </row>
    <row r="100" spans="1:11" x14ac:dyDescent="0.5">
      <c r="A100" s="6" t="s">
        <v>18</v>
      </c>
      <c r="B100" s="6" t="s">
        <v>19</v>
      </c>
      <c r="C100" s="6" t="s">
        <v>65</v>
      </c>
      <c r="D100" s="6" t="s">
        <v>31</v>
      </c>
      <c r="E100" s="6" t="s">
        <v>22</v>
      </c>
      <c r="F100" s="6" t="s">
        <v>96</v>
      </c>
      <c r="G100" s="7">
        <v>35501</v>
      </c>
      <c r="H100" s="6">
        <v>80</v>
      </c>
      <c r="I100" s="10">
        <v>108</v>
      </c>
      <c r="J100" s="11">
        <f t="shared" si="2"/>
        <v>8640</v>
      </c>
      <c r="K100" s="12"/>
    </row>
    <row r="101" spans="1:11" x14ac:dyDescent="0.5">
      <c r="A101" s="6" t="s">
        <v>59</v>
      </c>
      <c r="B101" s="6" t="s">
        <v>63</v>
      </c>
      <c r="C101" s="6" t="s">
        <v>64</v>
      </c>
      <c r="D101" s="6" t="s">
        <v>31</v>
      </c>
      <c r="E101" s="6" t="s">
        <v>22</v>
      </c>
      <c r="F101" s="6" t="s">
        <v>96</v>
      </c>
      <c r="G101" s="7">
        <v>35527</v>
      </c>
      <c r="H101" s="6">
        <v>14</v>
      </c>
      <c r="I101" s="10">
        <v>28</v>
      </c>
      <c r="J101" s="11">
        <f t="shared" si="2"/>
        <v>392</v>
      </c>
      <c r="K101" s="12"/>
    </row>
    <row r="102" spans="1:11" x14ac:dyDescent="0.5">
      <c r="A102" s="6" t="s">
        <v>59</v>
      </c>
      <c r="B102" s="6" t="s">
        <v>63</v>
      </c>
      <c r="C102" s="6" t="s">
        <v>99</v>
      </c>
      <c r="D102" s="6" t="s">
        <v>35</v>
      </c>
      <c r="E102" s="6" t="s">
        <v>22</v>
      </c>
      <c r="F102" s="6" t="s">
        <v>96</v>
      </c>
      <c r="G102" s="7">
        <v>35541</v>
      </c>
      <c r="H102" s="6">
        <v>10</v>
      </c>
      <c r="I102" s="10">
        <v>72</v>
      </c>
      <c r="J102" s="11">
        <f t="shared" si="2"/>
        <v>720</v>
      </c>
      <c r="K102" s="12"/>
    </row>
    <row r="103" spans="1:11" x14ac:dyDescent="0.5">
      <c r="A103" s="6" t="s">
        <v>18</v>
      </c>
      <c r="B103" s="6" t="s">
        <v>19</v>
      </c>
      <c r="C103" s="6" t="s">
        <v>46</v>
      </c>
      <c r="D103" s="6" t="s">
        <v>27</v>
      </c>
      <c r="E103" s="6" t="s">
        <v>22</v>
      </c>
      <c r="F103" s="6" t="s">
        <v>96</v>
      </c>
      <c r="G103" s="7">
        <v>35545</v>
      </c>
      <c r="H103" s="6">
        <v>5</v>
      </c>
      <c r="I103" s="10">
        <v>48</v>
      </c>
      <c r="J103" s="11">
        <f t="shared" si="2"/>
        <v>240</v>
      </c>
      <c r="K103" s="12"/>
    </row>
    <row r="104" spans="1:11" x14ac:dyDescent="0.5">
      <c r="A104" s="6" t="s">
        <v>56</v>
      </c>
      <c r="B104" s="6" t="s">
        <v>57</v>
      </c>
      <c r="C104" s="6" t="s">
        <v>100</v>
      </c>
      <c r="D104" s="6" t="s">
        <v>35</v>
      </c>
      <c r="E104" s="6" t="s">
        <v>22</v>
      </c>
      <c r="F104" s="6" t="s">
        <v>96</v>
      </c>
      <c r="G104" s="7">
        <v>35549</v>
      </c>
      <c r="H104" s="6">
        <v>8</v>
      </c>
      <c r="I104" s="10">
        <v>110</v>
      </c>
      <c r="J104" s="11">
        <f t="shared" si="2"/>
        <v>880</v>
      </c>
      <c r="K104" s="12"/>
    </row>
    <row r="105" spans="1:11" x14ac:dyDescent="0.5">
      <c r="A105" s="6" t="s">
        <v>24</v>
      </c>
      <c r="B105" s="6" t="s">
        <v>104</v>
      </c>
      <c r="C105" s="6" t="s">
        <v>105</v>
      </c>
      <c r="D105" s="6" t="s">
        <v>55</v>
      </c>
      <c r="E105" s="6" t="s">
        <v>22</v>
      </c>
      <c r="F105" s="6" t="s">
        <v>96</v>
      </c>
      <c r="G105" s="7">
        <v>35569</v>
      </c>
      <c r="H105" s="6">
        <v>35</v>
      </c>
      <c r="I105" s="10">
        <v>261</v>
      </c>
      <c r="J105" s="11">
        <f t="shared" si="2"/>
        <v>9135</v>
      </c>
      <c r="K105" s="12"/>
    </row>
    <row r="106" spans="1:11" x14ac:dyDescent="0.5">
      <c r="A106" s="6" t="s">
        <v>56</v>
      </c>
      <c r="B106" s="6" t="s">
        <v>57</v>
      </c>
      <c r="C106" s="6" t="s">
        <v>58</v>
      </c>
      <c r="D106" s="6" t="s">
        <v>29</v>
      </c>
      <c r="E106" s="6" t="s">
        <v>22</v>
      </c>
      <c r="F106" s="6" t="s">
        <v>96</v>
      </c>
      <c r="G106" s="7">
        <v>35583</v>
      </c>
      <c r="H106" s="6">
        <v>18</v>
      </c>
      <c r="I106" s="10">
        <v>5</v>
      </c>
      <c r="J106" s="11">
        <f t="shared" si="2"/>
        <v>90</v>
      </c>
      <c r="K106" s="12"/>
    </row>
    <row r="107" spans="1:11" x14ac:dyDescent="0.5">
      <c r="A107" s="6" t="s">
        <v>32</v>
      </c>
      <c r="B107" s="6" t="s">
        <v>33</v>
      </c>
      <c r="C107" s="6" t="s">
        <v>47</v>
      </c>
      <c r="D107" s="6" t="s">
        <v>31</v>
      </c>
      <c r="E107" s="6" t="s">
        <v>22</v>
      </c>
      <c r="F107" s="6" t="s">
        <v>96</v>
      </c>
      <c r="G107" s="7">
        <v>35592</v>
      </c>
      <c r="H107" s="6">
        <v>25</v>
      </c>
      <c r="I107" s="10">
        <v>239</v>
      </c>
      <c r="J107" s="11">
        <f t="shared" si="2"/>
        <v>5975</v>
      </c>
      <c r="K107" s="12"/>
    </row>
    <row r="108" spans="1:11" x14ac:dyDescent="0.5">
      <c r="A108" s="6" t="s">
        <v>24</v>
      </c>
      <c r="B108" s="6" t="s">
        <v>48</v>
      </c>
      <c r="C108" s="6" t="s">
        <v>106</v>
      </c>
      <c r="D108" s="6" t="s">
        <v>35</v>
      </c>
      <c r="E108" s="6" t="s">
        <v>22</v>
      </c>
      <c r="F108" s="6" t="s">
        <v>96</v>
      </c>
      <c r="G108" s="7">
        <v>35622</v>
      </c>
      <c r="H108" s="6">
        <v>35</v>
      </c>
      <c r="I108" s="10">
        <v>94</v>
      </c>
      <c r="J108" s="11">
        <f t="shared" si="2"/>
        <v>3290</v>
      </c>
      <c r="K108" s="12"/>
    </row>
    <row r="109" spans="1:11" x14ac:dyDescent="0.5">
      <c r="A109" s="6" t="s">
        <v>18</v>
      </c>
      <c r="B109" s="6" t="s">
        <v>19</v>
      </c>
      <c r="C109" s="6" t="s">
        <v>107</v>
      </c>
      <c r="D109" s="6" t="s">
        <v>55</v>
      </c>
      <c r="E109" s="6" t="s">
        <v>22</v>
      </c>
      <c r="F109" s="6" t="s">
        <v>96</v>
      </c>
      <c r="G109" s="7">
        <v>35647</v>
      </c>
      <c r="H109" s="6">
        <v>5</v>
      </c>
      <c r="I109" s="10">
        <v>278</v>
      </c>
      <c r="J109" s="11">
        <f t="shared" si="2"/>
        <v>1390</v>
      </c>
      <c r="K109" s="12"/>
    </row>
    <row r="110" spans="1:11" x14ac:dyDescent="0.5">
      <c r="A110" s="6" t="s">
        <v>18</v>
      </c>
      <c r="B110" s="6" t="s">
        <v>80</v>
      </c>
      <c r="C110" s="6" t="s">
        <v>81</v>
      </c>
      <c r="D110" s="6" t="s">
        <v>31</v>
      </c>
      <c r="E110" s="6" t="s">
        <v>22</v>
      </c>
      <c r="F110" s="6" t="s">
        <v>96</v>
      </c>
      <c r="G110" s="7">
        <v>35649</v>
      </c>
      <c r="H110" s="6">
        <v>3</v>
      </c>
      <c r="I110" s="10">
        <v>187</v>
      </c>
      <c r="J110" s="11">
        <f t="shared" si="2"/>
        <v>561</v>
      </c>
      <c r="K110" s="12"/>
    </row>
    <row r="111" spans="1:11" x14ac:dyDescent="0.5">
      <c r="A111" s="6" t="s">
        <v>18</v>
      </c>
      <c r="B111" s="6" t="s">
        <v>19</v>
      </c>
      <c r="C111" s="6" t="s">
        <v>85</v>
      </c>
      <c r="D111" s="6" t="s">
        <v>41</v>
      </c>
      <c r="E111" s="6" t="s">
        <v>22</v>
      </c>
      <c r="F111" s="6" t="s">
        <v>96</v>
      </c>
      <c r="G111" s="7">
        <v>35670</v>
      </c>
      <c r="H111" s="6">
        <v>15</v>
      </c>
      <c r="I111" s="10">
        <v>213</v>
      </c>
      <c r="J111" s="11">
        <f t="shared" si="2"/>
        <v>3195</v>
      </c>
      <c r="K111" s="12"/>
    </row>
    <row r="112" spans="1:11" x14ac:dyDescent="0.5">
      <c r="A112" s="6" t="s">
        <v>18</v>
      </c>
      <c r="B112" s="6" t="s">
        <v>39</v>
      </c>
      <c r="C112" s="6" t="s">
        <v>71</v>
      </c>
      <c r="D112" s="6" t="s">
        <v>35</v>
      </c>
      <c r="E112" s="6" t="s">
        <v>22</v>
      </c>
      <c r="F112" s="6" t="s">
        <v>96</v>
      </c>
      <c r="G112" s="7">
        <v>35710</v>
      </c>
      <c r="H112" s="6">
        <v>20</v>
      </c>
      <c r="I112" s="10">
        <v>218</v>
      </c>
      <c r="J112" s="11">
        <f t="shared" si="2"/>
        <v>4360</v>
      </c>
      <c r="K112" s="12"/>
    </row>
    <row r="113" spans="1:11" x14ac:dyDescent="0.5">
      <c r="A113" s="6" t="s">
        <v>18</v>
      </c>
      <c r="B113" s="6" t="s">
        <v>72</v>
      </c>
      <c r="C113" s="6" t="s">
        <v>108</v>
      </c>
      <c r="D113" s="6" t="s">
        <v>29</v>
      </c>
      <c r="E113" s="6" t="s">
        <v>22</v>
      </c>
      <c r="F113" s="6" t="s">
        <v>96</v>
      </c>
      <c r="G113" s="7">
        <v>35717</v>
      </c>
      <c r="H113" s="6">
        <v>35</v>
      </c>
      <c r="I113" s="10">
        <v>287</v>
      </c>
      <c r="J113" s="11">
        <f t="shared" si="2"/>
        <v>10045</v>
      </c>
      <c r="K113" s="12"/>
    </row>
    <row r="114" spans="1:11" x14ac:dyDescent="0.5">
      <c r="A114" s="6" t="s">
        <v>18</v>
      </c>
      <c r="B114" s="6" t="s">
        <v>44</v>
      </c>
      <c r="C114" s="6" t="s">
        <v>109</v>
      </c>
      <c r="D114" s="6" t="s">
        <v>37</v>
      </c>
      <c r="E114" s="6" t="s">
        <v>22</v>
      </c>
      <c r="F114" s="6" t="s">
        <v>96</v>
      </c>
      <c r="G114" s="7">
        <v>35767</v>
      </c>
      <c r="H114" s="6">
        <v>20</v>
      </c>
      <c r="I114" s="10">
        <v>107</v>
      </c>
      <c r="J114" s="11">
        <f t="shared" si="2"/>
        <v>2140</v>
      </c>
      <c r="K114" s="12"/>
    </row>
    <row r="115" spans="1:11" x14ac:dyDescent="0.5">
      <c r="A115" s="6" t="s">
        <v>56</v>
      </c>
      <c r="B115" s="6" t="s">
        <v>57</v>
      </c>
      <c r="C115" s="6" t="s">
        <v>110</v>
      </c>
      <c r="D115" s="6" t="s">
        <v>53</v>
      </c>
      <c r="E115" s="6" t="s">
        <v>22</v>
      </c>
      <c r="F115" s="6" t="s">
        <v>96</v>
      </c>
      <c r="G115" s="7">
        <v>35790</v>
      </c>
      <c r="H115" s="6">
        <v>20</v>
      </c>
      <c r="I115" s="10">
        <v>115</v>
      </c>
      <c r="J115" s="11">
        <f t="shared" si="2"/>
        <v>2300</v>
      </c>
      <c r="K115" s="12"/>
    </row>
    <row r="116" spans="1:11" x14ac:dyDescent="0.5">
      <c r="A116" s="6" t="s">
        <v>18</v>
      </c>
      <c r="B116" s="6" t="s">
        <v>80</v>
      </c>
      <c r="C116" s="6" t="s">
        <v>81</v>
      </c>
      <c r="D116" s="6" t="s">
        <v>21</v>
      </c>
      <c r="E116" s="6" t="s">
        <v>22</v>
      </c>
      <c r="F116" s="6" t="s">
        <v>96</v>
      </c>
      <c r="G116" s="7">
        <v>35824</v>
      </c>
      <c r="H116" s="6">
        <v>40</v>
      </c>
      <c r="I116" s="10">
        <v>265</v>
      </c>
      <c r="J116" s="11">
        <f t="shared" si="2"/>
        <v>10600</v>
      </c>
      <c r="K116" s="12"/>
    </row>
    <row r="117" spans="1:11" x14ac:dyDescent="0.5">
      <c r="A117" s="6" t="s">
        <v>24</v>
      </c>
      <c r="B117" s="6" t="s">
        <v>42</v>
      </c>
      <c r="C117" s="6" t="s">
        <v>54</v>
      </c>
      <c r="D117" s="6" t="s">
        <v>41</v>
      </c>
      <c r="E117" s="6" t="s">
        <v>22</v>
      </c>
      <c r="F117" s="6" t="s">
        <v>96</v>
      </c>
      <c r="G117" s="7">
        <v>35829</v>
      </c>
      <c r="H117" s="6">
        <v>6</v>
      </c>
      <c r="I117" s="10">
        <v>285</v>
      </c>
      <c r="J117" s="11">
        <f t="shared" si="2"/>
        <v>1710</v>
      </c>
      <c r="K117" s="12"/>
    </row>
    <row r="118" spans="1:11" x14ac:dyDescent="0.5">
      <c r="A118" s="6" t="s">
        <v>18</v>
      </c>
      <c r="B118" s="6" t="s">
        <v>19</v>
      </c>
      <c r="C118" s="6" t="s">
        <v>28</v>
      </c>
      <c r="D118" s="6" t="s">
        <v>31</v>
      </c>
      <c r="E118" s="6" t="s">
        <v>22</v>
      </c>
      <c r="F118" s="6" t="s">
        <v>96</v>
      </c>
      <c r="G118" s="7">
        <v>35838</v>
      </c>
      <c r="H118" s="6">
        <v>8</v>
      </c>
      <c r="I118" s="10">
        <v>196</v>
      </c>
      <c r="J118" s="11">
        <f t="shared" si="2"/>
        <v>1568</v>
      </c>
      <c r="K118" s="12"/>
    </row>
    <row r="119" spans="1:11" x14ac:dyDescent="0.5">
      <c r="A119" s="6" t="s">
        <v>18</v>
      </c>
      <c r="B119" s="6" t="s">
        <v>19</v>
      </c>
      <c r="C119" s="6" t="s">
        <v>74</v>
      </c>
      <c r="D119" s="6" t="s">
        <v>29</v>
      </c>
      <c r="E119" s="6" t="s">
        <v>22</v>
      </c>
      <c r="F119" s="6" t="s">
        <v>96</v>
      </c>
      <c r="G119" s="7">
        <v>35838</v>
      </c>
      <c r="H119" s="6">
        <v>12</v>
      </c>
      <c r="I119" s="10">
        <v>223</v>
      </c>
      <c r="J119" s="11">
        <f t="shared" si="2"/>
        <v>2676</v>
      </c>
      <c r="K119" s="12"/>
    </row>
    <row r="120" spans="1:11" x14ac:dyDescent="0.5">
      <c r="A120" s="6" t="s">
        <v>56</v>
      </c>
      <c r="B120" s="6" t="s">
        <v>57</v>
      </c>
      <c r="C120" s="6" t="s">
        <v>110</v>
      </c>
      <c r="D120" s="6" t="s">
        <v>53</v>
      </c>
      <c r="E120" s="6" t="s">
        <v>22</v>
      </c>
      <c r="F120" s="6" t="s">
        <v>96</v>
      </c>
      <c r="G120" s="7">
        <v>35844</v>
      </c>
      <c r="H120" s="6">
        <v>10</v>
      </c>
      <c r="I120" s="10">
        <v>218</v>
      </c>
      <c r="J120" s="11">
        <f t="shared" si="2"/>
        <v>2180</v>
      </c>
      <c r="K120" s="12"/>
    </row>
    <row r="121" spans="1:11" x14ac:dyDescent="0.5">
      <c r="A121" s="6" t="s">
        <v>59</v>
      </c>
      <c r="B121" s="6" t="s">
        <v>63</v>
      </c>
      <c r="C121" s="6" t="s">
        <v>78</v>
      </c>
      <c r="D121" s="6" t="s">
        <v>37</v>
      </c>
      <c r="E121" s="6" t="s">
        <v>22</v>
      </c>
      <c r="F121" s="6" t="s">
        <v>96</v>
      </c>
      <c r="G121" s="7">
        <v>35844</v>
      </c>
      <c r="H121" s="6">
        <v>110</v>
      </c>
      <c r="I121" s="10">
        <v>239</v>
      </c>
      <c r="J121" s="11">
        <f t="shared" si="2"/>
        <v>26290</v>
      </c>
      <c r="K121" s="12"/>
    </row>
    <row r="122" spans="1:11" x14ac:dyDescent="0.5">
      <c r="A122" s="6" t="s">
        <v>24</v>
      </c>
      <c r="B122" s="6" t="s">
        <v>104</v>
      </c>
      <c r="C122" s="6" t="s">
        <v>105</v>
      </c>
      <c r="D122" s="6" t="s">
        <v>41</v>
      </c>
      <c r="E122" s="6" t="s">
        <v>22</v>
      </c>
      <c r="F122" s="6" t="s">
        <v>96</v>
      </c>
      <c r="G122" s="7">
        <v>35857</v>
      </c>
      <c r="H122" s="6">
        <v>35</v>
      </c>
      <c r="I122" s="10">
        <v>299</v>
      </c>
      <c r="J122" s="11">
        <f t="shared" si="2"/>
        <v>10465</v>
      </c>
      <c r="K122" s="12"/>
    </row>
    <row r="123" spans="1:11" x14ac:dyDescent="0.5">
      <c r="A123" s="6" t="s">
        <v>59</v>
      </c>
      <c r="B123" s="6" t="s">
        <v>63</v>
      </c>
      <c r="C123" s="6" t="s">
        <v>103</v>
      </c>
      <c r="D123" s="6" t="s">
        <v>21</v>
      </c>
      <c r="E123" s="6" t="s">
        <v>22</v>
      </c>
      <c r="F123" s="6" t="s">
        <v>96</v>
      </c>
      <c r="G123" s="7">
        <v>35866</v>
      </c>
      <c r="H123" s="6">
        <v>25</v>
      </c>
      <c r="I123" s="10">
        <v>113</v>
      </c>
      <c r="J123" s="11">
        <f t="shared" si="2"/>
        <v>2825</v>
      </c>
      <c r="K123" s="12"/>
    </row>
    <row r="124" spans="1:11" x14ac:dyDescent="0.5">
      <c r="A124" s="6" t="s">
        <v>59</v>
      </c>
      <c r="B124" s="6" t="s">
        <v>63</v>
      </c>
      <c r="C124" s="6" t="s">
        <v>64</v>
      </c>
      <c r="D124" s="6" t="s">
        <v>37</v>
      </c>
      <c r="E124" s="6" t="s">
        <v>22</v>
      </c>
      <c r="F124" s="6" t="s">
        <v>96</v>
      </c>
      <c r="G124" s="7">
        <v>35873</v>
      </c>
      <c r="H124" s="6">
        <v>10</v>
      </c>
      <c r="I124" s="10">
        <v>126</v>
      </c>
      <c r="J124" s="11">
        <f t="shared" si="2"/>
        <v>1260</v>
      </c>
      <c r="K124" s="12"/>
    </row>
    <row r="125" spans="1:11" x14ac:dyDescent="0.5">
      <c r="A125" s="6" t="s">
        <v>59</v>
      </c>
      <c r="B125" s="6" t="s">
        <v>63</v>
      </c>
      <c r="C125" s="6" t="s">
        <v>78</v>
      </c>
      <c r="D125" s="6" t="s">
        <v>21</v>
      </c>
      <c r="E125" s="6" t="s">
        <v>22</v>
      </c>
      <c r="F125" s="6" t="s">
        <v>96</v>
      </c>
      <c r="G125" s="7">
        <v>35877</v>
      </c>
      <c r="H125" s="6">
        <v>30</v>
      </c>
      <c r="I125" s="10">
        <v>21</v>
      </c>
      <c r="J125" s="11">
        <f t="shared" si="2"/>
        <v>630</v>
      </c>
      <c r="K125" s="12"/>
    </row>
    <row r="126" spans="1:11" x14ac:dyDescent="0.5">
      <c r="A126" s="6" t="s">
        <v>59</v>
      </c>
      <c r="B126" s="6" t="s">
        <v>63</v>
      </c>
      <c r="C126" s="6" t="s">
        <v>78</v>
      </c>
      <c r="D126" s="6" t="s">
        <v>31</v>
      </c>
      <c r="E126" s="6" t="s">
        <v>22</v>
      </c>
      <c r="F126" s="6" t="s">
        <v>96</v>
      </c>
      <c r="G126" s="7">
        <v>35880</v>
      </c>
      <c r="H126" s="6">
        <v>80</v>
      </c>
      <c r="I126" s="10">
        <v>168</v>
      </c>
      <c r="J126" s="11">
        <f t="shared" si="2"/>
        <v>13440</v>
      </c>
      <c r="K126" s="12"/>
    </row>
    <row r="127" spans="1:11" x14ac:dyDescent="0.5">
      <c r="A127" s="6" t="s">
        <v>56</v>
      </c>
      <c r="B127" s="6" t="s">
        <v>57</v>
      </c>
      <c r="C127" s="6" t="s">
        <v>58</v>
      </c>
      <c r="D127" s="6" t="s">
        <v>21</v>
      </c>
      <c r="E127" s="6" t="s">
        <v>22</v>
      </c>
      <c r="F127" s="6" t="s">
        <v>96</v>
      </c>
      <c r="G127" s="7">
        <v>35884</v>
      </c>
      <c r="H127" s="6">
        <v>20</v>
      </c>
      <c r="I127" s="10">
        <v>203</v>
      </c>
      <c r="J127" s="11">
        <f t="shared" si="2"/>
        <v>4060</v>
      </c>
      <c r="K127" s="12"/>
    </row>
    <row r="128" spans="1:11" x14ac:dyDescent="0.5">
      <c r="A128" s="6" t="s">
        <v>18</v>
      </c>
      <c r="B128" s="6" t="s">
        <v>19</v>
      </c>
      <c r="C128" s="6" t="s">
        <v>50</v>
      </c>
      <c r="D128" s="6" t="s">
        <v>31</v>
      </c>
      <c r="E128" s="6" t="s">
        <v>22</v>
      </c>
      <c r="F128" s="6" t="s">
        <v>96</v>
      </c>
      <c r="G128" s="7">
        <v>35888</v>
      </c>
      <c r="H128" s="6">
        <v>12</v>
      </c>
      <c r="I128" s="10">
        <v>189</v>
      </c>
      <c r="J128" s="11">
        <f t="shared" si="2"/>
        <v>2268</v>
      </c>
      <c r="K128" s="12"/>
    </row>
    <row r="129" spans="1:11" x14ac:dyDescent="0.5">
      <c r="A129" s="6" t="s">
        <v>24</v>
      </c>
      <c r="B129" s="6" t="s">
        <v>25</v>
      </c>
      <c r="C129" s="6" t="s">
        <v>26</v>
      </c>
      <c r="D129" s="6" t="s">
        <v>55</v>
      </c>
      <c r="E129" s="6" t="s">
        <v>22</v>
      </c>
      <c r="F129" s="6" t="s">
        <v>96</v>
      </c>
      <c r="G129" s="7">
        <v>35891</v>
      </c>
      <c r="H129" s="6">
        <v>30</v>
      </c>
      <c r="I129" s="10">
        <v>164</v>
      </c>
      <c r="J129" s="11">
        <f t="shared" si="2"/>
        <v>4920</v>
      </c>
      <c r="K129" s="12"/>
    </row>
    <row r="130" spans="1:11" x14ac:dyDescent="0.5">
      <c r="A130" s="6" t="s">
        <v>18</v>
      </c>
      <c r="B130" s="6" t="s">
        <v>39</v>
      </c>
      <c r="C130" s="6" t="s">
        <v>67</v>
      </c>
      <c r="D130" s="6" t="s">
        <v>55</v>
      </c>
      <c r="E130" s="6" t="s">
        <v>22</v>
      </c>
      <c r="F130" s="6" t="s">
        <v>96</v>
      </c>
      <c r="G130" s="7">
        <v>35893</v>
      </c>
      <c r="H130" s="6">
        <v>12</v>
      </c>
      <c r="I130" s="10">
        <v>150</v>
      </c>
      <c r="J130" s="11">
        <f t="shared" si="2"/>
        <v>1800</v>
      </c>
      <c r="K130" s="12"/>
    </row>
    <row r="131" spans="1:11" x14ac:dyDescent="0.5">
      <c r="A131" s="6" t="s">
        <v>18</v>
      </c>
      <c r="B131" s="6" t="s">
        <v>19</v>
      </c>
      <c r="C131" s="6" t="s">
        <v>111</v>
      </c>
      <c r="D131" s="6" t="s">
        <v>55</v>
      </c>
      <c r="E131" s="6" t="s">
        <v>22</v>
      </c>
      <c r="F131" s="6" t="s">
        <v>96</v>
      </c>
      <c r="G131" s="7">
        <v>35894</v>
      </c>
      <c r="H131" s="6">
        <v>10</v>
      </c>
      <c r="I131" s="10">
        <v>34</v>
      </c>
      <c r="J131" s="11">
        <f t="shared" si="2"/>
        <v>340</v>
      </c>
      <c r="K131" s="12"/>
    </row>
    <row r="132" spans="1:11" x14ac:dyDescent="0.5">
      <c r="A132" s="6" t="s">
        <v>56</v>
      </c>
      <c r="B132" s="6" t="s">
        <v>57</v>
      </c>
      <c r="C132" s="6" t="s">
        <v>68</v>
      </c>
      <c r="D132" s="6" t="s">
        <v>21</v>
      </c>
      <c r="E132" s="6" t="s">
        <v>22</v>
      </c>
      <c r="F132" s="6" t="s">
        <v>96</v>
      </c>
      <c r="G132" s="7">
        <v>35901</v>
      </c>
      <c r="H132" s="6">
        <v>30</v>
      </c>
      <c r="I132" s="10">
        <v>261</v>
      </c>
      <c r="J132" s="11">
        <f t="shared" si="2"/>
        <v>7830</v>
      </c>
      <c r="K132" s="12"/>
    </row>
    <row r="133" spans="1:11" x14ac:dyDescent="0.5">
      <c r="A133" s="6" t="s">
        <v>56</v>
      </c>
      <c r="B133" s="6" t="s">
        <v>57</v>
      </c>
      <c r="C133" s="6" t="s">
        <v>58</v>
      </c>
      <c r="D133" s="6" t="s">
        <v>29</v>
      </c>
      <c r="E133" s="6" t="s">
        <v>22</v>
      </c>
      <c r="F133" s="6" t="s">
        <v>96</v>
      </c>
      <c r="G133" s="7">
        <v>35902</v>
      </c>
      <c r="H133" s="6">
        <v>21</v>
      </c>
      <c r="I133" s="10">
        <v>162</v>
      </c>
      <c r="J133" s="11">
        <f t="shared" ref="J133:J196" si="3">H133*I133</f>
        <v>3402</v>
      </c>
      <c r="K133" s="12"/>
    </row>
    <row r="134" spans="1:11" x14ac:dyDescent="0.5">
      <c r="A134" s="6" t="s">
        <v>18</v>
      </c>
      <c r="B134" s="6" t="s">
        <v>19</v>
      </c>
      <c r="C134" s="6" t="s">
        <v>38</v>
      </c>
      <c r="D134" s="6" t="s">
        <v>35</v>
      </c>
      <c r="E134" s="6" t="s">
        <v>22</v>
      </c>
      <c r="F134" s="6" t="s">
        <v>96</v>
      </c>
      <c r="G134" s="7">
        <v>35912</v>
      </c>
      <c r="H134" s="6">
        <v>10</v>
      </c>
      <c r="I134" s="10">
        <v>103</v>
      </c>
      <c r="J134" s="11">
        <f t="shared" si="3"/>
        <v>1030</v>
      </c>
      <c r="K134" s="12"/>
    </row>
    <row r="135" spans="1:11" x14ac:dyDescent="0.5">
      <c r="A135" s="6" t="s">
        <v>59</v>
      </c>
      <c r="B135" s="6" t="s">
        <v>63</v>
      </c>
      <c r="C135" s="6" t="s">
        <v>64</v>
      </c>
      <c r="D135" s="6" t="s">
        <v>35</v>
      </c>
      <c r="E135" s="6" t="s">
        <v>22</v>
      </c>
      <c r="F135" s="6" t="s">
        <v>96</v>
      </c>
      <c r="G135" s="7">
        <v>35913</v>
      </c>
      <c r="H135" s="6">
        <v>15</v>
      </c>
      <c r="I135" s="10">
        <v>275</v>
      </c>
      <c r="J135" s="11">
        <f t="shared" si="3"/>
        <v>4125</v>
      </c>
      <c r="K135" s="12"/>
    </row>
    <row r="136" spans="1:11" x14ac:dyDescent="0.5">
      <c r="A136" s="6" t="s">
        <v>18</v>
      </c>
      <c r="B136" s="6" t="s">
        <v>19</v>
      </c>
      <c r="C136" s="6" t="s">
        <v>34</v>
      </c>
      <c r="D136" s="6" t="s">
        <v>55</v>
      </c>
      <c r="E136" s="6" t="s">
        <v>22</v>
      </c>
      <c r="F136" s="6" t="s">
        <v>96</v>
      </c>
      <c r="G136" s="7">
        <v>35920</v>
      </c>
      <c r="H136" s="6">
        <v>20</v>
      </c>
      <c r="I136" s="10">
        <v>88</v>
      </c>
      <c r="J136" s="11">
        <f t="shared" si="3"/>
        <v>1760</v>
      </c>
      <c r="K136" s="12"/>
    </row>
    <row r="137" spans="1:11" x14ac:dyDescent="0.5">
      <c r="A137" s="6" t="s">
        <v>18</v>
      </c>
      <c r="B137" s="6" t="s">
        <v>19</v>
      </c>
      <c r="C137" s="6" t="s">
        <v>85</v>
      </c>
      <c r="D137" s="6" t="s">
        <v>31</v>
      </c>
      <c r="E137" s="6" t="s">
        <v>22</v>
      </c>
      <c r="F137" s="6" t="s">
        <v>112</v>
      </c>
      <c r="G137" s="7">
        <v>35299</v>
      </c>
      <c r="H137" s="6">
        <v>20</v>
      </c>
      <c r="I137" s="10">
        <v>228</v>
      </c>
      <c r="J137" s="11">
        <f t="shared" si="3"/>
        <v>4560</v>
      </c>
      <c r="K137" s="12"/>
    </row>
    <row r="138" spans="1:11" x14ac:dyDescent="0.5">
      <c r="A138" s="6" t="s">
        <v>89</v>
      </c>
      <c r="B138" s="6" t="s">
        <v>90</v>
      </c>
      <c r="C138" s="6" t="s">
        <v>91</v>
      </c>
      <c r="D138" s="6" t="s">
        <v>27</v>
      </c>
      <c r="E138" s="6" t="s">
        <v>22</v>
      </c>
      <c r="F138" s="6" t="s">
        <v>112</v>
      </c>
      <c r="G138" s="7">
        <v>35334</v>
      </c>
      <c r="H138" s="6">
        <v>14</v>
      </c>
      <c r="I138" s="10">
        <v>36</v>
      </c>
      <c r="J138" s="11">
        <f t="shared" si="3"/>
        <v>504</v>
      </c>
      <c r="K138" s="12"/>
    </row>
    <row r="139" spans="1:11" x14ac:dyDescent="0.5">
      <c r="A139" s="6" t="s">
        <v>18</v>
      </c>
      <c r="B139" s="6" t="s">
        <v>19</v>
      </c>
      <c r="C139" s="6" t="s">
        <v>38</v>
      </c>
      <c r="D139" s="6" t="s">
        <v>41</v>
      </c>
      <c r="E139" s="6" t="s">
        <v>22</v>
      </c>
      <c r="F139" s="6" t="s">
        <v>112</v>
      </c>
      <c r="G139" s="7">
        <v>35389</v>
      </c>
      <c r="H139" s="6">
        <v>10</v>
      </c>
      <c r="I139" s="10">
        <v>139</v>
      </c>
      <c r="J139" s="11">
        <f t="shared" si="3"/>
        <v>1390</v>
      </c>
      <c r="K139" s="12"/>
    </row>
    <row r="140" spans="1:11" x14ac:dyDescent="0.5">
      <c r="A140" s="6" t="s">
        <v>59</v>
      </c>
      <c r="B140" s="6" t="s">
        <v>63</v>
      </c>
      <c r="C140" s="6" t="s">
        <v>103</v>
      </c>
      <c r="D140" s="6" t="s">
        <v>35</v>
      </c>
      <c r="E140" s="6" t="s">
        <v>22</v>
      </c>
      <c r="F140" s="6" t="s">
        <v>112</v>
      </c>
      <c r="G140" s="7">
        <v>35397</v>
      </c>
      <c r="H140" s="6">
        <v>36</v>
      </c>
      <c r="I140" s="10">
        <v>160</v>
      </c>
      <c r="J140" s="11">
        <f t="shared" si="3"/>
        <v>5760</v>
      </c>
      <c r="K140" s="12"/>
    </row>
    <row r="141" spans="1:11" x14ac:dyDescent="0.5">
      <c r="A141" s="6" t="s">
        <v>59</v>
      </c>
      <c r="B141" s="6" t="s">
        <v>63</v>
      </c>
      <c r="C141" s="6" t="s">
        <v>99</v>
      </c>
      <c r="D141" s="6" t="s">
        <v>53</v>
      </c>
      <c r="E141" s="6" t="s">
        <v>22</v>
      </c>
      <c r="F141" s="6" t="s">
        <v>112</v>
      </c>
      <c r="G141" s="7">
        <v>35417</v>
      </c>
      <c r="H141" s="6">
        <v>10</v>
      </c>
      <c r="I141" s="10">
        <v>64</v>
      </c>
      <c r="J141" s="11">
        <f t="shared" si="3"/>
        <v>640</v>
      </c>
      <c r="K141" s="12"/>
    </row>
    <row r="142" spans="1:11" x14ac:dyDescent="0.5">
      <c r="A142" s="6" t="s">
        <v>24</v>
      </c>
      <c r="B142" s="6" t="s">
        <v>101</v>
      </c>
      <c r="C142" s="6" t="s">
        <v>102</v>
      </c>
      <c r="D142" s="6" t="s">
        <v>37</v>
      </c>
      <c r="E142" s="6" t="s">
        <v>22</v>
      </c>
      <c r="F142" s="6" t="s">
        <v>112</v>
      </c>
      <c r="G142" s="7">
        <v>35467</v>
      </c>
      <c r="H142" s="6">
        <v>20</v>
      </c>
      <c r="I142" s="10">
        <v>26</v>
      </c>
      <c r="J142" s="11">
        <f t="shared" si="3"/>
        <v>520</v>
      </c>
      <c r="K142" s="12"/>
    </row>
    <row r="143" spans="1:11" x14ac:dyDescent="0.5">
      <c r="A143" s="6" t="s">
        <v>24</v>
      </c>
      <c r="B143" s="6" t="s">
        <v>48</v>
      </c>
      <c r="C143" s="6" t="s">
        <v>84</v>
      </c>
      <c r="D143" s="6" t="s">
        <v>35</v>
      </c>
      <c r="E143" s="6" t="s">
        <v>22</v>
      </c>
      <c r="F143" s="6" t="s">
        <v>112</v>
      </c>
      <c r="G143" s="7">
        <v>35513</v>
      </c>
      <c r="H143" s="6">
        <v>35</v>
      </c>
      <c r="I143" s="10">
        <v>10</v>
      </c>
      <c r="J143" s="11">
        <f t="shared" si="3"/>
        <v>350</v>
      </c>
      <c r="K143" s="12"/>
    </row>
    <row r="144" spans="1:11" x14ac:dyDescent="0.5">
      <c r="A144" s="6" t="s">
        <v>24</v>
      </c>
      <c r="B144" s="6" t="s">
        <v>101</v>
      </c>
      <c r="C144" s="6" t="s">
        <v>102</v>
      </c>
      <c r="D144" s="6" t="s">
        <v>37</v>
      </c>
      <c r="E144" s="6" t="s">
        <v>22</v>
      </c>
      <c r="F144" s="6" t="s">
        <v>112</v>
      </c>
      <c r="G144" s="7">
        <v>35576</v>
      </c>
      <c r="H144" s="6">
        <v>10</v>
      </c>
      <c r="I144" s="10">
        <v>7</v>
      </c>
      <c r="J144" s="11">
        <f t="shared" si="3"/>
        <v>70</v>
      </c>
      <c r="K144" s="12"/>
    </row>
    <row r="145" spans="1:11" x14ac:dyDescent="0.5">
      <c r="A145" s="6" t="s">
        <v>18</v>
      </c>
      <c r="B145" s="6" t="s">
        <v>44</v>
      </c>
      <c r="C145" s="6" t="s">
        <v>92</v>
      </c>
      <c r="D145" s="6" t="s">
        <v>35</v>
      </c>
      <c r="E145" s="6" t="s">
        <v>22</v>
      </c>
      <c r="F145" s="6" t="s">
        <v>112</v>
      </c>
      <c r="G145" s="7">
        <v>35600</v>
      </c>
      <c r="H145" s="6">
        <v>40</v>
      </c>
      <c r="I145" s="10">
        <v>28</v>
      </c>
      <c r="J145" s="11">
        <f t="shared" si="3"/>
        <v>1120</v>
      </c>
      <c r="K145" s="12"/>
    </row>
    <row r="146" spans="1:11" x14ac:dyDescent="0.5">
      <c r="A146" s="6" t="s">
        <v>59</v>
      </c>
      <c r="B146" s="6" t="s">
        <v>63</v>
      </c>
      <c r="C146" s="6" t="s">
        <v>103</v>
      </c>
      <c r="D146" s="6" t="s">
        <v>27</v>
      </c>
      <c r="E146" s="6" t="s">
        <v>22</v>
      </c>
      <c r="F146" s="6" t="s">
        <v>112</v>
      </c>
      <c r="G146" s="7">
        <v>35704</v>
      </c>
      <c r="H146" s="6">
        <v>14</v>
      </c>
      <c r="I146" s="10">
        <v>155</v>
      </c>
      <c r="J146" s="11">
        <f t="shared" si="3"/>
        <v>2170</v>
      </c>
      <c r="K146" s="12"/>
    </row>
    <row r="147" spans="1:11" x14ac:dyDescent="0.5">
      <c r="A147" s="6" t="s">
        <v>56</v>
      </c>
      <c r="B147" s="6" t="s">
        <v>57</v>
      </c>
      <c r="C147" s="6" t="s">
        <v>58</v>
      </c>
      <c r="D147" s="6" t="s">
        <v>37</v>
      </c>
      <c r="E147" s="6" t="s">
        <v>22</v>
      </c>
      <c r="F147" s="6" t="s">
        <v>112</v>
      </c>
      <c r="G147" s="7">
        <v>35713</v>
      </c>
      <c r="H147" s="6">
        <v>12</v>
      </c>
      <c r="I147" s="10">
        <v>91</v>
      </c>
      <c r="J147" s="11">
        <f t="shared" si="3"/>
        <v>1092</v>
      </c>
      <c r="K147" s="12"/>
    </row>
    <row r="148" spans="1:11" x14ac:dyDescent="0.5">
      <c r="A148" s="6" t="s">
        <v>56</v>
      </c>
      <c r="B148" s="6" t="s">
        <v>57</v>
      </c>
      <c r="C148" s="6" t="s">
        <v>58</v>
      </c>
      <c r="D148" s="6" t="s">
        <v>29</v>
      </c>
      <c r="E148" s="6" t="s">
        <v>22</v>
      </c>
      <c r="F148" s="6" t="s">
        <v>112</v>
      </c>
      <c r="G148" s="7">
        <v>35761</v>
      </c>
      <c r="H148" s="6">
        <v>30</v>
      </c>
      <c r="I148" s="10">
        <v>288</v>
      </c>
      <c r="J148" s="11">
        <f t="shared" si="3"/>
        <v>8640</v>
      </c>
      <c r="K148" s="12"/>
    </row>
    <row r="149" spans="1:11" x14ac:dyDescent="0.5">
      <c r="A149" s="6" t="s">
        <v>59</v>
      </c>
      <c r="B149" s="6" t="s">
        <v>60</v>
      </c>
      <c r="C149" s="6" t="s">
        <v>113</v>
      </c>
      <c r="D149" s="6" t="s">
        <v>55</v>
      </c>
      <c r="E149" s="6" t="s">
        <v>22</v>
      </c>
      <c r="F149" s="6" t="s">
        <v>112</v>
      </c>
      <c r="G149" s="7">
        <v>35794</v>
      </c>
      <c r="H149" s="6">
        <v>10</v>
      </c>
      <c r="I149" s="10">
        <v>133</v>
      </c>
      <c r="J149" s="11">
        <f t="shared" si="3"/>
        <v>1330</v>
      </c>
      <c r="K149" s="12"/>
    </row>
    <row r="150" spans="1:11" x14ac:dyDescent="0.5">
      <c r="A150" s="6" t="s">
        <v>24</v>
      </c>
      <c r="B150" s="6" t="s">
        <v>48</v>
      </c>
      <c r="C150" s="6" t="s">
        <v>49</v>
      </c>
      <c r="D150" s="6" t="s">
        <v>35</v>
      </c>
      <c r="E150" s="6" t="s">
        <v>22</v>
      </c>
      <c r="F150" s="6" t="s">
        <v>112</v>
      </c>
      <c r="G150" s="7">
        <v>35842</v>
      </c>
      <c r="H150" s="6">
        <v>10</v>
      </c>
      <c r="I150" s="10">
        <v>32</v>
      </c>
      <c r="J150" s="11">
        <f t="shared" si="3"/>
        <v>320</v>
      </c>
      <c r="K150" s="12"/>
    </row>
    <row r="151" spans="1:11" x14ac:dyDescent="0.5">
      <c r="A151" s="6" t="s">
        <v>32</v>
      </c>
      <c r="B151" s="6" t="s">
        <v>33</v>
      </c>
      <c r="C151" s="6" t="s">
        <v>114</v>
      </c>
      <c r="D151" s="6" t="s">
        <v>35</v>
      </c>
      <c r="E151" s="6" t="s">
        <v>22</v>
      </c>
      <c r="F151" s="6" t="s">
        <v>112</v>
      </c>
      <c r="G151" s="7">
        <v>35864</v>
      </c>
      <c r="H151" s="6">
        <v>20</v>
      </c>
      <c r="I151" s="10">
        <v>10</v>
      </c>
      <c r="J151" s="11">
        <f t="shared" si="3"/>
        <v>200</v>
      </c>
      <c r="K151" s="12"/>
    </row>
    <row r="152" spans="1:11" x14ac:dyDescent="0.5">
      <c r="A152" s="6" t="s">
        <v>59</v>
      </c>
      <c r="B152" s="6" t="s">
        <v>63</v>
      </c>
      <c r="C152" s="6" t="s">
        <v>78</v>
      </c>
      <c r="D152" s="6" t="s">
        <v>55</v>
      </c>
      <c r="E152" s="6" t="s">
        <v>22</v>
      </c>
      <c r="F152" s="6" t="s">
        <v>112</v>
      </c>
      <c r="G152" s="7">
        <v>35886</v>
      </c>
      <c r="H152" s="6">
        <v>60</v>
      </c>
      <c r="I152" s="10">
        <v>44</v>
      </c>
      <c r="J152" s="11">
        <f t="shared" si="3"/>
        <v>2640</v>
      </c>
      <c r="K152" s="12"/>
    </row>
    <row r="153" spans="1:11" x14ac:dyDescent="0.5">
      <c r="A153" s="6" t="s">
        <v>59</v>
      </c>
      <c r="B153" s="6" t="s">
        <v>63</v>
      </c>
      <c r="C153" s="6" t="s">
        <v>78</v>
      </c>
      <c r="D153" s="6" t="s">
        <v>35</v>
      </c>
      <c r="E153" s="6" t="s">
        <v>22</v>
      </c>
      <c r="F153" s="6" t="s">
        <v>112</v>
      </c>
      <c r="G153" s="7">
        <v>35893</v>
      </c>
      <c r="H153" s="6">
        <v>90</v>
      </c>
      <c r="I153" s="10">
        <v>72</v>
      </c>
      <c r="J153" s="11">
        <f t="shared" si="3"/>
        <v>6480</v>
      </c>
      <c r="K153" s="12"/>
    </row>
    <row r="154" spans="1:11" x14ac:dyDescent="0.5">
      <c r="A154" s="6" t="s">
        <v>18</v>
      </c>
      <c r="B154" s="6" t="s">
        <v>19</v>
      </c>
      <c r="C154" s="6" t="s">
        <v>52</v>
      </c>
      <c r="D154" s="6" t="s">
        <v>37</v>
      </c>
      <c r="E154" s="6" t="s">
        <v>22</v>
      </c>
      <c r="F154" s="6" t="s">
        <v>112</v>
      </c>
      <c r="G154" s="7">
        <v>35915</v>
      </c>
      <c r="H154" s="6">
        <v>30</v>
      </c>
      <c r="I154" s="10">
        <v>112</v>
      </c>
      <c r="J154" s="11">
        <f t="shared" si="3"/>
        <v>3360</v>
      </c>
      <c r="K154" s="12"/>
    </row>
    <row r="155" spans="1:11" x14ac:dyDescent="0.5">
      <c r="A155" s="6" t="s">
        <v>24</v>
      </c>
      <c r="B155" s="6" t="s">
        <v>48</v>
      </c>
      <c r="C155" s="6" t="s">
        <v>84</v>
      </c>
      <c r="D155" s="6" t="s">
        <v>35</v>
      </c>
      <c r="E155" s="6" t="s">
        <v>22</v>
      </c>
      <c r="F155" s="6" t="s">
        <v>112</v>
      </c>
      <c r="G155" s="7">
        <v>35916</v>
      </c>
      <c r="H155" s="6">
        <v>35</v>
      </c>
      <c r="I155" s="10">
        <v>153</v>
      </c>
      <c r="J155" s="11">
        <f t="shared" si="3"/>
        <v>5355</v>
      </c>
      <c r="K155" s="12"/>
    </row>
    <row r="156" spans="1:11" x14ac:dyDescent="0.5">
      <c r="A156" s="6" t="s">
        <v>18</v>
      </c>
      <c r="B156" s="6" t="s">
        <v>72</v>
      </c>
      <c r="C156" s="6" t="s">
        <v>115</v>
      </c>
      <c r="D156" s="6" t="s">
        <v>27</v>
      </c>
      <c r="E156" s="6" t="s">
        <v>22</v>
      </c>
      <c r="F156" s="6" t="s">
        <v>116</v>
      </c>
      <c r="G156" s="7">
        <v>35265</v>
      </c>
      <c r="H156" s="6">
        <v>20</v>
      </c>
      <c r="I156" s="10">
        <v>200</v>
      </c>
      <c r="J156" s="11">
        <f t="shared" si="3"/>
        <v>4000</v>
      </c>
      <c r="K156" s="12"/>
    </row>
    <row r="157" spans="1:11" x14ac:dyDescent="0.5">
      <c r="A157" s="6" t="s">
        <v>18</v>
      </c>
      <c r="B157" s="6" t="s">
        <v>19</v>
      </c>
      <c r="C157" s="6" t="s">
        <v>97</v>
      </c>
      <c r="D157" s="6" t="s">
        <v>27</v>
      </c>
      <c r="E157" s="6" t="s">
        <v>22</v>
      </c>
      <c r="F157" s="6" t="s">
        <v>116</v>
      </c>
      <c r="G157" s="7">
        <v>35291</v>
      </c>
      <c r="H157" s="6">
        <v>4</v>
      </c>
      <c r="I157" s="10">
        <v>77</v>
      </c>
      <c r="J157" s="11">
        <f t="shared" si="3"/>
        <v>308</v>
      </c>
      <c r="K157" s="12"/>
    </row>
    <row r="158" spans="1:11" x14ac:dyDescent="0.5">
      <c r="A158" s="6" t="s">
        <v>18</v>
      </c>
      <c r="B158" s="6" t="s">
        <v>19</v>
      </c>
      <c r="C158" s="6" t="s">
        <v>20</v>
      </c>
      <c r="D158" s="6" t="s">
        <v>31</v>
      </c>
      <c r="E158" s="6" t="s">
        <v>22</v>
      </c>
      <c r="F158" s="6" t="s">
        <v>116</v>
      </c>
      <c r="G158" s="7">
        <v>35298</v>
      </c>
      <c r="H158" s="6">
        <v>100</v>
      </c>
      <c r="I158" s="10">
        <v>250</v>
      </c>
      <c r="J158" s="11">
        <f t="shared" si="3"/>
        <v>25000</v>
      </c>
      <c r="K158" s="12"/>
    </row>
    <row r="159" spans="1:11" x14ac:dyDescent="0.5">
      <c r="A159" s="6" t="s">
        <v>89</v>
      </c>
      <c r="B159" s="6" t="s">
        <v>90</v>
      </c>
      <c r="C159" s="6" t="s">
        <v>91</v>
      </c>
      <c r="D159" s="6" t="s">
        <v>37</v>
      </c>
      <c r="E159" s="6" t="s">
        <v>22</v>
      </c>
      <c r="F159" s="6" t="s">
        <v>116</v>
      </c>
      <c r="G159" s="7">
        <v>35341</v>
      </c>
      <c r="H159" s="6">
        <v>10</v>
      </c>
      <c r="I159" s="10">
        <v>47</v>
      </c>
      <c r="J159" s="11">
        <f t="shared" si="3"/>
        <v>470</v>
      </c>
      <c r="K159" s="12"/>
    </row>
    <row r="160" spans="1:11" x14ac:dyDescent="0.5">
      <c r="A160" s="6" t="s">
        <v>56</v>
      </c>
      <c r="B160" s="6" t="s">
        <v>57</v>
      </c>
      <c r="C160" s="6" t="s">
        <v>58</v>
      </c>
      <c r="D160" s="6" t="s">
        <v>53</v>
      </c>
      <c r="E160" s="6" t="s">
        <v>22</v>
      </c>
      <c r="F160" s="6" t="s">
        <v>116</v>
      </c>
      <c r="G160" s="7">
        <v>35346</v>
      </c>
      <c r="H160" s="6">
        <v>70</v>
      </c>
      <c r="I160" s="10">
        <v>40</v>
      </c>
      <c r="J160" s="11">
        <f t="shared" si="3"/>
        <v>2800</v>
      </c>
      <c r="K160" s="12"/>
    </row>
    <row r="161" spans="1:11" x14ac:dyDescent="0.5">
      <c r="A161" s="6" t="s">
        <v>59</v>
      </c>
      <c r="B161" s="6" t="s">
        <v>63</v>
      </c>
      <c r="C161" s="6" t="s">
        <v>78</v>
      </c>
      <c r="D161" s="6" t="s">
        <v>29</v>
      </c>
      <c r="E161" s="6" t="s">
        <v>22</v>
      </c>
      <c r="F161" s="6" t="s">
        <v>116</v>
      </c>
      <c r="G161" s="7">
        <v>35422</v>
      </c>
      <c r="H161" s="6">
        <v>40</v>
      </c>
      <c r="I161" s="10">
        <v>108</v>
      </c>
      <c r="J161" s="11">
        <f t="shared" si="3"/>
        <v>4320</v>
      </c>
      <c r="K161" s="12"/>
    </row>
    <row r="162" spans="1:11" x14ac:dyDescent="0.5">
      <c r="A162" s="6" t="s">
        <v>56</v>
      </c>
      <c r="B162" s="6" t="s">
        <v>57</v>
      </c>
      <c r="C162" s="6" t="s">
        <v>58</v>
      </c>
      <c r="D162" s="6" t="s">
        <v>55</v>
      </c>
      <c r="E162" s="6" t="s">
        <v>22</v>
      </c>
      <c r="F162" s="6" t="s">
        <v>116</v>
      </c>
      <c r="G162" s="7">
        <v>35429</v>
      </c>
      <c r="H162" s="6">
        <v>30</v>
      </c>
      <c r="I162" s="10">
        <v>24</v>
      </c>
      <c r="J162" s="11">
        <f t="shared" si="3"/>
        <v>720</v>
      </c>
      <c r="K162" s="12"/>
    </row>
    <row r="163" spans="1:11" x14ac:dyDescent="0.5">
      <c r="A163" s="6" t="s">
        <v>18</v>
      </c>
      <c r="B163" s="6" t="s">
        <v>19</v>
      </c>
      <c r="C163" s="6" t="s">
        <v>75</v>
      </c>
      <c r="D163" s="6" t="s">
        <v>21</v>
      </c>
      <c r="E163" s="6" t="s">
        <v>22</v>
      </c>
      <c r="F163" s="6" t="s">
        <v>116</v>
      </c>
      <c r="G163" s="7">
        <v>35431</v>
      </c>
      <c r="H163" s="6">
        <v>35</v>
      </c>
      <c r="I163" s="10">
        <v>111</v>
      </c>
      <c r="J163" s="11">
        <f t="shared" si="3"/>
        <v>3885</v>
      </c>
      <c r="K163" s="12"/>
    </row>
    <row r="164" spans="1:11" x14ac:dyDescent="0.5">
      <c r="A164" s="6" t="s">
        <v>32</v>
      </c>
      <c r="B164" s="6" t="s">
        <v>33</v>
      </c>
      <c r="C164" s="6" t="s">
        <v>47</v>
      </c>
      <c r="D164" s="6" t="s">
        <v>35</v>
      </c>
      <c r="E164" s="6" t="s">
        <v>22</v>
      </c>
      <c r="F164" s="6" t="s">
        <v>116</v>
      </c>
      <c r="G164" s="7">
        <v>35453</v>
      </c>
      <c r="H164" s="6">
        <v>60</v>
      </c>
      <c r="I164" s="10">
        <v>292</v>
      </c>
      <c r="J164" s="11">
        <f t="shared" si="3"/>
        <v>17520</v>
      </c>
      <c r="K164" s="12"/>
    </row>
    <row r="165" spans="1:11" x14ac:dyDescent="0.5">
      <c r="A165" s="6" t="s">
        <v>24</v>
      </c>
      <c r="B165" s="6" t="s">
        <v>42</v>
      </c>
      <c r="C165" s="6" t="s">
        <v>54</v>
      </c>
      <c r="D165" s="6" t="s">
        <v>37</v>
      </c>
      <c r="E165" s="6" t="s">
        <v>22</v>
      </c>
      <c r="F165" s="6" t="s">
        <v>116</v>
      </c>
      <c r="G165" s="7">
        <v>35473</v>
      </c>
      <c r="H165" s="6">
        <v>8</v>
      </c>
      <c r="I165" s="10">
        <v>59</v>
      </c>
      <c r="J165" s="11">
        <f t="shared" si="3"/>
        <v>472</v>
      </c>
      <c r="K165" s="12"/>
    </row>
    <row r="166" spans="1:11" x14ac:dyDescent="0.5">
      <c r="A166" s="6" t="s">
        <v>32</v>
      </c>
      <c r="B166" s="6" t="s">
        <v>33</v>
      </c>
      <c r="C166" s="6" t="s">
        <v>114</v>
      </c>
      <c r="D166" s="6" t="s">
        <v>31</v>
      </c>
      <c r="E166" s="6" t="s">
        <v>22</v>
      </c>
      <c r="F166" s="6" t="s">
        <v>116</v>
      </c>
      <c r="G166" s="7">
        <v>35549</v>
      </c>
      <c r="H166" s="6">
        <v>3</v>
      </c>
      <c r="I166" s="10">
        <v>261</v>
      </c>
      <c r="J166" s="11">
        <f t="shared" si="3"/>
        <v>783</v>
      </c>
      <c r="K166" s="12"/>
    </row>
    <row r="167" spans="1:11" x14ac:dyDescent="0.5">
      <c r="A167" s="6" t="s">
        <v>18</v>
      </c>
      <c r="B167" s="6" t="s">
        <v>80</v>
      </c>
      <c r="C167" s="6" t="s">
        <v>88</v>
      </c>
      <c r="D167" s="6" t="s">
        <v>21</v>
      </c>
      <c r="E167" s="6" t="s">
        <v>22</v>
      </c>
      <c r="F167" s="6" t="s">
        <v>116</v>
      </c>
      <c r="G167" s="7">
        <v>35573</v>
      </c>
      <c r="H167" s="6">
        <v>30</v>
      </c>
      <c r="I167" s="10">
        <v>266</v>
      </c>
      <c r="J167" s="11">
        <f t="shared" si="3"/>
        <v>7980</v>
      </c>
      <c r="K167" s="12"/>
    </row>
    <row r="168" spans="1:11" x14ac:dyDescent="0.5">
      <c r="A168" s="6" t="s">
        <v>24</v>
      </c>
      <c r="B168" s="6" t="s">
        <v>42</v>
      </c>
      <c r="C168" s="6" t="s">
        <v>98</v>
      </c>
      <c r="D168" s="6" t="s">
        <v>27</v>
      </c>
      <c r="E168" s="6" t="s">
        <v>22</v>
      </c>
      <c r="F168" s="6" t="s">
        <v>116</v>
      </c>
      <c r="G168" s="7">
        <v>35578</v>
      </c>
      <c r="H168" s="6">
        <v>20</v>
      </c>
      <c r="I168" s="10">
        <v>229</v>
      </c>
      <c r="J168" s="11">
        <f t="shared" si="3"/>
        <v>4580</v>
      </c>
      <c r="K168" s="12"/>
    </row>
    <row r="169" spans="1:11" x14ac:dyDescent="0.5">
      <c r="A169" s="6" t="s">
        <v>18</v>
      </c>
      <c r="B169" s="6" t="s">
        <v>44</v>
      </c>
      <c r="C169" s="6" t="s">
        <v>45</v>
      </c>
      <c r="D169" s="6" t="s">
        <v>55</v>
      </c>
      <c r="E169" s="6" t="s">
        <v>22</v>
      </c>
      <c r="F169" s="6" t="s">
        <v>116</v>
      </c>
      <c r="G169" s="7">
        <v>35580</v>
      </c>
      <c r="H169" s="6">
        <v>6</v>
      </c>
      <c r="I169" s="10">
        <v>157</v>
      </c>
      <c r="J169" s="11">
        <f t="shared" si="3"/>
        <v>942</v>
      </c>
      <c r="K169" s="12"/>
    </row>
    <row r="170" spans="1:11" x14ac:dyDescent="0.5">
      <c r="A170" s="6" t="s">
        <v>59</v>
      </c>
      <c r="B170" s="6" t="s">
        <v>63</v>
      </c>
      <c r="C170" s="6" t="s">
        <v>117</v>
      </c>
      <c r="D170" s="6" t="s">
        <v>27</v>
      </c>
      <c r="E170" s="6" t="s">
        <v>22</v>
      </c>
      <c r="F170" s="6" t="s">
        <v>116</v>
      </c>
      <c r="G170" s="7">
        <v>35605</v>
      </c>
      <c r="H170" s="6">
        <v>20</v>
      </c>
      <c r="I170" s="10">
        <v>132</v>
      </c>
      <c r="J170" s="11">
        <f t="shared" si="3"/>
        <v>2640</v>
      </c>
      <c r="K170" s="12"/>
    </row>
    <row r="171" spans="1:11" x14ac:dyDescent="0.5">
      <c r="A171" s="6" t="s">
        <v>18</v>
      </c>
      <c r="B171" s="6" t="s">
        <v>72</v>
      </c>
      <c r="C171" s="6" t="s">
        <v>115</v>
      </c>
      <c r="D171" s="6" t="s">
        <v>21</v>
      </c>
      <c r="E171" s="6" t="s">
        <v>22</v>
      </c>
      <c r="F171" s="6" t="s">
        <v>116</v>
      </c>
      <c r="G171" s="7">
        <v>35613</v>
      </c>
      <c r="H171" s="6">
        <v>20</v>
      </c>
      <c r="I171" s="10">
        <v>195</v>
      </c>
      <c r="J171" s="11">
        <f t="shared" si="3"/>
        <v>3900</v>
      </c>
      <c r="K171" s="12"/>
    </row>
    <row r="172" spans="1:11" x14ac:dyDescent="0.5">
      <c r="A172" s="6" t="s">
        <v>18</v>
      </c>
      <c r="B172" s="6" t="s">
        <v>72</v>
      </c>
      <c r="C172" s="6" t="s">
        <v>73</v>
      </c>
      <c r="D172" s="6" t="s">
        <v>31</v>
      </c>
      <c r="E172" s="6" t="s">
        <v>22</v>
      </c>
      <c r="F172" s="6" t="s">
        <v>116</v>
      </c>
      <c r="G172" s="7">
        <v>35615</v>
      </c>
      <c r="H172" s="6">
        <v>4</v>
      </c>
      <c r="I172" s="10">
        <v>129</v>
      </c>
      <c r="J172" s="11">
        <f t="shared" si="3"/>
        <v>516</v>
      </c>
      <c r="K172" s="12"/>
    </row>
    <row r="173" spans="1:11" x14ac:dyDescent="0.5">
      <c r="A173" s="6" t="s">
        <v>59</v>
      </c>
      <c r="B173" s="6" t="s">
        <v>63</v>
      </c>
      <c r="C173" s="6" t="s">
        <v>78</v>
      </c>
      <c r="D173" s="6" t="s">
        <v>55</v>
      </c>
      <c r="E173" s="6" t="s">
        <v>22</v>
      </c>
      <c r="F173" s="6" t="s">
        <v>116</v>
      </c>
      <c r="G173" s="7">
        <v>35621</v>
      </c>
      <c r="H173" s="6">
        <v>30</v>
      </c>
      <c r="I173" s="10">
        <v>197</v>
      </c>
      <c r="J173" s="11">
        <f t="shared" si="3"/>
        <v>5910</v>
      </c>
      <c r="K173" s="12"/>
    </row>
    <row r="174" spans="1:11" x14ac:dyDescent="0.5">
      <c r="A174" s="6" t="s">
        <v>18</v>
      </c>
      <c r="B174" s="6" t="s">
        <v>80</v>
      </c>
      <c r="C174" s="6" t="s">
        <v>81</v>
      </c>
      <c r="D174" s="6" t="s">
        <v>31</v>
      </c>
      <c r="E174" s="6" t="s">
        <v>22</v>
      </c>
      <c r="F174" s="6" t="s">
        <v>116</v>
      </c>
      <c r="G174" s="7">
        <v>35649</v>
      </c>
      <c r="H174" s="6">
        <v>30</v>
      </c>
      <c r="I174" s="10">
        <v>138</v>
      </c>
      <c r="J174" s="11">
        <f t="shared" si="3"/>
        <v>4140</v>
      </c>
      <c r="K174" s="12"/>
    </row>
    <row r="175" spans="1:11" x14ac:dyDescent="0.5">
      <c r="A175" s="6" t="s">
        <v>59</v>
      </c>
      <c r="B175" s="6" t="s">
        <v>60</v>
      </c>
      <c r="C175" s="6" t="s">
        <v>61</v>
      </c>
      <c r="D175" s="6" t="s">
        <v>37</v>
      </c>
      <c r="E175" s="6" t="s">
        <v>22</v>
      </c>
      <c r="F175" s="6" t="s">
        <v>116</v>
      </c>
      <c r="G175" s="7">
        <v>35711</v>
      </c>
      <c r="H175" s="6">
        <v>9</v>
      </c>
      <c r="I175" s="10">
        <v>6</v>
      </c>
      <c r="J175" s="11">
        <f t="shared" si="3"/>
        <v>54</v>
      </c>
      <c r="K175" s="12"/>
    </row>
    <row r="176" spans="1:11" x14ac:dyDescent="0.5">
      <c r="A176" s="6" t="s">
        <v>18</v>
      </c>
      <c r="B176" s="6" t="s">
        <v>72</v>
      </c>
      <c r="C176" s="6" t="s">
        <v>115</v>
      </c>
      <c r="D176" s="6" t="s">
        <v>31</v>
      </c>
      <c r="E176" s="6" t="s">
        <v>22</v>
      </c>
      <c r="F176" s="6" t="s">
        <v>116</v>
      </c>
      <c r="G176" s="7">
        <v>35731</v>
      </c>
      <c r="H176" s="6">
        <v>21</v>
      </c>
      <c r="I176" s="10">
        <v>95</v>
      </c>
      <c r="J176" s="11">
        <f t="shared" si="3"/>
        <v>1995</v>
      </c>
      <c r="K176" s="12"/>
    </row>
    <row r="177" spans="1:11" x14ac:dyDescent="0.5">
      <c r="A177" s="6" t="s">
        <v>24</v>
      </c>
      <c r="B177" s="6" t="s">
        <v>48</v>
      </c>
      <c r="C177" s="6" t="s">
        <v>84</v>
      </c>
      <c r="D177" s="6" t="s">
        <v>27</v>
      </c>
      <c r="E177" s="6" t="s">
        <v>22</v>
      </c>
      <c r="F177" s="6" t="s">
        <v>116</v>
      </c>
      <c r="G177" s="7">
        <v>35747</v>
      </c>
      <c r="H177" s="6">
        <v>35</v>
      </c>
      <c r="I177" s="10">
        <v>81</v>
      </c>
      <c r="J177" s="11">
        <f t="shared" si="3"/>
        <v>2835</v>
      </c>
      <c r="K177" s="12"/>
    </row>
    <row r="178" spans="1:11" x14ac:dyDescent="0.5">
      <c r="A178" s="6" t="s">
        <v>18</v>
      </c>
      <c r="B178" s="6" t="s">
        <v>44</v>
      </c>
      <c r="C178" s="6" t="s">
        <v>109</v>
      </c>
      <c r="D178" s="6" t="s">
        <v>21</v>
      </c>
      <c r="E178" s="6" t="s">
        <v>22</v>
      </c>
      <c r="F178" s="6" t="s">
        <v>116</v>
      </c>
      <c r="G178" s="7">
        <v>35786</v>
      </c>
      <c r="H178" s="6">
        <v>15</v>
      </c>
      <c r="I178" s="10">
        <v>114</v>
      </c>
      <c r="J178" s="11">
        <f t="shared" si="3"/>
        <v>1710</v>
      </c>
      <c r="K178" s="12"/>
    </row>
    <row r="179" spans="1:11" x14ac:dyDescent="0.5">
      <c r="A179" s="6" t="s">
        <v>59</v>
      </c>
      <c r="B179" s="6" t="s">
        <v>63</v>
      </c>
      <c r="C179" s="6" t="s">
        <v>118</v>
      </c>
      <c r="D179" s="6" t="s">
        <v>21</v>
      </c>
      <c r="E179" s="6" t="s">
        <v>22</v>
      </c>
      <c r="F179" s="6" t="s">
        <v>116</v>
      </c>
      <c r="G179" s="7">
        <v>35803</v>
      </c>
      <c r="H179" s="6">
        <v>20</v>
      </c>
      <c r="I179" s="10">
        <v>22</v>
      </c>
      <c r="J179" s="11">
        <f t="shared" si="3"/>
        <v>440</v>
      </c>
      <c r="K179" s="12"/>
    </row>
    <row r="180" spans="1:11" x14ac:dyDescent="0.5">
      <c r="A180" s="6" t="s">
        <v>56</v>
      </c>
      <c r="B180" s="6" t="s">
        <v>57</v>
      </c>
      <c r="C180" s="6" t="s">
        <v>100</v>
      </c>
      <c r="D180" s="6" t="s">
        <v>37</v>
      </c>
      <c r="E180" s="6" t="s">
        <v>22</v>
      </c>
      <c r="F180" s="6" t="s">
        <v>116</v>
      </c>
      <c r="G180" s="7">
        <v>35809</v>
      </c>
      <c r="H180" s="6">
        <v>8</v>
      </c>
      <c r="I180" s="10">
        <v>56</v>
      </c>
      <c r="J180" s="11">
        <f t="shared" si="3"/>
        <v>448</v>
      </c>
      <c r="K180" s="12"/>
    </row>
    <row r="181" spans="1:11" x14ac:dyDescent="0.5">
      <c r="A181" s="6" t="s">
        <v>59</v>
      </c>
      <c r="B181" s="6" t="s">
        <v>63</v>
      </c>
      <c r="C181" s="6" t="s">
        <v>78</v>
      </c>
      <c r="D181" s="6" t="s">
        <v>35</v>
      </c>
      <c r="E181" s="6" t="s">
        <v>22</v>
      </c>
      <c r="F181" s="6" t="s">
        <v>116</v>
      </c>
      <c r="G181" s="7">
        <v>35811</v>
      </c>
      <c r="H181" s="6">
        <v>6</v>
      </c>
      <c r="I181" s="10">
        <v>243</v>
      </c>
      <c r="J181" s="11">
        <f t="shared" si="3"/>
        <v>1458</v>
      </c>
      <c r="K181" s="12"/>
    </row>
    <row r="182" spans="1:11" x14ac:dyDescent="0.5">
      <c r="A182" s="6" t="s">
        <v>18</v>
      </c>
      <c r="B182" s="6" t="s">
        <v>19</v>
      </c>
      <c r="C182" s="6" t="s">
        <v>20</v>
      </c>
      <c r="D182" s="6" t="s">
        <v>31</v>
      </c>
      <c r="E182" s="6" t="s">
        <v>22</v>
      </c>
      <c r="F182" s="6" t="s">
        <v>116</v>
      </c>
      <c r="G182" s="7">
        <v>35816</v>
      </c>
      <c r="H182" s="6">
        <v>25</v>
      </c>
      <c r="I182" s="10">
        <v>118</v>
      </c>
      <c r="J182" s="11">
        <f t="shared" si="3"/>
        <v>2950</v>
      </c>
      <c r="K182" s="12"/>
    </row>
    <row r="183" spans="1:11" x14ac:dyDescent="0.5">
      <c r="A183" s="6" t="s">
        <v>59</v>
      </c>
      <c r="B183" s="6" t="s">
        <v>63</v>
      </c>
      <c r="C183" s="6" t="s">
        <v>86</v>
      </c>
      <c r="D183" s="6" t="s">
        <v>27</v>
      </c>
      <c r="E183" s="6" t="s">
        <v>22</v>
      </c>
      <c r="F183" s="6" t="s">
        <v>116</v>
      </c>
      <c r="G183" s="7">
        <v>35828</v>
      </c>
      <c r="H183" s="6">
        <v>4</v>
      </c>
      <c r="I183" s="10">
        <v>50</v>
      </c>
      <c r="J183" s="11">
        <f t="shared" si="3"/>
        <v>200</v>
      </c>
      <c r="K183" s="12"/>
    </row>
    <row r="184" spans="1:11" x14ac:dyDescent="0.5">
      <c r="A184" s="6" t="s">
        <v>18</v>
      </c>
      <c r="B184" s="6" t="s">
        <v>72</v>
      </c>
      <c r="C184" s="6" t="s">
        <v>108</v>
      </c>
      <c r="D184" s="6" t="s">
        <v>35</v>
      </c>
      <c r="E184" s="6" t="s">
        <v>22</v>
      </c>
      <c r="F184" s="6" t="s">
        <v>116</v>
      </c>
      <c r="G184" s="7">
        <v>35830</v>
      </c>
      <c r="H184" s="6">
        <v>30</v>
      </c>
      <c r="I184" s="10">
        <v>226</v>
      </c>
      <c r="J184" s="11">
        <f t="shared" si="3"/>
        <v>6780</v>
      </c>
      <c r="K184" s="12"/>
    </row>
    <row r="185" spans="1:11" x14ac:dyDescent="0.5">
      <c r="A185" s="6" t="s">
        <v>18</v>
      </c>
      <c r="B185" s="6" t="s">
        <v>19</v>
      </c>
      <c r="C185" s="6" t="s">
        <v>50</v>
      </c>
      <c r="D185" s="6" t="s">
        <v>41</v>
      </c>
      <c r="E185" s="6" t="s">
        <v>22</v>
      </c>
      <c r="F185" s="6" t="s">
        <v>116</v>
      </c>
      <c r="G185" s="7">
        <v>35830</v>
      </c>
      <c r="H185" s="6">
        <v>3</v>
      </c>
      <c r="I185" s="10">
        <v>63</v>
      </c>
      <c r="J185" s="11">
        <f t="shared" si="3"/>
        <v>189</v>
      </c>
      <c r="K185" s="12"/>
    </row>
    <row r="186" spans="1:11" x14ac:dyDescent="0.5">
      <c r="A186" s="6" t="s">
        <v>59</v>
      </c>
      <c r="B186" s="6" t="s">
        <v>63</v>
      </c>
      <c r="C186" s="6" t="s">
        <v>103</v>
      </c>
      <c r="D186" s="6" t="s">
        <v>21</v>
      </c>
      <c r="E186" s="6" t="s">
        <v>22</v>
      </c>
      <c r="F186" s="6" t="s">
        <v>116</v>
      </c>
      <c r="G186" s="7">
        <v>35857</v>
      </c>
      <c r="H186" s="6">
        <v>10</v>
      </c>
      <c r="I186" s="10">
        <v>148</v>
      </c>
      <c r="J186" s="11">
        <f t="shared" si="3"/>
        <v>1480</v>
      </c>
      <c r="K186" s="12"/>
    </row>
    <row r="187" spans="1:11" x14ac:dyDescent="0.5">
      <c r="A187" s="6" t="s">
        <v>59</v>
      </c>
      <c r="B187" s="6" t="s">
        <v>63</v>
      </c>
      <c r="C187" s="6" t="s">
        <v>64</v>
      </c>
      <c r="D187" s="6" t="s">
        <v>31</v>
      </c>
      <c r="E187" s="6" t="s">
        <v>22</v>
      </c>
      <c r="F187" s="6" t="s">
        <v>116</v>
      </c>
      <c r="G187" s="7">
        <v>35872</v>
      </c>
      <c r="H187" s="6">
        <v>40</v>
      </c>
      <c r="I187" s="10">
        <v>34</v>
      </c>
      <c r="J187" s="11">
        <f t="shared" si="3"/>
        <v>1360</v>
      </c>
      <c r="K187" s="12"/>
    </row>
    <row r="188" spans="1:11" x14ac:dyDescent="0.5">
      <c r="A188" s="6" t="s">
        <v>56</v>
      </c>
      <c r="B188" s="6" t="s">
        <v>57</v>
      </c>
      <c r="C188" s="6" t="s">
        <v>58</v>
      </c>
      <c r="D188" s="6" t="s">
        <v>27</v>
      </c>
      <c r="E188" s="6" t="s">
        <v>22</v>
      </c>
      <c r="F188" s="6" t="s">
        <v>116</v>
      </c>
      <c r="G188" s="7">
        <v>35891</v>
      </c>
      <c r="H188" s="6">
        <v>15</v>
      </c>
      <c r="I188" s="10">
        <v>47</v>
      </c>
      <c r="J188" s="11">
        <f t="shared" si="3"/>
        <v>705</v>
      </c>
      <c r="K188" s="12"/>
    </row>
    <row r="189" spans="1:11" x14ac:dyDescent="0.5">
      <c r="A189" s="6" t="s">
        <v>18</v>
      </c>
      <c r="B189" s="6" t="s">
        <v>19</v>
      </c>
      <c r="C189" s="6" t="s">
        <v>74</v>
      </c>
      <c r="D189" s="6" t="s">
        <v>55</v>
      </c>
      <c r="E189" s="6" t="s">
        <v>22</v>
      </c>
      <c r="F189" s="6" t="s">
        <v>116</v>
      </c>
      <c r="G189" s="7">
        <v>35905</v>
      </c>
      <c r="H189" s="6">
        <v>60</v>
      </c>
      <c r="I189" s="10">
        <v>106</v>
      </c>
      <c r="J189" s="11">
        <f t="shared" si="3"/>
        <v>6360</v>
      </c>
      <c r="K189" s="12"/>
    </row>
    <row r="190" spans="1:11" x14ac:dyDescent="0.5">
      <c r="A190" s="6" t="s">
        <v>59</v>
      </c>
      <c r="B190" s="6" t="s">
        <v>60</v>
      </c>
      <c r="C190" s="6" t="s">
        <v>61</v>
      </c>
      <c r="D190" s="6" t="s">
        <v>21</v>
      </c>
      <c r="E190" s="6" t="s">
        <v>22</v>
      </c>
      <c r="F190" s="6" t="s">
        <v>116</v>
      </c>
      <c r="G190" s="7">
        <v>35906</v>
      </c>
      <c r="H190" s="6">
        <v>24</v>
      </c>
      <c r="I190" s="10">
        <v>67</v>
      </c>
      <c r="J190" s="11">
        <f t="shared" si="3"/>
        <v>1608</v>
      </c>
      <c r="K190" s="12"/>
    </row>
    <row r="191" spans="1:11" x14ac:dyDescent="0.5">
      <c r="A191" s="6" t="s">
        <v>18</v>
      </c>
      <c r="B191" s="6" t="s">
        <v>19</v>
      </c>
      <c r="C191" s="6" t="s">
        <v>30</v>
      </c>
      <c r="D191" s="6" t="s">
        <v>31</v>
      </c>
      <c r="E191" s="6" t="s">
        <v>22</v>
      </c>
      <c r="F191" s="6" t="s">
        <v>116</v>
      </c>
      <c r="G191" s="7">
        <v>35908</v>
      </c>
      <c r="H191" s="6">
        <v>18</v>
      </c>
      <c r="I191" s="10">
        <v>247</v>
      </c>
      <c r="J191" s="11">
        <f t="shared" si="3"/>
        <v>4446</v>
      </c>
      <c r="K191" s="12"/>
    </row>
    <row r="192" spans="1:11" x14ac:dyDescent="0.5">
      <c r="A192" s="6" t="s">
        <v>59</v>
      </c>
      <c r="B192" s="6" t="s">
        <v>63</v>
      </c>
      <c r="C192" s="6" t="s">
        <v>118</v>
      </c>
      <c r="D192" s="6" t="s">
        <v>27</v>
      </c>
      <c r="E192" s="6" t="s">
        <v>22</v>
      </c>
      <c r="F192" s="6" t="s">
        <v>119</v>
      </c>
      <c r="G192" s="7">
        <v>35353</v>
      </c>
      <c r="H192" s="6">
        <v>20</v>
      </c>
      <c r="I192" s="10">
        <v>241</v>
      </c>
      <c r="J192" s="11">
        <f t="shared" si="3"/>
        <v>4820</v>
      </c>
      <c r="K192" s="12"/>
    </row>
    <row r="193" spans="1:11" x14ac:dyDescent="0.5">
      <c r="A193" s="6" t="s">
        <v>59</v>
      </c>
      <c r="B193" s="6" t="s">
        <v>63</v>
      </c>
      <c r="C193" s="6" t="s">
        <v>78</v>
      </c>
      <c r="D193" s="6" t="s">
        <v>21</v>
      </c>
      <c r="E193" s="6" t="s">
        <v>22</v>
      </c>
      <c r="F193" s="6" t="s">
        <v>119</v>
      </c>
      <c r="G193" s="7">
        <v>35380</v>
      </c>
      <c r="H193" s="6">
        <v>20</v>
      </c>
      <c r="I193" s="10">
        <v>242</v>
      </c>
      <c r="J193" s="11">
        <f t="shared" si="3"/>
        <v>4840</v>
      </c>
      <c r="K193" s="12"/>
    </row>
    <row r="194" spans="1:11" x14ac:dyDescent="0.5">
      <c r="A194" s="6" t="s">
        <v>24</v>
      </c>
      <c r="B194" s="6" t="s">
        <v>48</v>
      </c>
      <c r="C194" s="6" t="s">
        <v>106</v>
      </c>
      <c r="D194" s="6" t="s">
        <v>35</v>
      </c>
      <c r="E194" s="6" t="s">
        <v>22</v>
      </c>
      <c r="F194" s="6" t="s">
        <v>119</v>
      </c>
      <c r="G194" s="7">
        <v>35382</v>
      </c>
      <c r="H194" s="6">
        <v>50</v>
      </c>
      <c r="I194" s="10">
        <v>13</v>
      </c>
      <c r="J194" s="11">
        <f t="shared" si="3"/>
        <v>650</v>
      </c>
      <c r="K194" s="12"/>
    </row>
    <row r="195" spans="1:11" x14ac:dyDescent="0.5">
      <c r="A195" s="6" t="s">
        <v>32</v>
      </c>
      <c r="B195" s="6" t="s">
        <v>33</v>
      </c>
      <c r="C195" s="6" t="s">
        <v>51</v>
      </c>
      <c r="D195" s="6" t="s">
        <v>27</v>
      </c>
      <c r="E195" s="6" t="s">
        <v>22</v>
      </c>
      <c r="F195" s="6" t="s">
        <v>119</v>
      </c>
      <c r="G195" s="7">
        <v>35391</v>
      </c>
      <c r="H195" s="6">
        <v>10</v>
      </c>
      <c r="I195" s="10">
        <v>246</v>
      </c>
      <c r="J195" s="11">
        <f t="shared" si="3"/>
        <v>2460</v>
      </c>
      <c r="K195" s="12"/>
    </row>
    <row r="196" spans="1:11" x14ac:dyDescent="0.5">
      <c r="A196" s="6" t="s">
        <v>18</v>
      </c>
      <c r="B196" s="6" t="s">
        <v>72</v>
      </c>
      <c r="C196" s="6" t="s">
        <v>108</v>
      </c>
      <c r="D196" s="6" t="s">
        <v>41</v>
      </c>
      <c r="E196" s="6" t="s">
        <v>22</v>
      </c>
      <c r="F196" s="6" t="s">
        <v>119</v>
      </c>
      <c r="G196" s="7">
        <v>35403</v>
      </c>
      <c r="H196" s="6">
        <v>40</v>
      </c>
      <c r="I196" s="10">
        <v>135</v>
      </c>
      <c r="J196" s="11">
        <f t="shared" si="3"/>
        <v>5400</v>
      </c>
      <c r="K196" s="12"/>
    </row>
    <row r="197" spans="1:11" x14ac:dyDescent="0.5">
      <c r="A197" s="6" t="s">
        <v>18</v>
      </c>
      <c r="B197" s="6" t="s">
        <v>19</v>
      </c>
      <c r="C197" s="6" t="s">
        <v>120</v>
      </c>
      <c r="D197" s="6" t="s">
        <v>27</v>
      </c>
      <c r="E197" s="6" t="s">
        <v>22</v>
      </c>
      <c r="F197" s="6" t="s">
        <v>119</v>
      </c>
      <c r="G197" s="7">
        <v>35446</v>
      </c>
      <c r="H197" s="6">
        <v>50</v>
      </c>
      <c r="I197" s="10">
        <v>68</v>
      </c>
      <c r="J197" s="11">
        <f t="shared" ref="J197:J202" si="4">H197*I197</f>
        <v>3400</v>
      </c>
      <c r="K197" s="12"/>
    </row>
    <row r="198" spans="1:11" x14ac:dyDescent="0.5">
      <c r="A198" s="6" t="s">
        <v>32</v>
      </c>
      <c r="B198" s="6" t="s">
        <v>33</v>
      </c>
      <c r="C198" s="6" t="s">
        <v>47</v>
      </c>
      <c r="D198" s="6" t="s">
        <v>35</v>
      </c>
      <c r="E198" s="6" t="s">
        <v>22</v>
      </c>
      <c r="F198" s="6" t="s">
        <v>119</v>
      </c>
      <c r="G198" s="7">
        <v>35453</v>
      </c>
      <c r="H198" s="6">
        <v>49</v>
      </c>
      <c r="I198" s="10">
        <v>194</v>
      </c>
      <c r="J198" s="11">
        <f t="shared" si="4"/>
        <v>9506</v>
      </c>
      <c r="K198" s="12"/>
    </row>
    <row r="199" spans="1:11" x14ac:dyDescent="0.5">
      <c r="A199" s="6" t="s">
        <v>24</v>
      </c>
      <c r="B199" s="6" t="s">
        <v>25</v>
      </c>
      <c r="C199" s="6" t="s">
        <v>26</v>
      </c>
      <c r="D199" s="6" t="s">
        <v>37</v>
      </c>
      <c r="E199" s="6" t="s">
        <v>22</v>
      </c>
      <c r="F199" s="6" t="s">
        <v>119</v>
      </c>
      <c r="G199" s="7">
        <v>35508</v>
      </c>
      <c r="H199" s="6">
        <v>30</v>
      </c>
      <c r="I199" s="10">
        <v>289</v>
      </c>
      <c r="J199" s="11">
        <f t="shared" si="4"/>
        <v>8670</v>
      </c>
      <c r="K199" s="12"/>
    </row>
    <row r="200" spans="1:11" x14ac:dyDescent="0.5">
      <c r="A200" s="6" t="s">
        <v>18</v>
      </c>
      <c r="B200" s="6" t="s">
        <v>19</v>
      </c>
      <c r="C200" s="6" t="s">
        <v>46</v>
      </c>
      <c r="D200" s="6" t="s">
        <v>27</v>
      </c>
      <c r="E200" s="6" t="s">
        <v>22</v>
      </c>
      <c r="F200" s="6" t="s">
        <v>119</v>
      </c>
      <c r="G200" s="7">
        <v>35545</v>
      </c>
      <c r="H200" s="6">
        <v>15</v>
      </c>
      <c r="I200" s="10">
        <v>89</v>
      </c>
      <c r="J200" s="11">
        <f t="shared" si="4"/>
        <v>1335</v>
      </c>
      <c r="K200" s="12"/>
    </row>
    <row r="201" spans="1:11" x14ac:dyDescent="0.5">
      <c r="A201" s="6" t="s">
        <v>18</v>
      </c>
      <c r="B201" s="6" t="s">
        <v>19</v>
      </c>
      <c r="C201" s="6" t="s">
        <v>20</v>
      </c>
      <c r="D201" s="6" t="s">
        <v>37</v>
      </c>
      <c r="E201" s="6" t="s">
        <v>22</v>
      </c>
      <c r="F201" s="6" t="s">
        <v>119</v>
      </c>
      <c r="G201" s="7">
        <v>35569</v>
      </c>
      <c r="H201" s="6">
        <v>30</v>
      </c>
      <c r="I201" s="10">
        <v>199</v>
      </c>
      <c r="J201" s="11">
        <f t="shared" si="4"/>
        <v>5970</v>
      </c>
      <c r="K201" s="12"/>
    </row>
    <row r="202" spans="1:11" x14ac:dyDescent="0.5">
      <c r="A202" s="6" t="s">
        <v>24</v>
      </c>
      <c r="B202" s="6" t="s">
        <v>104</v>
      </c>
      <c r="C202" s="6" t="s">
        <v>105</v>
      </c>
      <c r="D202" s="6" t="s">
        <v>55</v>
      </c>
      <c r="E202" s="6" t="s">
        <v>22</v>
      </c>
      <c r="F202" s="6" t="s">
        <v>119</v>
      </c>
      <c r="G202" s="7">
        <v>35569</v>
      </c>
      <c r="H202" s="6">
        <v>4</v>
      </c>
      <c r="I202" s="10">
        <v>2</v>
      </c>
      <c r="J202" s="11">
        <f t="shared" si="4"/>
        <v>8</v>
      </c>
      <c r="K202" s="12"/>
    </row>
  </sheetData>
  <phoneticPr fontId="12" type="noConversion"/>
  <hyperlinks>
    <hyperlink ref="B1" r:id="rId1" xr:uid="{00000000-0004-0000-0000-000000000000}"/>
    <hyperlink ref="B2" r:id="rId2" xr:uid="{00000000-0004-0000-0000-000001000000}"/>
  </hyperlinks>
  <pageMargins left="0.69930555555555596" right="0.69930555555555596" top="0.75" bottom="0.75" header="0.3" footer="0.3"/>
  <pageSetup paperSize="9" orientation="portrait" horizontalDpi="180" verticalDpi="180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6" name="Option Button 1">
              <controlPr defaultSize="0" autoPict="0">
                <anchor moveWithCells="1">
                  <from>
                    <xdr:col>11</xdr:col>
                    <xdr:colOff>219075</xdr:colOff>
                    <xdr:row>14</xdr:row>
                    <xdr:rowOff>28575</xdr:rowOff>
                  </from>
                  <to>
                    <xdr:col>12</xdr:col>
                    <xdr:colOff>238125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7" name="Option Button 2">
              <controlPr defaultSize="0" autoPict="0">
                <anchor moveWithCells="1">
                  <from>
                    <xdr:col>12</xdr:col>
                    <xdr:colOff>466725</xdr:colOff>
                    <xdr:row>14</xdr:row>
                    <xdr:rowOff>28575</xdr:rowOff>
                  </from>
                  <to>
                    <xdr:col>13</xdr:col>
                    <xdr:colOff>485775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8" name="Drop Down 3">
              <controlPr defaultSize="0" autoPict="0">
                <anchor moveWithCells="1">
                  <from>
                    <xdr:col>15</xdr:col>
                    <xdr:colOff>47625</xdr:colOff>
                    <xdr:row>14</xdr:row>
                    <xdr:rowOff>66675</xdr:rowOff>
                  </from>
                  <to>
                    <xdr:col>16</xdr:col>
                    <xdr:colOff>276225</xdr:colOff>
                    <xdr:row>15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9" name="Scroll Bar 4">
              <controlPr defaultSize="0" autoPict="0">
                <anchor moveWithCells="1">
                  <from>
                    <xdr:col>16</xdr:col>
                    <xdr:colOff>266700</xdr:colOff>
                    <xdr:row>17</xdr:row>
                    <xdr:rowOff>85725</xdr:rowOff>
                  </from>
                  <to>
                    <xdr:col>16</xdr:col>
                    <xdr:colOff>504825</xdr:colOff>
                    <xdr:row>28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2006-09-16T00:00:00Z</dcterms:created>
  <dcterms:modified xsi:type="dcterms:W3CDTF">2021-03-16T02:14:31Z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
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B1E2DB54-BB8C-4CC9-86A8-20CB3A01F52F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" i="1" l="1"/>
  <c r="B50" i="1"/>
  <c r="B49" i="1"/>
  <c r="B48" i="1"/>
  <c r="B47" i="1"/>
  <c r="B46" i="1"/>
  <c r="B45" i="1"/>
  <c r="B44" i="1"/>
  <c r="B43" i="1"/>
  <c r="B42" i="1"/>
  <c r="B41" i="1"/>
  <c r="B40" i="1"/>
  <c r="F8" i="1"/>
  <c r="A25" i="1"/>
  <c r="F7" i="1"/>
  <c r="A24" i="1"/>
  <c r="F6" i="1"/>
  <c r="A23" i="1"/>
  <c r="F5" i="1"/>
  <c r="A22" i="1"/>
  <c r="B19" i="1"/>
  <c r="B18" i="1"/>
  <c r="B17" i="1"/>
  <c r="B13" i="1"/>
  <c r="A13" i="1"/>
  <c r="B12" i="1"/>
  <c r="A12" i="1"/>
  <c r="B11" i="1"/>
  <c r="A11" i="1"/>
  <c r="B10" i="1"/>
  <c r="A10" i="1"/>
</calcChain>
</file>

<file path=xl/sharedStrings.xml><?xml version="1.0" encoding="utf-8"?>
<sst xmlns="http://schemas.openxmlformats.org/spreadsheetml/2006/main" count="24" uniqueCount="20">
  <si>
    <t>400以下</t>
  </si>
  <si>
    <t>400-1000</t>
  </si>
  <si>
    <t>1000以上</t>
  </si>
  <si>
    <t>销售占比</t>
  </si>
  <si>
    <t>辅助累加</t>
  </si>
  <si>
    <t>作图思路</t>
  </si>
  <si>
    <t>一季度</t>
  </si>
  <si>
    <t>使用面积图制作</t>
  </si>
  <si>
    <t>二季度</t>
  </si>
  <si>
    <t>利用面积图的时间轴制作不等宽</t>
  </si>
  <si>
    <t>三季度</t>
  </si>
  <si>
    <t>数据标签与坐标轴标签都是用散点制作</t>
  </si>
  <si>
    <t>四季度</t>
  </si>
  <si>
    <t>分布</t>
  </si>
  <si>
    <t>X</t>
  </si>
  <si>
    <t>Y</t>
  </si>
  <si>
    <t>横分类轴</t>
  </si>
  <si>
    <t>构建数据</t>
  </si>
  <si>
    <t>时间轴</t>
  </si>
  <si>
    <t>数据标签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</si>
</sst>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  <xf numFmtId="0" fontId="1" fillId="0" borderId="0" xfId="0" applyNumberFormat="1" applyFont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08130081300801"/>
          <c:y val="4.6121578064484997E-2"/>
          <c:w val="0.83739837398373995"/>
          <c:h val="0.886792490205355"/>
        </c:manualLayout>
      </c:layout>
      <c:areaChart>
        <c:grouping val="stacked"/>
        <c:varyColors val="0"/>
        <c:ser>
          <c:idx val="0"/>
          <c:order val="0"/>
          <c:spPr>
            <a:solidFill>
              <a:srgbClr val="627BCA"/>
            </a:solidFill>
            <a:ln w="25400">
              <a:noFill/>
            </a:ln>
            <a:effectLst/>
          </c:spPr>
          <c:cat>
            <c:numRef>
              <c:f>案例!$A$29:$A$36</c:f>
              <c:numCache>
                <c:formatCode>General</c:formatCode>
                <c:ptCount val="8"/>
                <c:pt idx="0">
                  <c:v>0</c:v>
                </c:pt>
                <c:pt idx="1">
                  <c:v>33</c:v>
                </c:pt>
                <c:pt idx="2">
                  <c:v>33</c:v>
                </c:pt>
                <c:pt idx="3">
                  <c:v>51</c:v>
                </c:pt>
                <c:pt idx="4">
                  <c:v>51</c:v>
                </c:pt>
                <c:pt idx="5">
                  <c:v>80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案例!$B$29:$B$36</c:f>
              <c:numCache>
                <c:formatCode>General</c:formatCode>
                <c:ptCount val="8"/>
                <c:pt idx="0">
                  <c:v>0.2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455A-B537-80C232F796E3}"/>
            </c:ext>
          </c:extLst>
        </c:ser>
        <c:ser>
          <c:idx val="1"/>
          <c:order val="1"/>
          <c:spPr>
            <a:solidFill>
              <a:srgbClr val="8498D6"/>
            </a:solidFill>
            <a:ln w="25400">
              <a:noFill/>
            </a:ln>
            <a:effectLst/>
          </c:spPr>
          <c:cat>
            <c:numRef>
              <c:f>案例!$A$29:$A$36</c:f>
              <c:numCache>
                <c:formatCode>General</c:formatCode>
                <c:ptCount val="8"/>
                <c:pt idx="0">
                  <c:v>0</c:v>
                </c:pt>
                <c:pt idx="1">
                  <c:v>33</c:v>
                </c:pt>
                <c:pt idx="2">
                  <c:v>33</c:v>
                </c:pt>
                <c:pt idx="3">
                  <c:v>51</c:v>
                </c:pt>
                <c:pt idx="4">
                  <c:v>51</c:v>
                </c:pt>
                <c:pt idx="5">
                  <c:v>80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案例!$C$29:$C$36</c:f>
              <c:numCache>
                <c:formatCode>General</c:formatCode>
                <c:ptCount val="8"/>
                <c:pt idx="0">
                  <c:v>0.67</c:v>
                </c:pt>
                <c:pt idx="1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C-455A-B537-80C232F796E3}"/>
            </c:ext>
          </c:extLst>
        </c:ser>
        <c:ser>
          <c:idx val="2"/>
          <c:order val="2"/>
          <c:spPr>
            <a:solidFill>
              <a:srgbClr val="A0AFE0"/>
            </a:solidFill>
            <a:ln w="25400">
              <a:noFill/>
            </a:ln>
            <a:effectLst/>
          </c:spPr>
          <c:cat>
            <c:numRef>
              <c:f>案例!$A$29:$A$36</c:f>
              <c:numCache>
                <c:formatCode>General</c:formatCode>
                <c:ptCount val="8"/>
                <c:pt idx="0">
                  <c:v>0</c:v>
                </c:pt>
                <c:pt idx="1">
                  <c:v>33</c:v>
                </c:pt>
                <c:pt idx="2">
                  <c:v>33</c:v>
                </c:pt>
                <c:pt idx="3">
                  <c:v>51</c:v>
                </c:pt>
                <c:pt idx="4">
                  <c:v>51</c:v>
                </c:pt>
                <c:pt idx="5">
                  <c:v>80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案例!$D$29:$D$36</c:f>
              <c:numCache>
                <c:formatCode>General</c:formatCode>
                <c:ptCount val="8"/>
                <c:pt idx="0">
                  <c:v>0.13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9C-455A-B537-80C232F796E3}"/>
            </c:ext>
          </c:extLst>
        </c:ser>
        <c:ser>
          <c:idx val="3"/>
          <c:order val="3"/>
          <c:spPr>
            <a:solidFill>
              <a:srgbClr val="D58D57"/>
            </a:solidFill>
            <a:ln w="25400">
              <a:noFill/>
            </a:ln>
            <a:effectLst/>
          </c:spPr>
          <c:cat>
            <c:numRef>
              <c:f>案例!$A$29:$A$36</c:f>
              <c:numCache>
                <c:formatCode>General</c:formatCode>
                <c:ptCount val="8"/>
                <c:pt idx="0">
                  <c:v>0</c:v>
                </c:pt>
                <c:pt idx="1">
                  <c:v>33</c:v>
                </c:pt>
                <c:pt idx="2">
                  <c:v>33</c:v>
                </c:pt>
                <c:pt idx="3">
                  <c:v>51</c:v>
                </c:pt>
                <c:pt idx="4">
                  <c:v>51</c:v>
                </c:pt>
                <c:pt idx="5">
                  <c:v>80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案例!$E$29:$E$36</c:f>
              <c:numCache>
                <c:formatCode>General</c:formatCode>
                <c:ptCount val="8"/>
                <c:pt idx="2">
                  <c:v>0.1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9C-455A-B537-80C232F796E3}"/>
            </c:ext>
          </c:extLst>
        </c:ser>
        <c:ser>
          <c:idx val="4"/>
          <c:order val="4"/>
          <c:spPr>
            <a:solidFill>
              <a:srgbClr val="DEA67C"/>
            </a:solidFill>
            <a:ln w="25400">
              <a:noFill/>
            </a:ln>
            <a:effectLst/>
          </c:spPr>
          <c:cat>
            <c:numRef>
              <c:f>案例!$A$29:$A$36</c:f>
              <c:numCache>
                <c:formatCode>General</c:formatCode>
                <c:ptCount val="8"/>
                <c:pt idx="0">
                  <c:v>0</c:v>
                </c:pt>
                <c:pt idx="1">
                  <c:v>33</c:v>
                </c:pt>
                <c:pt idx="2">
                  <c:v>33</c:v>
                </c:pt>
                <c:pt idx="3">
                  <c:v>51</c:v>
                </c:pt>
                <c:pt idx="4">
                  <c:v>51</c:v>
                </c:pt>
                <c:pt idx="5">
                  <c:v>80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案例!$F$29:$F$36</c:f>
              <c:numCache>
                <c:formatCode>General</c:formatCode>
                <c:ptCount val="8"/>
                <c:pt idx="2">
                  <c:v>0.51</c:v>
                </c:pt>
                <c:pt idx="3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9C-455A-B537-80C232F796E3}"/>
            </c:ext>
          </c:extLst>
        </c:ser>
        <c:ser>
          <c:idx val="5"/>
          <c:order val="5"/>
          <c:spPr>
            <a:solidFill>
              <a:srgbClr val="E8C0A2"/>
            </a:solidFill>
            <a:ln w="25400">
              <a:noFill/>
            </a:ln>
            <a:effectLst/>
          </c:spPr>
          <c:cat>
            <c:numRef>
              <c:f>案例!$A$29:$A$36</c:f>
              <c:numCache>
                <c:formatCode>General</c:formatCode>
                <c:ptCount val="8"/>
                <c:pt idx="0">
                  <c:v>0</c:v>
                </c:pt>
                <c:pt idx="1">
                  <c:v>33</c:v>
                </c:pt>
                <c:pt idx="2">
                  <c:v>33</c:v>
                </c:pt>
                <c:pt idx="3">
                  <c:v>51</c:v>
                </c:pt>
                <c:pt idx="4">
                  <c:v>51</c:v>
                </c:pt>
                <c:pt idx="5">
                  <c:v>80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案例!$G$29:$G$36</c:f>
              <c:numCache>
                <c:formatCode>General</c:formatCode>
                <c:ptCount val="8"/>
                <c:pt idx="2">
                  <c:v>0.39</c:v>
                </c:pt>
                <c:pt idx="3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9C-455A-B537-80C232F796E3}"/>
            </c:ext>
          </c:extLst>
        </c:ser>
        <c:ser>
          <c:idx val="6"/>
          <c:order val="6"/>
          <c:spPr>
            <a:solidFill>
              <a:srgbClr val="E35F5F"/>
            </a:solidFill>
            <a:ln w="25400">
              <a:noFill/>
            </a:ln>
            <a:effectLst/>
          </c:spPr>
          <c:cat>
            <c:numRef>
              <c:f>案例!$A$29:$A$36</c:f>
              <c:numCache>
                <c:formatCode>General</c:formatCode>
                <c:ptCount val="8"/>
                <c:pt idx="0">
                  <c:v>0</c:v>
                </c:pt>
                <c:pt idx="1">
                  <c:v>33</c:v>
                </c:pt>
                <c:pt idx="2">
                  <c:v>33</c:v>
                </c:pt>
                <c:pt idx="3">
                  <c:v>51</c:v>
                </c:pt>
                <c:pt idx="4">
                  <c:v>51</c:v>
                </c:pt>
                <c:pt idx="5">
                  <c:v>80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案例!$H$29:$H$36</c:f>
              <c:numCache>
                <c:formatCode>General</c:formatCode>
                <c:ptCount val="8"/>
                <c:pt idx="4">
                  <c:v>0.2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9C-455A-B537-80C232F796E3}"/>
            </c:ext>
          </c:extLst>
        </c:ser>
        <c:ser>
          <c:idx val="7"/>
          <c:order val="7"/>
          <c:spPr>
            <a:solidFill>
              <a:srgbClr val="E97F7F"/>
            </a:solidFill>
            <a:ln w="25400">
              <a:noFill/>
            </a:ln>
            <a:effectLst/>
          </c:spPr>
          <c:cat>
            <c:numRef>
              <c:f>案例!$A$29:$A$36</c:f>
              <c:numCache>
                <c:formatCode>General</c:formatCode>
                <c:ptCount val="8"/>
                <c:pt idx="0">
                  <c:v>0</c:v>
                </c:pt>
                <c:pt idx="1">
                  <c:v>33</c:v>
                </c:pt>
                <c:pt idx="2">
                  <c:v>33</c:v>
                </c:pt>
                <c:pt idx="3">
                  <c:v>51</c:v>
                </c:pt>
                <c:pt idx="4">
                  <c:v>51</c:v>
                </c:pt>
                <c:pt idx="5">
                  <c:v>80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案例!$I$29:$I$36</c:f>
              <c:numCache>
                <c:formatCode>General</c:formatCode>
                <c:ptCount val="8"/>
                <c:pt idx="4">
                  <c:v>0.6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9C-455A-B537-80C232F796E3}"/>
            </c:ext>
          </c:extLst>
        </c:ser>
        <c:ser>
          <c:idx val="8"/>
          <c:order val="8"/>
          <c:spPr>
            <a:solidFill>
              <a:srgbClr val="EE9C9C"/>
            </a:solidFill>
            <a:ln w="25400">
              <a:noFill/>
            </a:ln>
            <a:effectLst/>
          </c:spPr>
          <c:cat>
            <c:numRef>
              <c:f>案例!$A$29:$A$36</c:f>
              <c:numCache>
                <c:formatCode>General</c:formatCode>
                <c:ptCount val="8"/>
                <c:pt idx="0">
                  <c:v>0</c:v>
                </c:pt>
                <c:pt idx="1">
                  <c:v>33</c:v>
                </c:pt>
                <c:pt idx="2">
                  <c:v>33</c:v>
                </c:pt>
                <c:pt idx="3">
                  <c:v>51</c:v>
                </c:pt>
                <c:pt idx="4">
                  <c:v>51</c:v>
                </c:pt>
                <c:pt idx="5">
                  <c:v>80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案例!$J$29:$J$36</c:f>
              <c:numCache>
                <c:formatCode>General</c:formatCode>
                <c:ptCount val="8"/>
                <c:pt idx="4">
                  <c:v>0.2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9C-455A-B537-80C232F796E3}"/>
            </c:ext>
          </c:extLst>
        </c:ser>
        <c:ser>
          <c:idx val="9"/>
          <c:order val="9"/>
          <c:spPr>
            <a:solidFill>
              <a:srgbClr val="E242A9"/>
            </a:solidFill>
            <a:ln w="25400">
              <a:noFill/>
            </a:ln>
            <a:effectLst/>
          </c:spPr>
          <c:cat>
            <c:numRef>
              <c:f>案例!$A$29:$A$36</c:f>
              <c:numCache>
                <c:formatCode>General</c:formatCode>
                <c:ptCount val="8"/>
                <c:pt idx="0">
                  <c:v>0</c:v>
                </c:pt>
                <c:pt idx="1">
                  <c:v>33</c:v>
                </c:pt>
                <c:pt idx="2">
                  <c:v>33</c:v>
                </c:pt>
                <c:pt idx="3">
                  <c:v>51</c:v>
                </c:pt>
                <c:pt idx="4">
                  <c:v>51</c:v>
                </c:pt>
                <c:pt idx="5">
                  <c:v>80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案例!$K$29:$K$36</c:f>
              <c:numCache>
                <c:formatCode>General</c:formatCode>
                <c:ptCount val="8"/>
                <c:pt idx="6">
                  <c:v>0.2</c:v>
                </c:pt>
                <c:pt idx="7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D9C-455A-B537-80C232F796E3}"/>
            </c:ext>
          </c:extLst>
        </c:ser>
        <c:ser>
          <c:idx val="10"/>
          <c:order val="10"/>
          <c:spPr>
            <a:solidFill>
              <a:srgbClr val="E86ABB"/>
            </a:solidFill>
            <a:ln w="25400">
              <a:noFill/>
            </a:ln>
            <a:effectLst/>
          </c:spPr>
          <c:cat>
            <c:numRef>
              <c:f>案例!$A$29:$A$36</c:f>
              <c:numCache>
                <c:formatCode>General</c:formatCode>
                <c:ptCount val="8"/>
                <c:pt idx="0">
                  <c:v>0</c:v>
                </c:pt>
                <c:pt idx="1">
                  <c:v>33</c:v>
                </c:pt>
                <c:pt idx="2">
                  <c:v>33</c:v>
                </c:pt>
                <c:pt idx="3">
                  <c:v>51</c:v>
                </c:pt>
                <c:pt idx="4">
                  <c:v>51</c:v>
                </c:pt>
                <c:pt idx="5">
                  <c:v>80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案例!$L$29:$L$36</c:f>
              <c:numCache>
                <c:formatCode>General</c:formatCode>
                <c:ptCount val="8"/>
                <c:pt idx="6">
                  <c:v>0.62</c:v>
                </c:pt>
                <c:pt idx="7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9C-455A-B537-80C232F796E3}"/>
            </c:ext>
          </c:extLst>
        </c:ser>
        <c:ser>
          <c:idx val="11"/>
          <c:order val="11"/>
          <c:spPr>
            <a:solidFill>
              <a:srgbClr val="F09AD1"/>
            </a:solidFill>
            <a:ln w="25400">
              <a:noFill/>
            </a:ln>
            <a:effectLst/>
          </c:spPr>
          <c:cat>
            <c:numRef>
              <c:f>案例!$A$29:$A$36</c:f>
              <c:numCache>
                <c:formatCode>General</c:formatCode>
                <c:ptCount val="8"/>
                <c:pt idx="0">
                  <c:v>0</c:v>
                </c:pt>
                <c:pt idx="1">
                  <c:v>33</c:v>
                </c:pt>
                <c:pt idx="2">
                  <c:v>33</c:v>
                </c:pt>
                <c:pt idx="3">
                  <c:v>51</c:v>
                </c:pt>
                <c:pt idx="4">
                  <c:v>51</c:v>
                </c:pt>
                <c:pt idx="5">
                  <c:v>80</c:v>
                </c:pt>
                <c:pt idx="6">
                  <c:v>80</c:v>
                </c:pt>
                <c:pt idx="7">
                  <c:v>100</c:v>
                </c:pt>
              </c:numCache>
            </c:numRef>
          </c:cat>
          <c:val>
            <c:numRef>
              <c:f>案例!$M$29:$M$36</c:f>
              <c:numCache>
                <c:formatCode>General</c:formatCode>
                <c:ptCount val="8"/>
                <c:pt idx="6">
                  <c:v>0.18</c:v>
                </c:pt>
                <c:pt idx="7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D9C-455A-B537-80C232F79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49632"/>
        <c:axId val="132928256"/>
      </c:areaChart>
      <c:scatterChart>
        <c:scatterStyle val="lineMarker"/>
        <c:varyColors val="0"/>
        <c:ser>
          <c:idx val="12"/>
          <c:order val="12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strRef>
                  <c:f>[1]郑晓芬工作室!$B$4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{03C88941-4BE9-421D-9837-28DD3F934E55}</c15:txfldGUID>
                      <c15:f>[1]郑晓芬工作室!$B$4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1D9C-455A-B537-80C232F796E3}"/>
                </c:ext>
              </c:extLst>
            </c:dLbl>
            <c:dLbl>
              <c:idx val="1"/>
              <c:tx>
                <c:strRef>
                  <c:f>[1]郑晓芬工作室!$C$4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{B2601232-45D7-46C2-8AA9-A01E8E0EA7ED}</c15:txfldGUID>
                      <c15:f>[1]郑晓芬工作室!$C$4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1D9C-455A-B537-80C232F796E3}"/>
                </c:ext>
              </c:extLst>
            </c:dLbl>
            <c:dLbl>
              <c:idx val="2"/>
              <c:tx>
                <c:strRef>
                  <c:f>[1]郑晓芬工作室!$D$4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{A6F843D8-89B2-4DDE-9DBB-6822A37FCED6}</c15:txfldGUID>
                      <c15:f>[1]郑晓芬工作室!$D$4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1D9C-455A-B537-80C232F796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案例!$A$17:$A$19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案例!$B$17:$B$19</c:f>
              <c:numCache>
                <c:formatCode>General</c:formatCode>
                <c:ptCount val="3"/>
                <c:pt idx="0">
                  <c:v>0.17</c:v>
                </c:pt>
                <c:pt idx="1">
                  <c:v>0.84000000000000008</c:v>
                </c:pt>
                <c:pt idx="2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D9C-455A-B537-80C232F796E3}"/>
            </c:ext>
          </c:extLst>
        </c:ser>
        <c:ser>
          <c:idx val="13"/>
          <c:order val="13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strRef>
                  <c:f>[1]郑晓芬工作室!$A$10:$B$10</c:f>
                  <c:strCache>
                    <c:ptCount val="1"/>
                    <c:pt idx="0">
                      <c:v>#REF! 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{A8D9596E-078F-4D01-973D-9884C3210B8D}</c15:txfldGUID>
                      <c15:f>[1]郑晓芬工作室!$A$10:$B$10</c15:f>
                      <c15:dlblFieldTableCache>
                        <c:ptCount val="1"/>
                        <c:pt idx="0">
                          <c:v>#REF! 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1D9C-455A-B537-80C232F796E3}"/>
                </c:ext>
              </c:extLst>
            </c:dLbl>
            <c:dLbl>
              <c:idx val="1"/>
              <c:tx>
                <c:strRef>
                  <c:f>[1]郑晓芬工作室!$A$11:$B$11</c:f>
                  <c:strCache>
                    <c:ptCount val="1"/>
                    <c:pt idx="0">
                      <c:v>#REF! 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{DC699C33-1CF4-45F6-94F1-B72AEADE4DBB}</c15:txfldGUID>
                      <c15:f>[1]郑晓芬工作室!$A$11:$B$11</c15:f>
                      <c15:dlblFieldTableCache>
                        <c:ptCount val="1"/>
                        <c:pt idx="0">
                          <c:v>#REF! 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1D9C-455A-B537-80C232F796E3}"/>
                </c:ext>
              </c:extLst>
            </c:dLbl>
            <c:dLbl>
              <c:idx val="2"/>
              <c:tx>
                <c:strRef>
                  <c:f>[1]郑晓芬工作室!$A$12:$B$12</c:f>
                  <c:strCache>
                    <c:ptCount val="1"/>
                    <c:pt idx="0">
                      <c:v>#REF! 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{0AE8FFF9-3FB3-4AC1-8123-AB4D863A0C57}</c15:txfldGUID>
                      <c15:f>[1]郑晓芬工作室!$A$12:$B$12</c15:f>
                      <c15:dlblFieldTableCache>
                        <c:ptCount val="1"/>
                        <c:pt idx="0">
                          <c:v>#REF! 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1D9C-455A-B537-80C232F796E3}"/>
                </c:ext>
              </c:extLst>
            </c:dLbl>
            <c:dLbl>
              <c:idx val="3"/>
              <c:tx>
                <c:strRef>
                  <c:f>[1]郑晓芬工作室!$A$13:$B$13</c:f>
                  <c:strCache>
                    <c:ptCount val="1"/>
                    <c:pt idx="0">
                      <c:v>#REF! #REF!</c:v>
                    </c:pt>
                  </c:strCache>
                </c:strRef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{EA245054-0C50-4133-A8B1-11B1C358BB14}</c15:txfldGUID>
                      <c15:f>[1]郑晓芬工作室!$A$13:$B$13</c15:f>
                      <c15:dlblFieldTableCache>
                        <c:ptCount val="1"/>
                        <c:pt idx="0">
                          <c:v>#REF! 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1D9C-455A-B537-80C232F796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案例!$A$22:$A$25</c:f>
              <c:numCache>
                <c:formatCode>General</c:formatCode>
                <c:ptCount val="4"/>
                <c:pt idx="0">
                  <c:v>24</c:v>
                </c:pt>
                <c:pt idx="1">
                  <c:v>42</c:v>
                </c:pt>
                <c:pt idx="2">
                  <c:v>71</c:v>
                </c:pt>
                <c:pt idx="3">
                  <c:v>91</c:v>
                </c:pt>
              </c:numCache>
            </c:numRef>
          </c:xVal>
          <c:yVal>
            <c:numRef>
              <c:f>案例!$B$22:$B$25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D9C-455A-B537-80C232F796E3}"/>
            </c:ext>
          </c:extLst>
        </c:ser>
        <c:ser>
          <c:idx val="14"/>
          <c:order val="14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strRef>
                  <c:f>[1]郑晓芬工作室!$B$5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{72CDDCFA-42BA-4A1A-9547-5938822ED3B3}</c15:txfldGUID>
                      <c15:f>[1]郑晓芬工作室!$B$5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1D9C-455A-B537-80C232F796E3}"/>
                </c:ext>
              </c:extLst>
            </c:dLbl>
            <c:dLbl>
              <c:idx val="1"/>
              <c:tx>
                <c:strRef>
                  <c:f>[1]郑晓芬工作室!$C$5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{F275E1A5-2992-43FD-817C-F4BBD128045B}</c15:txfldGUID>
                      <c15:f>[1]郑晓芬工作室!$C$5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1D9C-455A-B537-80C232F796E3}"/>
                </c:ext>
              </c:extLst>
            </c:dLbl>
            <c:dLbl>
              <c:idx val="2"/>
              <c:tx>
                <c:strRef>
                  <c:f>[1]郑晓芬工作室!$D$5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{A8C0D14E-C875-4DAF-95FB-093B6D875C54}</c15:txfldGUID>
                      <c15:f>[1]郑晓芬工作室!$D$5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1D9C-455A-B537-80C232F796E3}"/>
                </c:ext>
              </c:extLst>
            </c:dLbl>
            <c:dLbl>
              <c:idx val="3"/>
              <c:tx>
                <c:strRef>
                  <c:f>[1]郑晓芬工作室!$B$6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{42A27E1B-2757-4277-B00F-B2CF9BB699B5}</c15:txfldGUID>
                      <c15:f>[1]郑晓芬工作室!$B$6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1D9C-455A-B537-80C232F796E3}"/>
                </c:ext>
              </c:extLst>
            </c:dLbl>
            <c:dLbl>
              <c:idx val="4"/>
              <c:tx>
                <c:strRef>
                  <c:f>[1]郑晓芬工作室!$C$6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{DFB01C32-1504-47D9-B24F-F468DC7EE764}</c15:txfldGUID>
                      <c15:f>[1]郑晓芬工作室!$C$6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1D9C-455A-B537-80C232F796E3}"/>
                </c:ext>
              </c:extLst>
            </c:dLbl>
            <c:dLbl>
              <c:idx val="5"/>
              <c:tx>
                <c:strRef>
                  <c:f>[1]郑晓芬工作室!$D$6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{266E6281-8B6D-4C19-AC1D-722B6C908ED5}</c15:txfldGUID>
                      <c15:f>[1]郑晓芬工作室!$D$6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1D9C-455A-B537-80C232F796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案例!$A$40:$A$45</c:f>
              <c:numCache>
                <c:formatCode>General</c:formatCode>
                <c:ptCount val="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</c:numCache>
            </c:numRef>
          </c:xVal>
          <c:yVal>
            <c:numRef>
              <c:f>案例!$B$40:$B$45</c:f>
              <c:numCache>
                <c:formatCode>General</c:formatCode>
                <c:ptCount val="6"/>
                <c:pt idx="0">
                  <c:v>0.17</c:v>
                </c:pt>
                <c:pt idx="1">
                  <c:v>0.84000000000000008</c:v>
                </c:pt>
                <c:pt idx="2">
                  <c:v>0.97</c:v>
                </c:pt>
                <c:pt idx="3">
                  <c:v>7.0000000000000007E-2</c:v>
                </c:pt>
                <c:pt idx="4">
                  <c:v>0.57999999999999996</c:v>
                </c:pt>
                <c:pt idx="5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D9C-455A-B537-80C232F796E3}"/>
            </c:ext>
          </c:extLst>
        </c:ser>
        <c:ser>
          <c:idx val="15"/>
          <c:order val="15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strRef>
                  <c:f>[1]郑晓芬工作室!$B$7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{4994D562-F4D5-4009-B98B-19D3DBFA002D}</c15:txfldGUID>
                      <c15:f>[1]郑晓芬工作室!$B$7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1D9C-455A-B537-80C232F796E3}"/>
                </c:ext>
              </c:extLst>
            </c:dLbl>
            <c:dLbl>
              <c:idx val="1"/>
              <c:tx>
                <c:strRef>
                  <c:f>[1]郑晓芬工作室!$C$7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{F8E31547-8C4B-4BB4-9268-75991AC8FA74}</c15:txfldGUID>
                      <c15:f>[1]郑晓芬工作室!$C$7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1D9C-455A-B537-80C232F796E3}"/>
                </c:ext>
              </c:extLst>
            </c:dLbl>
            <c:dLbl>
              <c:idx val="2"/>
              <c:tx>
                <c:strRef>
                  <c:f>[1]郑晓芬工作室!$D$7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{B7EA84BA-5989-4376-A50B-654FC399383D}</c15:txfldGUID>
                      <c15:f>[1]郑晓芬工作室!$D$7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1D9C-455A-B537-80C232F796E3}"/>
                </c:ext>
              </c:extLst>
            </c:dLbl>
            <c:dLbl>
              <c:idx val="3"/>
              <c:tx>
                <c:strRef>
                  <c:f>[1]郑晓芬工作室!$B$8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{D543A579-E73F-4D6E-A391-BA73348C0734}</c15:txfldGUID>
                      <c15:f>[1]郑晓芬工作室!$B$8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1D9C-455A-B537-80C232F796E3}"/>
                </c:ext>
              </c:extLst>
            </c:dLbl>
            <c:dLbl>
              <c:idx val="4"/>
              <c:tx>
                <c:strRef>
                  <c:f>[1]郑晓芬工作室!$C$8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{51181BCD-F6D8-4397-959F-CD73FE3342DB}</c15:txfldGUID>
                      <c15:f>[1]郑晓芬工作室!$C$8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1D9C-455A-B537-80C232F796E3}"/>
                </c:ext>
              </c:extLst>
            </c:dLbl>
            <c:dLbl>
              <c:idx val="5"/>
              <c:tx>
                <c:strRef>
                  <c:f>[1]郑晓芬工作室!$D$8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{5E56A7DC-33FC-4E2E-897F-6814AA4557A5}</c15:txfldGUID>
                      <c15:f>[1]郑晓芬工作室!$D$8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1D9C-455A-B537-80C232F796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案例!$A$46:$A$51</c:f>
              <c:numCache>
                <c:formatCode>General</c:formatCode>
                <c:ptCount val="6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102</c:v>
                </c:pt>
                <c:pt idx="4">
                  <c:v>102</c:v>
                </c:pt>
                <c:pt idx="5">
                  <c:v>102</c:v>
                </c:pt>
              </c:numCache>
            </c:numRef>
          </c:xVal>
          <c:yVal>
            <c:numRef>
              <c:f>案例!$B$46:$B$51</c:f>
              <c:numCache>
                <c:formatCode>General</c:formatCode>
                <c:ptCount val="6"/>
                <c:pt idx="0">
                  <c:v>0.17</c:v>
                </c:pt>
                <c:pt idx="1">
                  <c:v>0.77</c:v>
                </c:pt>
                <c:pt idx="2">
                  <c:v>0.97</c:v>
                </c:pt>
                <c:pt idx="3">
                  <c:v>0.17</c:v>
                </c:pt>
                <c:pt idx="4">
                  <c:v>0.79</c:v>
                </c:pt>
                <c:pt idx="5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1D9C-455A-B537-80C232F79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49632"/>
        <c:axId val="132928256"/>
      </c:scatterChart>
      <c:dateAx>
        <c:axId val="132549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2928256"/>
        <c:crosses val="autoZero"/>
        <c:auto val="0"/>
        <c:lblOffset val="100"/>
        <c:baseTimeUnit val="days"/>
      </c:dateAx>
      <c:valAx>
        <c:axId val="132928256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3254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85724</xdr:colOff>
      <xdr:row>8</xdr:row>
      <xdr:rowOff>76200</xdr:rowOff>
    </xdr:from>
    <xdr:to>
      <xdr:col>15</xdr:col>
      <xdr:colOff>0</xdr:colOff>
      <xdr:row>24</xdr:row>
      <xdr:rowOff>142876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</xdr:row>
      <xdr:rowOff>47625</xdr:rowOff>
    </xdr:from>
    <xdr:to>
      <xdr:col>12</xdr:col>
      <xdr:colOff>323850</xdr:colOff>
      <xdr:row>7</xdr:row>
      <xdr:rowOff>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543550" y="676275"/>
          <a:ext cx="300990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000">
              <a:solidFill>
                <a:schemeClr val="tx1">
                  <a:lumMod val="65000"/>
                  <a:lumOff val="35000"/>
                </a:schemeClr>
              </a:solidFill>
              <a:latin typeface="造字工房悦圆演示版常规体" pitchFamily="50" charset="-122"/>
              <a:ea typeface="造字工房悦圆演示版常规体" pitchFamily="50" charset="-122"/>
            </a:rPr>
            <a:t>一季度销售占比领先</a:t>
          </a:r>
        </a:p>
      </xdr:txBody>
    </xdr:sp>
    <xdr:clientData/>
  </xdr:twoCellAnchor>
  <xdr:twoCellAnchor>
    <xdr:from>
      <xdr:col>8</xdr:col>
      <xdr:colOff>38099</xdr:colOff>
      <xdr:row>5</xdr:row>
      <xdr:rowOff>142875</xdr:rowOff>
    </xdr:from>
    <xdr:to>
      <xdr:col>12</xdr:col>
      <xdr:colOff>409574</xdr:colOff>
      <xdr:row>7</xdr:row>
      <xdr:rowOff>152400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523865" y="1190625"/>
          <a:ext cx="31146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900">
              <a:solidFill>
                <a:schemeClr val="tx1">
                  <a:lumMod val="65000"/>
                  <a:lumOff val="35000"/>
                </a:schemeClr>
              </a:solidFill>
              <a:latin typeface="造字工房悦圆演示版常规体" pitchFamily="50" charset="-122"/>
              <a:ea typeface="造字工房悦圆演示版常规体" pitchFamily="50" charset="-122"/>
            </a:rPr>
            <a:t>其中季节性小周占比存在间隔升降</a:t>
          </a:r>
          <a:endParaRPr lang="en-US" altLang="zh-CN" sz="900">
            <a:solidFill>
              <a:schemeClr val="tx1">
                <a:lumMod val="65000"/>
                <a:lumOff val="35000"/>
              </a:schemeClr>
            </a:solidFill>
            <a:latin typeface="造字工房悦圆演示版常规体" pitchFamily="50" charset="-122"/>
            <a:ea typeface="造字工房悦圆演示版常规体" pitchFamily="50" charset="-122"/>
          </a:endParaRPr>
        </a:p>
      </xdr:txBody>
    </xdr:sp>
    <xdr:clientData/>
  </xdr:twoCellAnchor>
  <xdr:twoCellAnchor>
    <xdr:from>
      <xdr:col>8</xdr:col>
      <xdr:colOff>38100</xdr:colOff>
      <xdr:row>6</xdr:row>
      <xdr:rowOff>152400</xdr:rowOff>
    </xdr:from>
    <xdr:to>
      <xdr:col>12</xdr:col>
      <xdr:colOff>304800</xdr:colOff>
      <xdr:row>9</xdr:row>
      <xdr:rowOff>9525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524500" y="1409700"/>
          <a:ext cx="3009900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900">
              <a:solidFill>
                <a:schemeClr val="tx1">
                  <a:lumMod val="65000"/>
                  <a:lumOff val="35000"/>
                </a:schemeClr>
              </a:solidFill>
              <a:latin typeface="造字工房悦圆演示版常规体" pitchFamily="50" charset="-122"/>
              <a:ea typeface="造字工房悦圆演示版常规体" pitchFamily="50" charset="-122"/>
            </a:rPr>
            <a:t>400-1000</a:t>
          </a:r>
          <a:r>
            <a:rPr lang="zh-CN" altLang="en-US" sz="900">
              <a:solidFill>
                <a:schemeClr val="tx1">
                  <a:lumMod val="65000"/>
                  <a:lumOff val="35000"/>
                </a:schemeClr>
              </a:solidFill>
              <a:latin typeface="造字工房悦圆演示版常规体" pitchFamily="50" charset="-122"/>
              <a:ea typeface="造字工房悦圆演示版常规体" pitchFamily="50" charset="-122"/>
            </a:rPr>
            <a:t>区间销量明显较多</a:t>
          </a:r>
        </a:p>
      </xdr:txBody>
    </xdr:sp>
    <xdr:clientData/>
  </xdr:twoCellAnchor>
  <xdr:twoCellAnchor>
    <xdr:from>
      <xdr:col>12</xdr:col>
      <xdr:colOff>104775</xdr:colOff>
      <xdr:row>3</xdr:row>
      <xdr:rowOff>0</xdr:rowOff>
    </xdr:from>
    <xdr:to>
      <xdr:col>15</xdr:col>
      <xdr:colOff>0</xdr:colOff>
      <xdr:row>4</xdr:row>
      <xdr:rowOff>19050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7836834" y="571500"/>
          <a:ext cx="1419225" cy="209550"/>
          <a:chOff x="10753724" y="2419350"/>
          <a:chExt cx="2790825" cy="304800"/>
        </a:xfrm>
      </xdr:grpSpPr>
      <xdr:sp macro="" textlink="">
        <xdr:nvSpPr>
          <xdr:cNvPr id="7" name="梯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0753724" y="2419350"/>
            <a:ext cx="1552575" cy="304800"/>
          </a:xfrm>
          <a:prstGeom prst="trapezoid">
            <a:avLst>
              <a:gd name="adj" fmla="val 69737"/>
            </a:avLst>
          </a:prstGeom>
          <a:solidFill>
            <a:srgbClr val="8498D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8" name="梯形 1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2201524" y="2419350"/>
            <a:ext cx="1343025" cy="304800"/>
          </a:xfrm>
          <a:custGeom>
            <a:avLst/>
            <a:gdLst>
              <a:gd name="connsiteX0" fmla="*/ 0 w 1552575"/>
              <a:gd name="connsiteY0" fmla="*/ 304800 h 304800"/>
              <a:gd name="connsiteX1" fmla="*/ 212558 w 1552575"/>
              <a:gd name="connsiteY1" fmla="*/ 0 h 304800"/>
              <a:gd name="connsiteX2" fmla="*/ 1340017 w 1552575"/>
              <a:gd name="connsiteY2" fmla="*/ 0 h 304800"/>
              <a:gd name="connsiteX3" fmla="*/ 1552575 w 1552575"/>
              <a:gd name="connsiteY3" fmla="*/ 304800 h 304800"/>
              <a:gd name="connsiteX4" fmla="*/ 0 w 1552575"/>
              <a:gd name="connsiteY4" fmla="*/ 304800 h 304800"/>
              <a:gd name="connsiteX0-1" fmla="*/ 0 w 1362075"/>
              <a:gd name="connsiteY0-2" fmla="*/ 304800 h 304800"/>
              <a:gd name="connsiteX1-3" fmla="*/ 212558 w 1362075"/>
              <a:gd name="connsiteY1-4" fmla="*/ 0 h 304800"/>
              <a:gd name="connsiteX2-5" fmla="*/ 1340017 w 1362075"/>
              <a:gd name="connsiteY2-6" fmla="*/ 0 h 304800"/>
              <a:gd name="connsiteX3-7" fmla="*/ 1362075 w 1362075"/>
              <a:gd name="connsiteY3-8" fmla="*/ 295275 h 304800"/>
              <a:gd name="connsiteX4-9" fmla="*/ 0 w 1362075"/>
              <a:gd name="connsiteY4-10" fmla="*/ 304800 h 304800"/>
              <a:gd name="connsiteX0-11" fmla="*/ 0 w 1343025"/>
              <a:gd name="connsiteY0-12" fmla="*/ 304800 h 304800"/>
              <a:gd name="connsiteX1-13" fmla="*/ 212558 w 1343025"/>
              <a:gd name="connsiteY1-14" fmla="*/ 0 h 304800"/>
              <a:gd name="connsiteX2-15" fmla="*/ 1340017 w 1343025"/>
              <a:gd name="connsiteY2-16" fmla="*/ 0 h 304800"/>
              <a:gd name="connsiteX3-17" fmla="*/ 1343025 w 1343025"/>
              <a:gd name="connsiteY3-18" fmla="*/ 295275 h 304800"/>
              <a:gd name="connsiteX4-19" fmla="*/ 0 w 1343025"/>
              <a:gd name="connsiteY4-20" fmla="*/ 304800 h 304800"/>
            </a:gdLst>
            <a:ahLst/>
            <a:cxnLst>
              <a:cxn ang="0">
                <a:pos x="connsiteX0-1" y="connsiteY0-2"/>
              </a:cxn>
              <a:cxn ang="0">
                <a:pos x="connsiteX1-3" y="connsiteY1-4"/>
              </a:cxn>
              <a:cxn ang="0">
                <a:pos x="connsiteX2-5" y="connsiteY2-6"/>
              </a:cxn>
              <a:cxn ang="0">
                <a:pos x="connsiteX3-7" y="connsiteY3-8"/>
              </a:cxn>
              <a:cxn ang="0">
                <a:pos x="connsiteX4-9" y="connsiteY4-10"/>
              </a:cxn>
            </a:cxnLst>
            <a:rect l="l" t="t" r="r" b="b"/>
            <a:pathLst>
              <a:path w="1343025" h="304800">
                <a:moveTo>
                  <a:pt x="0" y="304800"/>
                </a:moveTo>
                <a:lnTo>
                  <a:pt x="212558" y="0"/>
                </a:lnTo>
                <a:lnTo>
                  <a:pt x="1340017" y="0"/>
                </a:lnTo>
                <a:cubicBezTo>
                  <a:pt x="1341020" y="98425"/>
                  <a:pt x="1342022" y="196850"/>
                  <a:pt x="1343025" y="295275"/>
                </a:cubicBezTo>
                <a:lnTo>
                  <a:pt x="0" y="304800"/>
                </a:lnTo>
                <a:close/>
              </a:path>
            </a:pathLst>
          </a:custGeom>
          <a:solidFill>
            <a:srgbClr val="8498D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11</xdr:col>
      <xdr:colOff>640556</xdr:colOff>
      <xdr:row>3</xdr:row>
      <xdr:rowOff>60722</xdr:rowOff>
    </xdr:from>
    <xdr:to>
      <xdr:col>12</xdr:col>
      <xdr:colOff>148827</xdr:colOff>
      <xdr:row>4</xdr:row>
      <xdr:rowOff>55811</xdr:rowOff>
    </xdr:to>
    <xdr:sp macro="" textlink="">
      <xdr:nvSpPr>
        <xdr:cNvPr id="9" name="等腰三角形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flipV="1">
          <a:off x="8183880" y="688975"/>
          <a:ext cx="194310" cy="204470"/>
        </a:xfrm>
        <a:prstGeom prst="triangle">
          <a:avLst/>
        </a:prstGeom>
        <a:solidFill>
          <a:srgbClr val="8498D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Q51"/>
  <sheetViews>
    <sheetView showGridLines="0" tabSelected="1" zoomScale="85" zoomScaleNormal="85" workbookViewId="0">
      <selection activeCell="E21" sqref="E21"/>
    </sheetView>
  </sheetViews>
  <sheetFormatPr defaultColWidth="9" defaultRowHeight="15" x14ac:dyDescent="0.4"/>
  <cols>
    <col min="1" max="1" width="9" style="1" customWidth="1"/>
    <col min="2" max="14" width="9" style="1"/>
    <col min="15" max="15" width="3.265625" style="1" customWidth="1"/>
    <col min="16" max="16" width="9" style="1"/>
    <col min="17" max="20" width="2.59765625" style="1" customWidth="1"/>
    <col min="21" max="16384" width="9" style="1"/>
  </cols>
  <sheetData>
    <row r="1" spans="1:17" x14ac:dyDescent="0.4">
      <c r="B1" s="2"/>
    </row>
    <row r="2" spans="1:17" x14ac:dyDescent="0.4">
      <c r="B2" s="2"/>
    </row>
    <row r="4" spans="1:17" x14ac:dyDescent="0.4">
      <c r="A4" s="3"/>
      <c r="B4" s="3" t="s">
        <v>0</v>
      </c>
      <c r="C4" s="4" t="s">
        <v>1</v>
      </c>
      <c r="D4" s="4" t="s">
        <v>2</v>
      </c>
      <c r="E4" s="5" t="s">
        <v>3</v>
      </c>
      <c r="F4" s="5" t="s">
        <v>4</v>
      </c>
      <c r="I4" s="9"/>
      <c r="J4" s="9"/>
      <c r="K4" s="9"/>
      <c r="L4" s="9"/>
      <c r="M4" s="9"/>
      <c r="N4" s="9"/>
      <c r="O4" s="9"/>
      <c r="Q4" s="11" t="s">
        <v>5</v>
      </c>
    </row>
    <row r="5" spans="1:17" x14ac:dyDescent="0.4">
      <c r="A5" s="6" t="s">
        <v>6</v>
      </c>
      <c r="B5" s="7">
        <v>0.2</v>
      </c>
      <c r="C5" s="7">
        <v>0.67</v>
      </c>
      <c r="D5" s="7">
        <v>0.13</v>
      </c>
      <c r="E5" s="7">
        <v>0.33</v>
      </c>
      <c r="F5" s="7">
        <f>SUM(E$5:E5)</f>
        <v>0.33</v>
      </c>
      <c r="I5" s="9"/>
      <c r="J5" s="9"/>
      <c r="K5" s="9"/>
      <c r="L5" s="9"/>
      <c r="M5" s="9"/>
      <c r="N5" s="9"/>
      <c r="O5" s="9"/>
      <c r="Q5" s="11" t="s">
        <v>7</v>
      </c>
    </row>
    <row r="6" spans="1:17" x14ac:dyDescent="0.4">
      <c r="A6" s="6" t="s">
        <v>8</v>
      </c>
      <c r="B6" s="7">
        <v>0.1</v>
      </c>
      <c r="C6" s="7">
        <v>0.51</v>
      </c>
      <c r="D6" s="7">
        <v>0.39</v>
      </c>
      <c r="E6" s="7">
        <v>0.18</v>
      </c>
      <c r="F6" s="7">
        <f>SUM(E$5:E6)</f>
        <v>0.51</v>
      </c>
      <c r="I6" s="9"/>
      <c r="J6" s="9"/>
      <c r="K6" s="9"/>
      <c r="L6" s="9"/>
      <c r="M6" s="9"/>
      <c r="N6" s="9"/>
      <c r="O6" s="9"/>
      <c r="Q6" s="11" t="s">
        <v>9</v>
      </c>
    </row>
    <row r="7" spans="1:17" x14ac:dyDescent="0.4">
      <c r="A7" s="6" t="s">
        <v>10</v>
      </c>
      <c r="B7" s="7">
        <v>0.2</v>
      </c>
      <c r="C7" s="7">
        <v>0.6</v>
      </c>
      <c r="D7" s="7">
        <v>0.2</v>
      </c>
      <c r="E7" s="7">
        <v>0.28999999999999998</v>
      </c>
      <c r="F7" s="7">
        <f>SUM(E$5:E7)</f>
        <v>0.8</v>
      </c>
      <c r="I7" s="9"/>
      <c r="J7" s="9"/>
      <c r="K7" s="9"/>
      <c r="L7" s="9"/>
      <c r="M7" s="9"/>
      <c r="N7" s="9"/>
      <c r="O7" s="9"/>
      <c r="Q7" s="11" t="s">
        <v>11</v>
      </c>
    </row>
    <row r="8" spans="1:17" x14ac:dyDescent="0.4">
      <c r="A8" s="6" t="s">
        <v>12</v>
      </c>
      <c r="B8" s="7">
        <v>0.2</v>
      </c>
      <c r="C8" s="7">
        <v>0.62</v>
      </c>
      <c r="D8" s="7">
        <v>0.18</v>
      </c>
      <c r="E8" s="7">
        <v>0.2</v>
      </c>
      <c r="F8" s="7">
        <f>SUM(E$5:E8)</f>
        <v>1</v>
      </c>
      <c r="I8" s="9"/>
      <c r="J8" s="9"/>
      <c r="K8" s="9"/>
      <c r="L8" s="9"/>
      <c r="M8" s="9"/>
      <c r="N8" s="9"/>
      <c r="O8" s="9"/>
      <c r="Q8" s="12"/>
    </row>
    <row r="9" spans="1:17" x14ac:dyDescent="0.4">
      <c r="I9" s="9"/>
      <c r="J9" s="9"/>
      <c r="K9" s="9"/>
      <c r="L9" s="9"/>
      <c r="M9" s="9"/>
      <c r="N9" s="9"/>
      <c r="O9" s="9"/>
      <c r="Q9" s="12"/>
    </row>
    <row r="10" spans="1:17" x14ac:dyDescent="0.4">
      <c r="A10" s="6" t="str">
        <f t="shared" ref="A10:A13" si="0">A5</f>
        <v>一季度</v>
      </c>
      <c r="B10" s="7">
        <f t="shared" ref="B10:B13" si="1">E5</f>
        <v>0.33</v>
      </c>
      <c r="I10" s="9"/>
      <c r="J10" s="9"/>
      <c r="K10" s="9"/>
      <c r="L10" s="9"/>
      <c r="M10" s="9"/>
      <c r="N10" s="9"/>
      <c r="O10" s="9"/>
      <c r="Q10" s="12"/>
    </row>
    <row r="11" spans="1:17" x14ac:dyDescent="0.4">
      <c r="A11" s="6" t="str">
        <f t="shared" si="0"/>
        <v>二季度</v>
      </c>
      <c r="B11" s="7">
        <f t="shared" si="1"/>
        <v>0.18</v>
      </c>
      <c r="I11" s="9"/>
      <c r="J11" s="9"/>
      <c r="K11" s="9"/>
      <c r="L11" s="9"/>
      <c r="M11" s="9"/>
      <c r="N11" s="9"/>
      <c r="O11" s="9"/>
      <c r="Q11" s="12"/>
    </row>
    <row r="12" spans="1:17" x14ac:dyDescent="0.4">
      <c r="A12" s="6" t="str">
        <f t="shared" si="0"/>
        <v>三季度</v>
      </c>
      <c r="B12" s="7">
        <f t="shared" si="1"/>
        <v>0.28999999999999998</v>
      </c>
      <c r="I12" s="9"/>
      <c r="J12" s="9"/>
      <c r="K12" s="9"/>
      <c r="L12" s="9"/>
      <c r="M12" s="9"/>
      <c r="N12" s="9"/>
      <c r="O12" s="9"/>
    </row>
    <row r="13" spans="1:17" x14ac:dyDescent="0.4">
      <c r="A13" s="6" t="str">
        <f t="shared" si="0"/>
        <v>四季度</v>
      </c>
      <c r="B13" s="7">
        <f t="shared" si="1"/>
        <v>0.2</v>
      </c>
      <c r="I13" s="9"/>
      <c r="J13" s="9"/>
      <c r="K13" s="9"/>
      <c r="L13" s="9"/>
      <c r="M13" s="9"/>
      <c r="N13" s="9"/>
      <c r="O13" s="9"/>
    </row>
    <row r="14" spans="1:17" x14ac:dyDescent="0.4">
      <c r="I14" s="9"/>
      <c r="J14" s="9"/>
      <c r="K14" s="9"/>
      <c r="L14" s="9"/>
      <c r="M14" s="9"/>
      <c r="N14" s="9"/>
      <c r="O14" s="9"/>
    </row>
    <row r="15" spans="1:17" x14ac:dyDescent="0.4">
      <c r="A15" s="6" t="s">
        <v>13</v>
      </c>
      <c r="I15" s="9"/>
      <c r="J15" s="9"/>
      <c r="K15" s="9"/>
      <c r="L15" s="9"/>
      <c r="M15" s="9"/>
      <c r="N15" s="9"/>
      <c r="O15" s="9"/>
    </row>
    <row r="16" spans="1:17" x14ac:dyDescent="0.4">
      <c r="A16" s="6" t="s">
        <v>14</v>
      </c>
      <c r="B16" s="6" t="s">
        <v>15</v>
      </c>
      <c r="I16" s="9"/>
      <c r="J16" s="9"/>
      <c r="K16" s="9"/>
      <c r="L16" s="9"/>
      <c r="M16" s="9"/>
      <c r="N16" s="9"/>
      <c r="O16" s="9"/>
    </row>
    <row r="17" spans="1:15" x14ac:dyDescent="0.4">
      <c r="A17" s="1">
        <v>0</v>
      </c>
      <c r="B17" s="1">
        <f>B29-0.03</f>
        <v>0.17</v>
      </c>
      <c r="I17" s="9"/>
      <c r="J17" s="9"/>
      <c r="K17" s="9"/>
      <c r="L17" s="9"/>
      <c r="M17" s="9"/>
      <c r="N17" s="9"/>
      <c r="O17" s="9"/>
    </row>
    <row r="18" spans="1:15" x14ac:dyDescent="0.4">
      <c r="A18" s="1">
        <v>0</v>
      </c>
      <c r="B18" s="1">
        <f>B29+C29-0.03</f>
        <v>0.84000000000000008</v>
      </c>
      <c r="I18" s="9"/>
      <c r="J18" s="9"/>
      <c r="K18" s="9"/>
      <c r="L18" s="9"/>
      <c r="M18" s="9"/>
      <c r="N18" s="9"/>
      <c r="O18" s="9"/>
    </row>
    <row r="19" spans="1:15" x14ac:dyDescent="0.4">
      <c r="A19" s="1">
        <v>0</v>
      </c>
      <c r="B19" s="1">
        <f>B29+C29+D29-0.03</f>
        <v>0.97</v>
      </c>
      <c r="I19" s="9"/>
      <c r="J19" s="9"/>
      <c r="K19" s="9"/>
      <c r="L19" s="9"/>
      <c r="M19" s="9"/>
      <c r="N19" s="9"/>
      <c r="O19" s="9"/>
    </row>
    <row r="20" spans="1:15" x14ac:dyDescent="0.4">
      <c r="A20" s="6" t="s">
        <v>16</v>
      </c>
      <c r="I20" s="9"/>
      <c r="J20" s="9"/>
      <c r="K20" s="9"/>
      <c r="L20" s="9"/>
      <c r="M20" s="9"/>
      <c r="N20" s="9"/>
      <c r="O20" s="9"/>
    </row>
    <row r="21" spans="1:15" x14ac:dyDescent="0.4">
      <c r="A21" s="6" t="s">
        <v>14</v>
      </c>
      <c r="B21" s="6" t="s">
        <v>15</v>
      </c>
      <c r="I21" s="9"/>
      <c r="J21" s="9"/>
      <c r="K21" s="9"/>
      <c r="L21" s="9"/>
      <c r="M21" s="9"/>
      <c r="N21" s="9"/>
      <c r="O21" s="9"/>
    </row>
    <row r="22" spans="1:15" x14ac:dyDescent="0.4">
      <c r="A22" s="8">
        <f t="shared" ref="A22:A25" si="2">F5*100-9</f>
        <v>24</v>
      </c>
      <c r="B22" s="1">
        <v>0</v>
      </c>
      <c r="I22" s="9"/>
      <c r="J22" s="9"/>
      <c r="K22" s="9"/>
      <c r="L22" s="9"/>
      <c r="M22" s="9"/>
      <c r="N22" s="9"/>
      <c r="O22" s="9"/>
    </row>
    <row r="23" spans="1:15" x14ac:dyDescent="0.4">
      <c r="A23" s="8">
        <f t="shared" si="2"/>
        <v>42</v>
      </c>
      <c r="B23" s="1">
        <v>0</v>
      </c>
      <c r="I23" s="9"/>
      <c r="J23" s="9"/>
      <c r="K23" s="9"/>
      <c r="L23" s="9"/>
      <c r="M23" s="9"/>
      <c r="N23" s="9"/>
      <c r="O23" s="9"/>
    </row>
    <row r="24" spans="1:15" x14ac:dyDescent="0.4">
      <c r="A24" s="8">
        <f t="shared" si="2"/>
        <v>71</v>
      </c>
      <c r="B24" s="1">
        <v>0</v>
      </c>
      <c r="I24" s="9"/>
      <c r="J24" s="9"/>
      <c r="K24" s="9"/>
      <c r="L24" s="9"/>
      <c r="M24" s="9"/>
      <c r="N24" s="9"/>
      <c r="O24" s="9"/>
    </row>
    <row r="25" spans="1:15" x14ac:dyDescent="0.4">
      <c r="A25" s="8">
        <f t="shared" si="2"/>
        <v>91</v>
      </c>
      <c r="B25" s="1">
        <v>0</v>
      </c>
      <c r="I25" s="9"/>
      <c r="J25" s="9"/>
      <c r="K25" s="9"/>
      <c r="L25" s="9"/>
      <c r="M25" s="9"/>
      <c r="N25" s="9"/>
      <c r="O25" s="9"/>
    </row>
    <row r="26" spans="1:15" x14ac:dyDescent="0.4">
      <c r="I26" s="9"/>
      <c r="J26" s="9"/>
      <c r="K26" s="9"/>
      <c r="L26" s="9"/>
      <c r="M26" s="9"/>
      <c r="N26" s="9"/>
      <c r="O26" s="9"/>
    </row>
    <row r="27" spans="1:15" x14ac:dyDescent="0.4">
      <c r="A27" s="6" t="s">
        <v>17</v>
      </c>
    </row>
    <row r="28" spans="1:15" x14ac:dyDescent="0.4">
      <c r="A28" s="6" t="s">
        <v>18</v>
      </c>
      <c r="I28" s="10"/>
      <c r="J28" s="10"/>
      <c r="K28" s="10"/>
      <c r="L28" s="10"/>
      <c r="M28" s="10"/>
      <c r="N28" s="10"/>
      <c r="O28" s="10"/>
    </row>
    <row r="29" spans="1:15" x14ac:dyDescent="0.4">
      <c r="A29" s="1">
        <v>0</v>
      </c>
      <c r="B29" s="1">
        <v>0.2</v>
      </c>
      <c r="C29" s="1">
        <v>0.67</v>
      </c>
      <c r="D29" s="1">
        <v>0.13</v>
      </c>
      <c r="I29" s="10"/>
      <c r="J29" s="10"/>
      <c r="K29" s="10"/>
      <c r="L29" s="10"/>
      <c r="M29" s="10"/>
      <c r="N29" s="10"/>
      <c r="O29" s="10"/>
    </row>
    <row r="30" spans="1:15" x14ac:dyDescent="0.4">
      <c r="A30" s="1">
        <v>33</v>
      </c>
      <c r="B30" s="1">
        <v>0.2</v>
      </c>
      <c r="C30" s="1">
        <v>0.67</v>
      </c>
      <c r="D30" s="1">
        <v>0.13</v>
      </c>
      <c r="I30" s="10"/>
      <c r="J30" s="10"/>
      <c r="K30" s="10"/>
      <c r="L30" s="10"/>
      <c r="M30" s="10"/>
      <c r="N30" s="10"/>
      <c r="O30" s="10"/>
    </row>
    <row r="31" spans="1:15" x14ac:dyDescent="0.4">
      <c r="A31" s="1">
        <v>33</v>
      </c>
      <c r="E31" s="1">
        <v>0.1</v>
      </c>
      <c r="F31" s="1">
        <v>0.51</v>
      </c>
      <c r="G31" s="1">
        <v>0.39</v>
      </c>
    </row>
    <row r="32" spans="1:15" x14ac:dyDescent="0.4">
      <c r="A32" s="1">
        <v>51</v>
      </c>
      <c r="E32" s="1">
        <v>0.1</v>
      </c>
      <c r="F32" s="1">
        <v>0.51</v>
      </c>
      <c r="G32" s="1">
        <v>0.39</v>
      </c>
    </row>
    <row r="33" spans="1:13" x14ac:dyDescent="0.4">
      <c r="A33" s="1">
        <v>51</v>
      </c>
      <c r="H33" s="1">
        <v>0.2</v>
      </c>
      <c r="I33" s="1">
        <v>0.6</v>
      </c>
      <c r="J33" s="1">
        <v>0.2</v>
      </c>
    </row>
    <row r="34" spans="1:13" x14ac:dyDescent="0.4">
      <c r="A34" s="1">
        <v>80</v>
      </c>
      <c r="H34" s="1">
        <v>0.2</v>
      </c>
      <c r="I34" s="1">
        <v>0.6</v>
      </c>
      <c r="J34" s="1">
        <v>0.2</v>
      </c>
    </row>
    <row r="35" spans="1:13" x14ac:dyDescent="0.4">
      <c r="A35" s="1">
        <v>80</v>
      </c>
      <c r="K35" s="1">
        <v>0.2</v>
      </c>
      <c r="L35" s="1">
        <v>0.62</v>
      </c>
      <c r="M35" s="1">
        <v>0.18</v>
      </c>
    </row>
    <row r="36" spans="1:13" x14ac:dyDescent="0.4">
      <c r="A36" s="1">
        <v>100</v>
      </c>
      <c r="K36" s="1">
        <v>0.2</v>
      </c>
      <c r="L36" s="1">
        <v>0.62</v>
      </c>
      <c r="M36" s="1">
        <v>0.18</v>
      </c>
    </row>
    <row r="38" spans="1:13" x14ac:dyDescent="0.4">
      <c r="A38" s="6" t="s">
        <v>19</v>
      </c>
    </row>
    <row r="39" spans="1:13" x14ac:dyDescent="0.4">
      <c r="A39" s="6" t="s">
        <v>14</v>
      </c>
      <c r="B39" s="6" t="s">
        <v>15</v>
      </c>
    </row>
    <row r="40" spans="1:13" x14ac:dyDescent="0.4">
      <c r="A40" s="1">
        <v>35</v>
      </c>
      <c r="B40" s="1">
        <f>B29-0.03</f>
        <v>0.17</v>
      </c>
    </row>
    <row r="41" spans="1:13" x14ac:dyDescent="0.4">
      <c r="A41" s="1">
        <v>35</v>
      </c>
      <c r="B41" s="1">
        <f>B29+C29-0.03</f>
        <v>0.84000000000000008</v>
      </c>
    </row>
    <row r="42" spans="1:13" x14ac:dyDescent="0.4">
      <c r="A42" s="1">
        <v>35</v>
      </c>
      <c r="B42" s="1">
        <f>B30+C30+D30-0.03</f>
        <v>0.97</v>
      </c>
    </row>
    <row r="43" spans="1:13" x14ac:dyDescent="0.4">
      <c r="A43" s="1">
        <v>53</v>
      </c>
      <c r="B43" s="1">
        <f>E31-0.03</f>
        <v>7.0000000000000007E-2</v>
      </c>
    </row>
    <row r="44" spans="1:13" ht="15.75" customHeight="1" x14ac:dyDescent="0.4">
      <c r="A44" s="1">
        <v>53</v>
      </c>
      <c r="B44" s="1">
        <f>E31+F31-0.03</f>
        <v>0.57999999999999996</v>
      </c>
    </row>
    <row r="45" spans="1:13" x14ac:dyDescent="0.4">
      <c r="A45" s="1">
        <v>53</v>
      </c>
      <c r="B45" s="1">
        <f>E31+F31+G31-0.03</f>
        <v>0.97</v>
      </c>
    </row>
    <row r="46" spans="1:13" x14ac:dyDescent="0.4">
      <c r="A46" s="1">
        <v>82</v>
      </c>
      <c r="B46" s="1">
        <f>H33-0.03</f>
        <v>0.17</v>
      </c>
    </row>
    <row r="47" spans="1:13" x14ac:dyDescent="0.4">
      <c r="A47" s="1">
        <v>82</v>
      </c>
      <c r="B47" s="1">
        <f>H33+I33-0.03</f>
        <v>0.77</v>
      </c>
    </row>
    <row r="48" spans="1:13" x14ac:dyDescent="0.4">
      <c r="A48" s="1">
        <v>82</v>
      </c>
      <c r="B48" s="1">
        <f>H34+I34+J34-0.03</f>
        <v>0.97</v>
      </c>
    </row>
    <row r="49" spans="1:2" x14ac:dyDescent="0.4">
      <c r="A49" s="1">
        <v>102</v>
      </c>
      <c r="B49" s="1">
        <f>K35-0.03</f>
        <v>0.17</v>
      </c>
    </row>
    <row r="50" spans="1:2" x14ac:dyDescent="0.4">
      <c r="A50" s="1">
        <v>102</v>
      </c>
      <c r="B50" s="1">
        <f>K35+L35-0.03</f>
        <v>0.79</v>
      </c>
    </row>
    <row r="51" spans="1:2" x14ac:dyDescent="0.4">
      <c r="A51" s="1">
        <v>102</v>
      </c>
      <c r="B51" s="1">
        <f>K36+L36+M36-0.03</f>
        <v>0.97</v>
      </c>
    </row>
  </sheetData>
  <phoneticPr fontId="6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2016-11-21T10:12:00Z</dcterms:created>
  <dcterms:modified xsi:type="dcterms:W3CDTF">2021-03-16T02:12:25Z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
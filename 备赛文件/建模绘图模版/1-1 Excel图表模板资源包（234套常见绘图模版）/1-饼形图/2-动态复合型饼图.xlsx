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1595" windowHeight="3855"/>
  </bookViews>
  <sheets>
    <sheet name="Sheet1" sheetId="4" r:id="rId1"/>
  </sheets>
  <calcPr calcId="145621" concurrentCalc="0"/>
</workbook>
</file>

<file path=xl/calcChain.xml><?xml version="1.0" encoding="utf-8"?>
<calcChain xmlns="http://schemas.openxmlformats.org/spreadsheetml/2006/main">
  <c r="H8" i="4" l="1" a="1"/>
  <c r="H8" i="4"/>
  <c r="E8" i="4"/>
  <c r="D8" i="4"/>
  <c r="C8" i="4"/>
  <c r="B8" i="4"/>
  <c r="H7" i="4" a="1"/>
  <c r="H7" i="4"/>
  <c r="B5" i="4"/>
  <c r="C5" i="4"/>
  <c r="D5" i="4"/>
  <c r="E5" i="4"/>
  <c r="B6" i="4"/>
  <c r="C6" i="4"/>
  <c r="D6" i="4"/>
  <c r="E6" i="4"/>
  <c r="B7" i="4"/>
  <c r="C7" i="4"/>
  <c r="D7" i="4"/>
  <c r="E7" i="4"/>
  <c r="I7" i="4" a="1"/>
  <c r="I7" i="4"/>
  <c r="H6" i="4" a="1"/>
  <c r="H6" i="4"/>
  <c r="I6" i="4" a="1"/>
  <c r="I6" i="4"/>
  <c r="L5" i="4" a="1"/>
  <c r="L6" i="4"/>
  <c r="L7" i="4"/>
  <c r="L8" i="4"/>
  <c r="L5" i="4"/>
  <c r="K5" i="4" a="1"/>
  <c r="K6" i="4"/>
  <c r="K7" i="4"/>
  <c r="K8" i="4"/>
  <c r="K5" i="4"/>
  <c r="H5" i="4" a="1"/>
  <c r="H5" i="4"/>
  <c r="I5" i="4" a="1"/>
  <c r="I5" i="4"/>
  <c r="G5" i="4" a="1"/>
  <c r="G6" i="4"/>
  <c r="G7" i="4"/>
  <c r="G8" i="4"/>
  <c r="G5" i="4"/>
  <c r="I8" i="4" a="1"/>
  <c r="I8" i="4"/>
  <c r="A12" i="4"/>
</calcChain>
</file>

<file path=xl/sharedStrings.xml><?xml version="1.0" encoding="utf-8"?>
<sst xmlns="http://schemas.openxmlformats.org/spreadsheetml/2006/main" count="20" uniqueCount="17">
  <si>
    <t>地区</t>
  </si>
  <si>
    <t>第一季度</t>
  </si>
  <si>
    <t>第二季度</t>
  </si>
  <si>
    <t>第三季度</t>
  </si>
  <si>
    <t>第四季度</t>
  </si>
  <si>
    <t>组合框</t>
  </si>
  <si>
    <t>名称</t>
  </si>
  <si>
    <t>数据</t>
  </si>
  <si>
    <t>东部</t>
  </si>
  <si>
    <t>西部</t>
  </si>
  <si>
    <t>北部</t>
  </si>
  <si>
    <t>南部</t>
  </si>
  <si>
    <t>选择框</t>
  </si>
  <si>
    <t>作图思路</t>
  </si>
  <si>
    <t>使用复合型饼图制作</t>
  </si>
  <si>
    <t>数据区域使用函数自动获取（可以了解一下函数）</t>
  </si>
  <si>
    <t>使用控件拉来控制数据变化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</si>
</sst>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409]mmm/yy;@"/>
  </numFmts>
  <fonts count="6">
    <font>
      <sz val="10"/>
      <color theme="1"/>
      <name val="微软雅黑"/>
      <charset val="134"/>
    </font>
    <font>
      <u/>
      <sz val="10"/>
      <color theme="10"/>
      <name val="宋体"/>
      <charset val="134"/>
      <scheme val="minor"/>
    </font>
    <font>
      <sz val="12"/>
      <color theme="0"/>
      <name val="Arial Unicode MS"/>
      <family val="2"/>
    </font>
    <font>
      <sz val="12"/>
      <name val="Arial Unicode MS"/>
      <family val="2"/>
    </font>
    <font>
      <sz val="9"/>
      <color rgb="FF000000"/>
      <name val="宋体"/>
      <family val="3"/>
      <charset val="134"/>
    </font>
    <font>
      <sz val="9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1">
      <alignment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683100423257898E-2"/>
          <c:y val="0.113781913624433"/>
          <c:w val="0.91584100636069099"/>
          <c:h val="0.85635225666721704"/>
        </c:manualLayout>
      </c:layout>
      <c:ofPieChart>
        <c:ofPieType val="pie"/>
        <c:varyColors val="1"/>
        <c:ser>
          <c:idx val="0"/>
          <c:order val="0"/>
          <c:tx>
            <c:strRef>
              <c:f>Sheet1!$I$4</c:f>
              <c:strCache>
                <c:ptCount val="1"/>
                <c:pt idx="0">
                  <c:v>数据</c:v>
                </c:pt>
              </c:strCache>
            </c:strRef>
          </c:tx>
          <c:dPt>
            <c:idx val="0"/>
            <c:bubble3D val="0"/>
            <c:spPr>
              <a:solidFill>
                <a:srgbClr val="663A77"/>
              </a:solidFill>
              <a:ln w="12700">
                <a:solidFill>
                  <a:schemeClr val="bg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D754-4DBC-8D05-4C0103AABDEC}"/>
              </c:ext>
            </c:extLst>
          </c:dPt>
          <c:dPt>
            <c:idx val="1"/>
            <c:bubble3D val="0"/>
            <c:spPr>
              <a:solidFill>
                <a:srgbClr val="FFB850"/>
              </a:solidFill>
              <a:ln w="12700">
                <a:solidFill>
                  <a:schemeClr val="bg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D754-4DBC-8D05-4C0103AABDEC}"/>
              </c:ext>
            </c:extLst>
          </c:dPt>
          <c:dPt>
            <c:idx val="2"/>
            <c:bubble3D val="0"/>
            <c:spPr>
              <a:solidFill>
                <a:srgbClr val="01ACBE"/>
              </a:solidFill>
              <a:ln w="12700">
                <a:solidFill>
                  <a:schemeClr val="bg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D754-4DBC-8D05-4C0103AABDEC}"/>
              </c:ext>
            </c:extLst>
          </c:dPt>
          <c:dPt>
            <c:idx val="3"/>
            <c:bubble3D val="0"/>
            <c:spPr>
              <a:noFill/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D754-4DBC-8D05-4C0103AABDEC}"/>
              </c:ext>
            </c:extLst>
          </c:dPt>
          <c:dPt>
            <c:idx val="4"/>
            <c:bubble3D val="0"/>
            <c:spPr>
              <a:solidFill>
                <a:srgbClr val="E87071"/>
              </a:solidFill>
              <a:ln w="12700">
                <a:solidFill>
                  <a:schemeClr val="bg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D754-4DBC-8D05-4C0103AABDEC}"/>
              </c:ext>
            </c:extLst>
          </c:dPt>
          <c:dLbls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754-4DBC-8D05-4C0103AABDEC}"/>
                </c:ext>
              </c:extLst>
            </c:dLbl>
            <c:dLbl>
              <c:idx val="4"/>
              <c:layout/>
              <c:tx>
                <c:strRef>
                  <c:f>Sheet1!$A$12</c:f>
                  <c:strCache>
                    <c:ptCount val="1"/>
                    <c:pt idx="0">
                      <c:v>第一季度
250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{F409AA98-2554-42EE-8CDE-2EF1F6116372}</c15:txfldGUID>
                      <c15:f>Sheet1!$A$12</c15:f>
                      <c15:dlblFieldTableCache>
                        <c:ptCount val="1"/>
                        <c:pt idx="0">
                          <c:v>第一季度
453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D754-4DBC-8D05-4C0103AABDEC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Sheet1!$H$5:$H$8</c:f>
              <c:strCache>
                <c:ptCount val="4"/>
                <c:pt idx="0">
                  <c:v>第二季度</c:v>
                </c:pt>
                <c:pt idx="1">
                  <c:v>第三季度</c:v>
                </c:pt>
                <c:pt idx="2">
                  <c:v>第四季度</c:v>
                </c:pt>
                <c:pt idx="3">
                  <c:v>第一季度</c:v>
                </c:pt>
              </c:strCache>
            </c:strRef>
          </c:cat>
          <c:val>
            <c:numRef>
              <c:f>Sheet1!$I$5:$I$8</c:f>
              <c:numCache>
                <c:formatCode>General</c:formatCode>
                <c:ptCount val="4"/>
                <c:pt idx="0">
                  <c:v>454</c:v>
                </c:pt>
                <c:pt idx="1">
                  <c:v>301</c:v>
                </c:pt>
                <c:pt idx="2">
                  <c:v>272</c:v>
                </c:pt>
                <c:pt idx="3">
                  <c:v>250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D754-4DBC-8D05-4C0103AAB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cust"/>
        <c:custSplit>
          <c:secondPiePt val="3"/>
        </c:custSplit>
        <c:secondPieSize val="100"/>
        <c:ser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</a:ln>
          </c:spPr>
        </c:serLines>
      </c:ofPieChart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4.5683100423257898E-2"/>
          <c:y val="0.113781913624433"/>
          <c:w val="0.91584100636069099"/>
          <c:h val="0.85635225666721704"/>
        </c:manualLayout>
      </c:layout>
      <c:pieChart>
        <c:varyColors val="1"/>
        <c:ser>
          <c:idx val="0"/>
          <c:order val="0"/>
          <c:spPr>
            <a:ln w="12700">
              <a:solidFill>
                <a:sysClr val="window" lastClr="FFFFFF"/>
              </a:solidFill>
            </a:ln>
          </c:spPr>
          <c:dPt>
            <c:idx val="0"/>
            <c:bubble3D val="0"/>
            <c:spPr>
              <a:solidFill>
                <a:srgbClr val="E87071"/>
              </a:solidFill>
              <a:ln w="12700">
                <a:solidFill>
                  <a:sysClr val="window" lastClr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C08-48CB-A256-545F07765FBA}"/>
              </c:ext>
            </c:extLst>
          </c:dPt>
          <c:dPt>
            <c:idx val="1"/>
            <c:bubble3D val="0"/>
            <c:spPr>
              <a:solidFill>
                <a:srgbClr val="EB8585"/>
              </a:solidFill>
              <a:ln w="12700">
                <a:solidFill>
                  <a:sysClr val="window" lastClr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C08-48CB-A256-545F07765FBA}"/>
              </c:ext>
            </c:extLst>
          </c:dPt>
          <c:dPt>
            <c:idx val="2"/>
            <c:bubble3D val="0"/>
            <c:spPr>
              <a:solidFill>
                <a:srgbClr val="F0A2A2"/>
              </a:solidFill>
              <a:ln w="12700">
                <a:solidFill>
                  <a:sysClr val="window" lastClr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5C08-48CB-A256-545F07765FBA}"/>
              </c:ext>
            </c:extLst>
          </c:dPt>
          <c:dPt>
            <c:idx val="3"/>
            <c:bubble3D val="0"/>
            <c:spPr>
              <a:solidFill>
                <a:srgbClr val="F4BABA"/>
              </a:solidFill>
              <a:ln w="12700">
                <a:solidFill>
                  <a:sysClr val="window" lastClr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5C08-48CB-A256-545F07765FBA}"/>
              </c:ext>
            </c:extLst>
          </c:dPt>
          <c:dLbls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Sheet1!$K$5:$K$8</c:f>
              <c:strCache>
                <c:ptCount val="4"/>
                <c:pt idx="0">
                  <c:v>东部</c:v>
                </c:pt>
                <c:pt idx="1">
                  <c:v>西部</c:v>
                </c:pt>
                <c:pt idx="2">
                  <c:v>北部</c:v>
                </c:pt>
                <c:pt idx="3">
                  <c:v>南部</c:v>
                </c:pt>
              </c:strCache>
            </c:strRef>
          </c:cat>
          <c:val>
            <c:numRef>
              <c:f>Sheet1!$L$5:$L$8</c:f>
              <c:numCache>
                <c:formatCode>General</c:formatCode>
                <c:ptCount val="4"/>
                <c:pt idx="0">
                  <c:v>112</c:v>
                </c:pt>
                <c:pt idx="1">
                  <c:v>115</c:v>
                </c:pt>
                <c:pt idx="2">
                  <c:v>97</c:v>
                </c:pt>
                <c:pt idx="3">
                  <c:v>130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5C08-48CB-A256-545F07765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Radio" firstButton="1" fmlaLink="$B$10" noThreeD="1"/>
</file>

<file path=xl/ctrlProps/ctrlProp2.xml><?xml version="1.0" encoding="utf-8"?>
<formControlPr xmlns="http://schemas.microsoft.com/office/spreadsheetml/2009/9/main" objectType="Radio" checked="Checked" noThreeD="1"/>
</file>

<file path=xl/ctrlProps/ctrlProp3.xml><?xml version="1.0" encoding="utf-8"?>
<formControlPr xmlns="http://schemas.microsoft.com/office/spreadsheetml/2009/9/main" objectType="Drop" dropStyle="combo" dx="22" fmlaLink="$B$11" fmlaRange="$G$5:$G$8" noThreeD="1" sel="2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13</xdr:row>
      <xdr:rowOff>76200</xdr:rowOff>
    </xdr:from>
    <xdr:to>
      <xdr:col>12</xdr:col>
      <xdr:colOff>533400</xdr:colOff>
      <xdr:row>25</xdr:row>
      <xdr:rowOff>28575</xdr:rowOff>
    </xdr:to>
    <xdr:graphicFrame macro="">
      <xdr:nvGraphicFramePr>
        <xdr:cNvPr id="14359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619125</xdr:colOff>
          <xdr:row>12</xdr:row>
          <xdr:rowOff>104775</xdr:rowOff>
        </xdr:from>
        <xdr:to>
          <xdr:col>8</xdr:col>
          <xdr:colOff>400050</xdr:colOff>
          <xdr:row>13</xdr:row>
          <xdr:rowOff>200025</xdr:rowOff>
        </xdr:to>
        <xdr:grpSp>
          <xdr:nvGrpSpPr>
            <xdr:cNvPr id="14360" name="组合 1"/>
            <xdr:cNvGrpSpPr/>
          </xdr:nvGrpSpPr>
          <xdr:grpSpPr>
            <a:xfrm>
              <a:off x="4781550" y="2828925"/>
              <a:ext cx="1152525" cy="304800"/>
              <a:chOff x="2495550" y="1985962"/>
              <a:chExt cx="1152525" cy="304800"/>
            </a:xfrm>
          </xdr:grpSpPr>
          <xdr:sp macro="" textlink="">
            <xdr:nvSpPr>
              <xdr:cNvPr id="14337" name="Option Button 1" hidden="1">
                <a:extLst>
                  <a:ext uri="{63B3BB69-23CF-44E3-9099-C40C66FF867C}">
                    <a14:compatExt spid="_x0000_s14337"/>
                  </a:ext>
                </a:extLst>
              </xdr:cNvPr>
              <xdr:cNvSpPr/>
            </xdr:nvSpPr>
            <xdr:spPr>
              <a:xfrm>
                <a:off x="2495550" y="1985962"/>
                <a:ext cx="657225" cy="304800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地区</a:t>
                </a:r>
                <a:endParaRPr lang="zh-CN" altLang="en-US"/>
              </a:p>
            </xdr:txBody>
          </xdr:sp>
          <xdr:sp macro="" textlink="">
            <xdr:nvSpPr>
              <xdr:cNvPr id="14338" name="Option Button 2" hidden="1">
                <a:extLst>
                  <a:ext uri="{63B3BB69-23CF-44E3-9099-C40C66FF867C}">
                    <a14:compatExt spid="_x0000_s14338"/>
                  </a:ext>
                </a:extLst>
              </xdr:cNvPr>
              <xdr:cNvSpPr/>
            </xdr:nvSpPr>
            <xdr:spPr>
              <a:xfrm>
                <a:off x="3048000" y="2024062"/>
                <a:ext cx="600075" cy="228600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季度</a:t>
                </a:r>
                <a:endParaRPr lang="zh-CN" altLang="en-US"/>
              </a:p>
            </xdr:txBody>
          </xdr:sp>
        </xdr:grpSp>
        <xdr:clientData/>
      </xdr:twoCellAnchor>
    </mc:Choice>
    <mc:Fallback/>
  </mc:AlternateContent>
  <xdr:twoCellAnchor>
    <xdr:from>
      <xdr:col>8</xdr:col>
      <xdr:colOff>485775</xdr:colOff>
      <xdr:row>13</xdr:row>
      <xdr:rowOff>171450</xdr:rowOff>
    </xdr:from>
    <xdr:to>
      <xdr:col>13</xdr:col>
      <xdr:colOff>285750</xdr:colOff>
      <xdr:row>24</xdr:row>
      <xdr:rowOff>161925</xdr:rowOff>
    </xdr:to>
    <xdr:graphicFrame macro="">
      <xdr:nvGraphicFramePr>
        <xdr:cNvPr id="14361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466725</xdr:colOff>
          <xdr:row>12</xdr:row>
          <xdr:rowOff>76200</xdr:rowOff>
        </xdr:from>
        <xdr:to>
          <xdr:col>10</xdr:col>
          <xdr:colOff>228600</xdr:colOff>
          <xdr:row>13</xdr:row>
          <xdr:rowOff>190500</xdr:rowOff>
        </xdr:to>
        <xdr:sp macro="" textlink="">
          <xdr:nvSpPr>
            <xdr:cNvPr id="14339" name="Drop Down 3" hidden="1">
              <a:extLst>
                <a:ext uri="{63B3BB69-23CF-44E3-9099-C40C66FF867C}">
                  <a14:compatExt spid="_x0000_s143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6"/>
  <sheetViews>
    <sheetView showGridLines="0" tabSelected="1" workbookViewId="0">
      <selection activeCell="W25" sqref="Q9:W25"/>
    </sheetView>
  </sheetViews>
  <sheetFormatPr defaultColWidth="9" defaultRowHeight="16.5"/>
  <cols>
    <col min="1" max="1" width="9.625" customWidth="1"/>
    <col min="13" max="13" width="7" customWidth="1"/>
  </cols>
  <sheetData>
    <row r="1" spans="1:13">
      <c r="B1" s="1"/>
    </row>
    <row r="2" spans="1:13">
      <c r="B2" s="1"/>
    </row>
    <row r="4" spans="1:1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G4" s="2" t="s">
        <v>5</v>
      </c>
      <c r="H4" s="2" t="s">
        <v>6</v>
      </c>
      <c r="I4" s="2" t="s">
        <v>7</v>
      </c>
      <c r="K4" s="2" t="s">
        <v>6</v>
      </c>
      <c r="L4" s="2" t="s">
        <v>7</v>
      </c>
    </row>
    <row r="5" spans="1:13">
      <c r="A5" s="3" t="s">
        <v>8</v>
      </c>
      <c r="B5" s="3">
        <f t="shared" ref="B5:E8" ca="1" si="0">RANDBETWEEN(10,150)</f>
        <v>31</v>
      </c>
      <c r="C5" s="3">
        <f t="shared" ca="1" si="0"/>
        <v>112</v>
      </c>
      <c r="D5" s="3">
        <f t="shared" ca="1" si="0"/>
        <v>66</v>
      </c>
      <c r="E5" s="3">
        <f t="shared" ca="1" si="0"/>
        <v>47</v>
      </c>
      <c r="G5" s="3" t="str">
        <f t="array" aca="1" ref="G5:G8" ca="1">IF(B10=1,OFFSET(A5:A8,,),TRANSPOSE(OFFSET(B4:E4,,)))</f>
        <v>第一季度</v>
      </c>
      <c r="H5" s="3" t="str">
        <f t="array" aca="1" ref="H5" ca="1">IF(B$10=1,OFFSET(A$5,MOD(B$11+ROW()+2,4),),OFFSET(B$4,,MOD(B$11+ROW()+2,4)))</f>
        <v>第二季度</v>
      </c>
      <c r="I5" s="3">
        <f t="array" aca="1" ref="I5" ca="1">IF(B$10=1,SUM((A$5:A$8=H5)*B$5:E$8),SUM((B$4:E$4=H5)*B$5:E$8))</f>
        <v>454</v>
      </c>
      <c r="K5" s="3" t="str">
        <f t="array" aca="1" ref="K5:K8" ca="1">IF(B10=2,OFFSET(A5:A8,,),TRANSPOSE(OFFSET(B4:E4,,)))</f>
        <v>东部</v>
      </c>
      <c r="L5" s="3">
        <f t="array" aca="1" ref="L5:L8" ca="1">IF(B10=1,TRANSPOSE(OFFSET(B$4:E$4,B$11,)),OFFSET(A$5:A$8,,B$11))</f>
        <v>112</v>
      </c>
    </row>
    <row r="6" spans="1:13">
      <c r="A6" s="3" t="s">
        <v>9</v>
      </c>
      <c r="B6" s="3">
        <f t="shared" ca="1" si="0"/>
        <v>78</v>
      </c>
      <c r="C6" s="3">
        <f t="shared" ca="1" si="0"/>
        <v>115</v>
      </c>
      <c r="D6" s="3">
        <f t="shared" ca="1" si="0"/>
        <v>50</v>
      </c>
      <c r="E6" s="3">
        <f t="shared" ca="1" si="0"/>
        <v>35</v>
      </c>
      <c r="G6" s="3" t="str">
        <f ca="1"/>
        <v>第二季度</v>
      </c>
      <c r="H6" s="3" t="str">
        <f t="array" aca="1" ref="H6" ca="1">IF(B$10=1,OFFSET(A$5,MOD(B$11+ROW()+2,4),),OFFSET(B$4,,MOD(B$11+ROW()+2,4)))</f>
        <v>第三季度</v>
      </c>
      <c r="I6" s="3">
        <f t="array" aca="1" ref="I6" ca="1">IF(B$10=1,SUM((A$5:A$8=H6)*B$5:E$8),SUM((B$4:E$4=H6)*B$5:E$8))</f>
        <v>301</v>
      </c>
      <c r="K6" s="3" t="str">
        <f ca="1"/>
        <v>西部</v>
      </c>
      <c r="L6" s="3">
        <f ca="1"/>
        <v>115</v>
      </c>
    </row>
    <row r="7" spans="1:13">
      <c r="A7" s="3" t="s">
        <v>10</v>
      </c>
      <c r="B7" s="3">
        <f t="shared" ca="1" si="0"/>
        <v>107</v>
      </c>
      <c r="C7" s="3">
        <f t="shared" ca="1" si="0"/>
        <v>97</v>
      </c>
      <c r="D7" s="3">
        <f t="shared" ca="1" si="0"/>
        <v>105</v>
      </c>
      <c r="E7" s="3">
        <f t="shared" ca="1" si="0"/>
        <v>84</v>
      </c>
      <c r="G7" s="3" t="str">
        <f ca="1"/>
        <v>第三季度</v>
      </c>
      <c r="H7" s="3" t="str">
        <f t="array" aca="1" ref="H7" ca="1">IF(B$10=1,OFFSET(A$5,MOD(B$11+ROW()+2,4),),OFFSET(B$4,,MOD(B$11+ROW()+2,4)))</f>
        <v>第四季度</v>
      </c>
      <c r="I7" s="3">
        <f t="array" aca="1" ref="I7" ca="1">IF(B$10=1,SUM((A$5:A$8=H7)*B$5:E$8),SUM((B$4:E$4=H7)*B$5:E$8))</f>
        <v>272</v>
      </c>
      <c r="K7" s="3" t="str">
        <f ca="1"/>
        <v>北部</v>
      </c>
      <c r="L7" s="3">
        <f ca="1"/>
        <v>97</v>
      </c>
    </row>
    <row r="8" spans="1:13">
      <c r="A8" s="3" t="s">
        <v>11</v>
      </c>
      <c r="B8" s="3">
        <f t="shared" ca="1" si="0"/>
        <v>34</v>
      </c>
      <c r="C8" s="3">
        <f t="shared" ca="1" si="0"/>
        <v>130</v>
      </c>
      <c r="D8" s="3">
        <f t="shared" ca="1" si="0"/>
        <v>80</v>
      </c>
      <c r="E8" s="3">
        <f t="shared" ca="1" si="0"/>
        <v>106</v>
      </c>
      <c r="G8" s="3" t="str">
        <f ca="1"/>
        <v>第四季度</v>
      </c>
      <c r="H8" s="3" t="str">
        <f t="array" aca="1" ref="H8" ca="1">IF(B$10=1,OFFSET(A$5,MOD(B$11+ROW()+2,4),),OFFSET(B$4,,MOD(B$11+ROW()+2,4)))</f>
        <v>第一季度</v>
      </c>
      <c r="I8" s="3">
        <f t="array" aca="1" ref="I8" ca="1">IF(B$10=1,SUM((A$5:A$8=H8)*B$5:E$8),SUM((B$4:E$4=H8)*B$5:E$8))</f>
        <v>250</v>
      </c>
      <c r="K8" s="3" t="str">
        <f ca="1"/>
        <v>南部</v>
      </c>
      <c r="L8" s="3">
        <f ca="1"/>
        <v>130</v>
      </c>
    </row>
    <row r="10" spans="1:13">
      <c r="A10" s="3" t="s">
        <v>12</v>
      </c>
      <c r="B10">
        <v>2</v>
      </c>
    </row>
    <row r="11" spans="1:13">
      <c r="A11" s="3" t="s">
        <v>5</v>
      </c>
      <c r="B11">
        <v>2</v>
      </c>
    </row>
    <row r="12" spans="1:13" ht="33">
      <c r="A12" s="4" t="str">
        <f ca="1">H8&amp;CHAR(10)&amp;I8</f>
        <v>第一季度
250</v>
      </c>
      <c r="F12" s="5"/>
      <c r="G12" s="6"/>
      <c r="H12" s="6"/>
      <c r="I12" s="6"/>
      <c r="J12" s="6"/>
      <c r="K12" s="6"/>
      <c r="L12" s="6"/>
      <c r="M12" s="11"/>
    </row>
    <row r="13" spans="1:13">
      <c r="F13" s="7"/>
      <c r="G13" s="8"/>
      <c r="H13" s="8"/>
      <c r="I13" s="8"/>
      <c r="J13" s="8"/>
      <c r="K13" s="8"/>
      <c r="L13" s="8"/>
      <c r="M13" s="12"/>
    </row>
    <row r="14" spans="1:13">
      <c r="F14" s="7"/>
      <c r="G14" s="8"/>
      <c r="H14" s="8"/>
      <c r="I14" s="8"/>
      <c r="J14" s="8"/>
      <c r="K14" s="8"/>
      <c r="L14" s="8"/>
      <c r="M14" s="12"/>
    </row>
    <row r="15" spans="1:13">
      <c r="F15" s="7"/>
      <c r="G15" s="8"/>
      <c r="H15" s="8"/>
      <c r="I15" s="8"/>
      <c r="J15" s="8"/>
      <c r="K15" s="8"/>
      <c r="L15" s="8"/>
      <c r="M15" s="12"/>
    </row>
    <row r="16" spans="1:13">
      <c r="A16" t="s">
        <v>13</v>
      </c>
      <c r="F16" s="7"/>
      <c r="G16" s="8"/>
      <c r="H16" s="8"/>
      <c r="I16" s="8"/>
      <c r="J16" s="8"/>
      <c r="K16" s="8"/>
      <c r="L16" s="8"/>
      <c r="M16" s="12"/>
    </row>
    <row r="17" spans="1:13">
      <c r="A17" t="s">
        <v>14</v>
      </c>
      <c r="F17" s="7"/>
      <c r="G17" s="8"/>
      <c r="H17" s="8"/>
      <c r="I17" s="8"/>
      <c r="J17" s="8"/>
      <c r="K17" s="8"/>
      <c r="L17" s="8"/>
      <c r="M17" s="12"/>
    </row>
    <row r="18" spans="1:13">
      <c r="A18" t="s">
        <v>15</v>
      </c>
      <c r="F18" s="7"/>
      <c r="G18" s="8"/>
      <c r="H18" s="8"/>
      <c r="I18" s="8"/>
      <c r="J18" s="8"/>
      <c r="K18" s="8"/>
      <c r="L18" s="8"/>
      <c r="M18" s="12"/>
    </row>
    <row r="19" spans="1:13">
      <c r="A19" t="s">
        <v>16</v>
      </c>
      <c r="F19" s="7"/>
      <c r="G19" s="8"/>
      <c r="H19" s="8"/>
      <c r="I19" s="8"/>
      <c r="J19" s="8"/>
      <c r="K19" s="8"/>
      <c r="L19" s="8"/>
      <c r="M19" s="12"/>
    </row>
    <row r="20" spans="1:13">
      <c r="F20" s="7"/>
      <c r="G20" s="8"/>
      <c r="H20" s="8"/>
      <c r="I20" s="8"/>
      <c r="J20" s="8"/>
      <c r="K20" s="8"/>
      <c r="L20" s="8"/>
      <c r="M20" s="12"/>
    </row>
    <row r="21" spans="1:13">
      <c r="F21" s="7"/>
      <c r="G21" s="8"/>
      <c r="H21" s="8"/>
      <c r="I21" s="8"/>
      <c r="J21" s="8"/>
      <c r="K21" s="8"/>
      <c r="L21" s="8"/>
      <c r="M21" s="12"/>
    </row>
    <row r="22" spans="1:13">
      <c r="F22" s="7"/>
      <c r="G22" s="8"/>
      <c r="H22" s="8"/>
      <c r="I22" s="8"/>
      <c r="J22" s="8"/>
      <c r="K22" s="8"/>
      <c r="L22" s="8"/>
      <c r="M22" s="12"/>
    </row>
    <row r="23" spans="1:13">
      <c r="F23" s="7"/>
      <c r="G23" s="8"/>
      <c r="H23" s="8"/>
      <c r="I23" s="8"/>
      <c r="J23" s="8"/>
      <c r="K23" s="8"/>
      <c r="L23" s="8"/>
      <c r="M23" s="12"/>
    </row>
    <row r="24" spans="1:13">
      <c r="F24" s="7"/>
      <c r="G24" s="8"/>
      <c r="H24" s="8"/>
      <c r="I24" s="8"/>
      <c r="J24" s="8"/>
      <c r="K24" s="8"/>
      <c r="L24" s="8"/>
      <c r="M24" s="12"/>
    </row>
    <row r="25" spans="1:13">
      <c r="F25" s="7"/>
      <c r="G25" s="8"/>
      <c r="H25" s="8"/>
      <c r="I25" s="8"/>
      <c r="J25" s="8"/>
      <c r="K25" s="8"/>
      <c r="L25" s="8"/>
      <c r="M25" s="12"/>
    </row>
    <row r="26" spans="1:13">
      <c r="F26" s="9"/>
      <c r="G26" s="10"/>
      <c r="H26" s="10"/>
      <c r="I26" s="10"/>
      <c r="J26" s="10"/>
      <c r="K26" s="10"/>
      <c r="L26" s="10"/>
      <c r="M26" s="13"/>
    </row>
  </sheetData>
  <phoneticPr fontId="5" type="noConversion"/>
  <pageMargins left="0.69930555555555596" right="0.69930555555555596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4" name="Option Button 1">
              <controlPr defaultSize="0" autoPict="0">
                <anchor moveWithCells="1" sizeWithCells="1">
                  <from>
                    <xdr:col>6</xdr:col>
                    <xdr:colOff>619125</xdr:colOff>
                    <xdr:row>12</xdr:row>
                    <xdr:rowOff>104775</xdr:rowOff>
                  </from>
                  <to>
                    <xdr:col>7</xdr:col>
                    <xdr:colOff>590550</xdr:colOff>
                    <xdr:row>13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5" name="Option Button 2">
              <controlPr defaultSize="0" autoPict="0">
                <anchor moveWithCells="1" sizeWithCells="1">
                  <from>
                    <xdr:col>7</xdr:col>
                    <xdr:colOff>485775</xdr:colOff>
                    <xdr:row>12</xdr:row>
                    <xdr:rowOff>142875</xdr:rowOff>
                  </from>
                  <to>
                    <xdr:col>8</xdr:col>
                    <xdr:colOff>400050</xdr:colOff>
                    <xdr:row>13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6" name="Drop Down 3">
              <controlPr defaultSize="0" autoPict="0">
                <anchor moveWithCells="1">
                  <from>
                    <xdr:col>8</xdr:col>
                    <xdr:colOff>466725</xdr:colOff>
                    <xdr:row>12</xdr:row>
                    <xdr:rowOff>76200</xdr:rowOff>
                  </from>
                  <to>
                    <xdr:col>10</xdr:col>
                    <xdr:colOff>228600</xdr:colOff>
                    <xdr:row>13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muou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郑晓芬</dc:creator>
  <cp:lastModifiedBy>Client</cp:lastModifiedBy>
  <dcterms:created xsi:type="dcterms:W3CDTF">2015-01-24T09:30:00Z</dcterms:created>
  <dcterms:modified xsi:type="dcterms:W3CDTF">2019-05-14T08:25:05Z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
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385" windowHeight="8370" activeTab="2"/>
  </bookViews>
  <sheets>
    <sheet name="Chart2" sheetId="3" r:id="rId1"/>
    <sheet name="Chart1" sheetId="2" r:id="rId2"/>
    <sheet name="Sheet1" sheetId="1" r:id="rId3"/>
  </sheets>
  <calcPr calcId="162913" concurrentCalc="0"/>
</workbook>
</file>

<file path=xl/calcChain.xml><?xml version="1.0" encoding="utf-8"?>
<calcChain xmlns="http://schemas.openxmlformats.org/spreadsheetml/2006/main">
  <c r="H19" i="1" l="1"/>
  <c r="G19" i="1"/>
  <c r="G20" i="1"/>
  <c r="F19" i="1"/>
  <c r="F20" i="1"/>
  <c r="E19" i="1"/>
  <c r="D19" i="1"/>
  <c r="C19" i="1"/>
  <c r="C20" i="1"/>
  <c r="H18" i="1"/>
  <c r="G18" i="1"/>
  <c r="F18" i="1"/>
  <c r="E18" i="1"/>
  <c r="D18" i="1"/>
  <c r="C18" i="1"/>
  <c r="H16" i="1"/>
  <c r="G16" i="1"/>
  <c r="F16" i="1"/>
  <c r="E16" i="1"/>
  <c r="D16" i="1"/>
  <c r="C16" i="1"/>
  <c r="H14" i="1"/>
  <c r="G14" i="1"/>
  <c r="F14" i="1"/>
  <c r="E14" i="1"/>
  <c r="D14" i="1"/>
  <c r="C14" i="1"/>
  <c r="H12" i="1"/>
  <c r="G12" i="1"/>
  <c r="F12" i="1"/>
  <c r="E12" i="1"/>
  <c r="D12" i="1"/>
  <c r="C12" i="1"/>
  <c r="H10" i="1"/>
  <c r="G10" i="1"/>
  <c r="F10" i="1"/>
  <c r="E10" i="1"/>
  <c r="D10" i="1"/>
  <c r="C10" i="1"/>
  <c r="H8" i="1"/>
  <c r="G8" i="1"/>
  <c r="F8" i="1"/>
  <c r="E8" i="1"/>
  <c r="D8" i="1"/>
  <c r="C8" i="1"/>
  <c r="D20" i="1"/>
  <c r="H20" i="1"/>
  <c r="E20" i="1"/>
</calcChain>
</file>

<file path=xl/sharedStrings.xml><?xml version="1.0" encoding="utf-8"?>
<sst xmlns="http://schemas.openxmlformats.org/spreadsheetml/2006/main" count="25" uniqueCount="24">
  <si>
    <t>人力资源年龄结构分析图表（职位维度）</t>
  </si>
  <si>
    <r>
      <t>说明：企业人力资源年龄结构是指企业内部不同年龄的人力资源的比例构成。本表格主要适合统计和分析不同职位年龄维度的分布数量及分布率。表格中所列职位等级仅为示例，企业可根据实际情况调整。</t>
    </r>
    <r>
      <rPr>
        <b/>
        <sz val="12"/>
        <color indexed="8"/>
        <rFont val="微软雅黑"/>
        <family val="2"/>
        <charset val="134"/>
      </rPr>
      <t>（内含自动计算公式及分析结果图表）</t>
    </r>
  </si>
  <si>
    <t>年龄结构</t>
  </si>
  <si>
    <t>职位</t>
  </si>
  <si>
    <t>18-25岁</t>
  </si>
  <si>
    <t>26-35岁</t>
  </si>
  <si>
    <t>36-44岁</t>
  </si>
  <si>
    <t>45-54岁</t>
  </si>
  <si>
    <t>55-59岁</t>
  </si>
  <si>
    <t>60岁以上</t>
  </si>
  <si>
    <t xml:space="preserve">管理高层各年龄段人数 </t>
  </si>
  <si>
    <t>管理高层各年龄段占比</t>
  </si>
  <si>
    <t>管理中层各年龄段人数</t>
  </si>
  <si>
    <t>管理中层各年龄段占比</t>
  </si>
  <si>
    <t>管理基层各年龄段人数</t>
  </si>
  <si>
    <t>管理基层各年龄段占比</t>
  </si>
  <si>
    <t>一般管理人员各年龄段人数</t>
  </si>
  <si>
    <t>一般管理人员各年龄段占比</t>
  </si>
  <si>
    <t>操作工各年龄段人数</t>
  </si>
  <si>
    <t>操作工各年龄段占比</t>
  </si>
  <si>
    <t>……</t>
  </si>
  <si>
    <t>公司各年龄段人数总计</t>
  </si>
  <si>
    <t>公司各年龄段占比</t>
  </si>
  <si>
    <t xml:space="preserve">      人力资源管理实用工具——人力资源规划——人力资源分析</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</si>
</sst>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宋体"/>
      <charset val="134"/>
      <scheme val="minor"/>
    </font>
    <font>
      <b/>
      <sz val="18"/>
      <color theme="0"/>
      <name val="微软雅黑"/>
      <family val="2"/>
      <charset val="134"/>
    </font>
    <font>
      <b/>
      <sz val="18"/>
      <color rgb="FF0070C0"/>
      <name val="微软雅黑"/>
      <family val="2"/>
      <charset val="134"/>
    </font>
    <font>
      <sz val="12"/>
      <color theme="1"/>
      <name val="微软雅黑"/>
      <family val="2"/>
      <charset val="134"/>
    </font>
    <font>
      <b/>
      <sz val="11"/>
      <color theme="1"/>
      <name val="宋体"/>
      <family val="3"/>
      <charset val="134"/>
      <scheme val="minor"/>
    </font>
    <font>
      <sz val="10"/>
      <name val="宋体"/>
      <family val="3"/>
      <charset val="134"/>
    </font>
    <font>
      <b/>
      <sz val="11"/>
      <color rgb="FFFF0000"/>
      <name val="宋体"/>
      <family val="3"/>
      <charset val="134"/>
      <scheme val="minor"/>
    </font>
    <font>
      <b/>
      <sz val="10"/>
      <name val="宋体"/>
      <family val="3"/>
      <charset val="134"/>
    </font>
    <font>
      <sz val="9"/>
      <name val="宋体"/>
      <family val="3"/>
      <charset val="134"/>
    </font>
    <font>
      <b/>
      <sz val="12"/>
      <color indexed="8"/>
      <name val="微软雅黑"/>
      <family val="2"/>
      <charset val="134"/>
    </font>
    <font>
      <sz val="9"/>
      <name val="宋体"/>
      <family val="3"/>
      <charset val="134"/>
      <scheme val="minor"/>
    </font>
  </fonts>
  <fills count="8">
    <fill>
      <patternFill patternType="none"/>
    </fill>
    <fill>
      <patternFill patternType="gray125"/>
    </fill>
    <fill>
      <patternFill patternType="solid">
        <fgColor theme="4" tint="-0.249977111117893"/>
        <bgColor indexed="64"/>
      </patternFill>
    </fill>
    <fill>
      <patternFill patternType="solid">
        <fgColor theme="2"/>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4506668294322"/>
        <bgColor indexed="64"/>
      </patternFill>
    </fill>
    <fill>
      <patternFill patternType="solid">
        <fgColor theme="8"/>
        <bgColor indexed="64"/>
      </patternFill>
    </fill>
  </fills>
  <borders count="5">
    <border>
      <left/>
      <right/>
      <top/>
      <bottom/>
      <diagonal/>
    </border>
    <border>
      <left/>
      <right/>
      <top/>
      <bottom style="medium">
        <color auto="1"/>
      </bottom>
      <diagonal/>
    </border>
    <border>
      <left/>
      <right/>
      <top style="medium">
        <color auto="1"/>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vertical="center" wrapText="1"/>
    </xf>
    <xf numFmtId="0" fontId="4" fillId="4" borderId="0" xfId="0" applyFont="1" applyFill="1" applyAlignment="1">
      <alignment vertical="center" wrapText="1"/>
    </xf>
    <xf numFmtId="0" fontId="4" fillId="4" borderId="0" xfId="0" applyFont="1" applyFill="1" applyAlignment="1">
      <alignment horizontal="center" vertical="center" wrapText="1"/>
    </xf>
    <xf numFmtId="0" fontId="4" fillId="5" borderId="4" xfId="0" applyFont="1" applyFill="1" applyBorder="1" applyAlignment="1">
      <alignment horizontal="center" vertical="center" wrapText="1"/>
    </xf>
    <xf numFmtId="0" fontId="5" fillId="0" borderId="4" xfId="0" applyFont="1" applyBorder="1" applyAlignment="1">
      <alignment horizontal="center" wrapText="1"/>
    </xf>
    <xf numFmtId="0" fontId="4" fillId="3" borderId="4" xfId="0" applyFont="1" applyFill="1" applyBorder="1" applyAlignment="1">
      <alignment vertical="center" wrapText="1"/>
    </xf>
    <xf numFmtId="9" fontId="6" fillId="3" borderId="4" xfId="0" applyNumberFormat="1" applyFont="1" applyFill="1" applyBorder="1">
      <alignment vertical="center"/>
    </xf>
    <xf numFmtId="0" fontId="7" fillId="6" borderId="4" xfId="0" applyFont="1" applyFill="1" applyBorder="1" applyAlignment="1">
      <alignment horizontal="center" vertical="center" wrapText="1"/>
    </xf>
    <xf numFmtId="0" fontId="4" fillId="7" borderId="4" xfId="0" applyFont="1" applyFill="1" applyBorder="1">
      <alignment vertical="center"/>
    </xf>
    <xf numFmtId="9" fontId="6" fillId="7" borderId="4" xfId="0" applyNumberFormat="1" applyFont="1" applyFill="1" applyBorder="1">
      <alignment vertical="center"/>
    </xf>
    <xf numFmtId="0" fontId="8" fillId="0" borderId="0" xfId="0" applyNumberFormat="1" applyFont="1" applyAlignment="1" applyProtection="1">
      <alignment horizontal="center" vertical="center" wrapText="1"/>
    </xf>
    <xf numFmtId="0" fontId="8" fillId="0" borderId="0" xfId="0" applyNumberFormat="1" applyFont="1" applyAlignment="1" applyProtection="1">
      <alignment vertical="center" wrapText="1"/>
    </xf>
    <xf numFmtId="0" fontId="1" fillId="2" borderId="0" xfId="0" applyFont="1" applyFill="1" applyAlignment="1" applyProtection="1">
      <alignment horizontal="center" vertical="center"/>
    </xf>
    <xf numFmtId="0" fontId="2" fillId="0" borderId="1" xfId="0" applyFont="1" applyBorder="1" applyAlignment="1">
      <alignment horizontal="center" vertical="center"/>
    </xf>
    <xf numFmtId="0" fontId="3" fillId="3" borderId="2" xfId="0" applyFont="1" applyFill="1" applyBorder="1" applyAlignment="1">
      <alignment horizontal="left" vertical="center" wrapText="1"/>
    </xf>
    <xf numFmtId="0" fontId="4" fillId="5" borderId="3" xfId="0" applyFont="1" applyFill="1" applyBorder="1" applyAlignment="1">
      <alignment horizontal="center" vertical="center"/>
    </xf>
    <xf numFmtId="0" fontId="8" fillId="0" borderId="0" xfId="0" applyNumberFormat="1" applyFont="1" applyAlignment="1" applyProtection="1">
      <alignment horizontal="center" vertical="center" wrapText="1"/>
    </xf>
  </cellXfs>
  <cellStyles count="1">
    <cellStyle name="常规" xfId="0" builtinId="0"/>
  </cellStyles>
  <dxfs count="0"/>
  <tableStyles count="0" defaultTableStyle="TableStyleMedium9" defaultPivotStyle="PivotStyleLight16"/>
  <colors>
    <mruColors>
      <color rgb="FFC4BD97"/>
      <color rgb="FF92CDDC"/>
      <color rgb="FFFFFF00"/>
      <color rgb="FF4BACC6"/>
      <color rgb="FFFFFFFF"/>
      <color rgb="FF366092"/>
      <color rgb="FF0070C0"/>
      <color rgb="FFFF0000"/>
      <color rgb="FFEEECE1"/>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alcChain" Target="calcChain.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6030720"/>
        <c:axId val="36032512"/>
      </c:barChart>
      <c:catAx>
        <c:axId val="360307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6032512"/>
        <c:crosses val="autoZero"/>
        <c:auto val="1"/>
        <c:lblAlgn val="ctr"/>
        <c:lblOffset val="100"/>
        <c:noMultiLvlLbl val="0"/>
      </c:catAx>
      <c:valAx>
        <c:axId val="3603251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6030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81210112"/>
        <c:axId val="181252864"/>
      </c:barChart>
      <c:catAx>
        <c:axId val="1812101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1252864"/>
        <c:crosses val="autoZero"/>
        <c:auto val="1"/>
        <c:lblAlgn val="ctr"/>
        <c:lblOffset val="100"/>
        <c:noMultiLvlLbl val="0"/>
      </c:catAx>
      <c:valAx>
        <c:axId val="18125286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1210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title>
    <c:autoTitleDeleted val="0"/>
    <c:plotArea>
      <c:layout/>
      <c:pieChart>
        <c:varyColors val="1"/>
        <c:ser>
          <c:idx val="1"/>
          <c:order val="0"/>
          <c:tx>
            <c:strRef>
              <c:f>Sheet1!$B$8</c:f>
              <c:strCache>
                <c:ptCount val="1"/>
                <c:pt idx="0">
                  <c:v>管理高层各年龄段占比</c:v>
                </c:pt>
              </c:strCache>
            </c:strRef>
          </c:tx>
          <c:dPt>
            <c:idx val="0"/>
            <c:bubble3D val="0"/>
            <c:extLst xmlns:c16r2="http://schemas.microsoft.com/office/drawing/2015/06/chart">
              <c:ext xmlns:c16="http://schemas.microsoft.com/office/drawing/2014/chart" uri="{C3380CC4-5D6E-409C-BE32-E72D297353CC}">
                <c16:uniqueId val="{00000000-BB8E-42EE-B616-0E0290292D27}"/>
              </c:ext>
            </c:extLst>
          </c:dPt>
          <c:dPt>
            <c:idx val="1"/>
            <c:bubble3D val="0"/>
            <c:extLst xmlns:c16r2="http://schemas.microsoft.com/office/drawing/2015/06/chart">
              <c:ext xmlns:c16="http://schemas.microsoft.com/office/drawing/2014/chart" uri="{C3380CC4-5D6E-409C-BE32-E72D297353CC}">
                <c16:uniqueId val="{00000001-BB8E-42EE-B616-0E0290292D27}"/>
              </c:ext>
            </c:extLst>
          </c:dPt>
          <c:dPt>
            <c:idx val="2"/>
            <c:bubble3D val="0"/>
            <c:extLst xmlns:c16r2="http://schemas.microsoft.com/office/drawing/2015/06/chart">
              <c:ext xmlns:c16="http://schemas.microsoft.com/office/drawing/2014/chart" uri="{C3380CC4-5D6E-409C-BE32-E72D297353CC}">
                <c16:uniqueId val="{00000002-BB8E-42EE-B616-0E0290292D27}"/>
              </c:ext>
            </c:extLst>
          </c:dPt>
          <c:dPt>
            <c:idx val="3"/>
            <c:bubble3D val="0"/>
            <c:extLst xmlns:c16r2="http://schemas.microsoft.com/office/drawing/2015/06/chart">
              <c:ext xmlns:c16="http://schemas.microsoft.com/office/drawing/2014/chart" uri="{C3380CC4-5D6E-409C-BE32-E72D297353CC}">
                <c16:uniqueId val="{00000003-BB8E-42EE-B616-0E0290292D27}"/>
              </c:ext>
            </c:extLst>
          </c:dPt>
          <c:dPt>
            <c:idx val="4"/>
            <c:bubble3D val="0"/>
            <c:extLst xmlns:c16r2="http://schemas.microsoft.com/office/drawing/2015/06/chart">
              <c:ext xmlns:c16="http://schemas.microsoft.com/office/drawing/2014/chart" uri="{C3380CC4-5D6E-409C-BE32-E72D297353CC}">
                <c16:uniqueId val="{00000004-BB8E-42EE-B616-0E0290292D27}"/>
              </c:ext>
            </c:extLst>
          </c:dPt>
          <c:dPt>
            <c:idx val="5"/>
            <c:bubble3D val="0"/>
            <c:extLst xmlns:c16r2="http://schemas.microsoft.com/office/drawing/2015/06/chart">
              <c:ext xmlns:c16="http://schemas.microsoft.com/office/drawing/2014/chart" uri="{C3380CC4-5D6E-409C-BE32-E72D297353CC}">
                <c16:uniqueId val="{00000005-BB8E-42EE-B616-0E0290292D27}"/>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leaderLines>
              <c:spPr>
                <a:ln w="9525" cap="flat" cmpd="sng" algn="ctr">
                  <a:solidFill>
                    <a:srgbClr val="000000">
                      <a:alpha val="100000"/>
                    </a:srgbClr>
                  </a:solidFill>
                  <a:prstDash val="solid"/>
                  <a:round/>
                </a:ln>
              </c:spPr>
            </c:leaderLines>
            <c:extLst xmlns:c16r2="http://schemas.microsoft.com/office/drawing/2015/06/chart">
              <c:ext xmlns:c15="http://schemas.microsoft.com/office/drawing/2012/chart" uri="{CE6537A1-D6FC-4f65-9D91-7224C49458BB}">
                <c15:layout/>
              </c:ext>
            </c:extLst>
          </c:dLbls>
          <c:cat>
            <c:strRef>
              <c:f>Sheet1!$C$6:$H$6</c:f>
              <c:strCache>
                <c:ptCount val="6"/>
                <c:pt idx="0">
                  <c:v>18-25岁</c:v>
                </c:pt>
                <c:pt idx="1">
                  <c:v>26-35岁</c:v>
                </c:pt>
                <c:pt idx="2">
                  <c:v>36-44岁</c:v>
                </c:pt>
                <c:pt idx="3">
                  <c:v>45-54岁</c:v>
                </c:pt>
                <c:pt idx="4">
                  <c:v>55-59岁</c:v>
                </c:pt>
                <c:pt idx="5">
                  <c:v>60岁以上</c:v>
                </c:pt>
              </c:strCache>
            </c:strRef>
          </c:cat>
          <c:val>
            <c:numRef>
              <c:f>Sheet1!$C$8:$H$8</c:f>
              <c:numCache>
                <c:formatCode>0%</c:formatCode>
                <c:ptCount val="6"/>
                <c:pt idx="0">
                  <c:v>0</c:v>
                </c:pt>
                <c:pt idx="1">
                  <c:v>0.2</c:v>
                </c:pt>
                <c:pt idx="2">
                  <c:v>0.4</c:v>
                </c:pt>
                <c:pt idx="3">
                  <c:v>0.2</c:v>
                </c:pt>
                <c:pt idx="4">
                  <c:v>0.2</c:v>
                </c:pt>
                <c:pt idx="5">
                  <c:v>0</c:v>
                </c:pt>
              </c:numCache>
            </c:numRef>
          </c:val>
          <c:extLst xmlns:c16r2="http://schemas.microsoft.com/office/drawing/2015/06/chart">
            <c:ext xmlns:c16="http://schemas.microsoft.com/office/drawing/2014/chart" uri="{C3380CC4-5D6E-409C-BE32-E72D297353CC}">
              <c16:uniqueId val="{00000006-BB8E-42EE-B616-0E0290292D27}"/>
            </c:ext>
          </c:extLst>
        </c:ser>
        <c:dLbls>
          <c:showLegendKey val="0"/>
          <c:showVal val="0"/>
          <c:showCatName val="0"/>
          <c:showSerName val="0"/>
          <c:showPercent val="0"/>
          <c:showBubbleSize val="0"/>
          <c:showLeaderLines val="1"/>
        </c:dLbls>
        <c:firstSliceAng val="0"/>
      </c:pieChart>
      <c:spPr>
        <a:noFill/>
        <a:ln w="3175">
          <a:noFill/>
        </a:ln>
      </c:spPr>
    </c:plotArea>
    <c:legend>
      <c:legendPos val="r"/>
      <c:layout>
        <c:manualLayout>
          <c:xMode val="edge"/>
          <c:yMode val="edge"/>
          <c:x val="0.64165438997544699"/>
          <c:y val="0.26465395034176897"/>
          <c:w val="0.30225000000000002"/>
          <c:h val="0.69099999999999995"/>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zero"/>
    <c:showDLblsOverMax val="0"/>
  </c:chart>
  <c:txPr>
    <a:bodyPr wrap="square"/>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title>
    <c:autoTitleDeleted val="0"/>
    <c:plotArea>
      <c:layout/>
      <c:pieChart>
        <c:varyColors val="1"/>
        <c:ser>
          <c:idx val="3"/>
          <c:order val="0"/>
          <c:tx>
            <c:strRef>
              <c:f>Sheet1!$B$10</c:f>
              <c:strCache>
                <c:ptCount val="1"/>
                <c:pt idx="0">
                  <c:v>管理中层各年龄段占比</c:v>
                </c:pt>
              </c:strCache>
            </c:strRef>
          </c:tx>
          <c:dPt>
            <c:idx val="0"/>
            <c:bubble3D val="0"/>
            <c:extLst xmlns:c16r2="http://schemas.microsoft.com/office/drawing/2015/06/chart">
              <c:ext xmlns:c16="http://schemas.microsoft.com/office/drawing/2014/chart" uri="{C3380CC4-5D6E-409C-BE32-E72D297353CC}">
                <c16:uniqueId val="{00000000-B314-4C59-850D-02C3F4CD4CCA}"/>
              </c:ext>
            </c:extLst>
          </c:dPt>
          <c:dPt>
            <c:idx val="1"/>
            <c:bubble3D val="0"/>
            <c:extLst xmlns:c16r2="http://schemas.microsoft.com/office/drawing/2015/06/chart">
              <c:ext xmlns:c16="http://schemas.microsoft.com/office/drawing/2014/chart" uri="{C3380CC4-5D6E-409C-BE32-E72D297353CC}">
                <c16:uniqueId val="{00000001-B314-4C59-850D-02C3F4CD4CCA}"/>
              </c:ext>
            </c:extLst>
          </c:dPt>
          <c:dPt>
            <c:idx val="2"/>
            <c:bubble3D val="0"/>
            <c:extLst xmlns:c16r2="http://schemas.microsoft.com/office/drawing/2015/06/chart">
              <c:ext xmlns:c16="http://schemas.microsoft.com/office/drawing/2014/chart" uri="{C3380CC4-5D6E-409C-BE32-E72D297353CC}">
                <c16:uniqueId val="{00000002-B314-4C59-850D-02C3F4CD4CCA}"/>
              </c:ext>
            </c:extLst>
          </c:dPt>
          <c:dPt>
            <c:idx val="3"/>
            <c:bubble3D val="0"/>
            <c:extLst xmlns:c16r2="http://schemas.microsoft.com/office/drawing/2015/06/chart">
              <c:ext xmlns:c16="http://schemas.microsoft.com/office/drawing/2014/chart" uri="{C3380CC4-5D6E-409C-BE32-E72D297353CC}">
                <c16:uniqueId val="{00000003-B314-4C59-850D-02C3F4CD4CCA}"/>
              </c:ext>
            </c:extLst>
          </c:dPt>
          <c:dPt>
            <c:idx val="4"/>
            <c:bubble3D val="0"/>
            <c:extLst xmlns:c16r2="http://schemas.microsoft.com/office/drawing/2015/06/chart">
              <c:ext xmlns:c16="http://schemas.microsoft.com/office/drawing/2014/chart" uri="{C3380CC4-5D6E-409C-BE32-E72D297353CC}">
                <c16:uniqueId val="{00000004-B314-4C59-850D-02C3F4CD4CCA}"/>
              </c:ext>
            </c:extLst>
          </c:dPt>
          <c:dPt>
            <c:idx val="5"/>
            <c:bubble3D val="0"/>
            <c:extLst xmlns:c16r2="http://schemas.microsoft.com/office/drawing/2015/06/chart">
              <c:ext xmlns:c16="http://schemas.microsoft.com/office/drawing/2014/chart" uri="{C3380CC4-5D6E-409C-BE32-E72D297353CC}">
                <c16:uniqueId val="{00000005-B314-4C59-850D-02C3F4CD4CCA}"/>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leaderLines>
              <c:spPr>
                <a:ln w="9525" cap="flat" cmpd="sng" algn="ctr">
                  <a:solidFill>
                    <a:srgbClr val="000000">
                      <a:alpha val="100000"/>
                    </a:srgbClr>
                  </a:solidFill>
                  <a:prstDash val="solid"/>
                  <a:round/>
                </a:ln>
              </c:spPr>
            </c:leaderLines>
            <c:extLst xmlns:c16r2="http://schemas.microsoft.com/office/drawing/2015/06/chart">
              <c:ext xmlns:c15="http://schemas.microsoft.com/office/drawing/2012/chart" uri="{CE6537A1-D6FC-4f65-9D91-7224C49458BB}">
                <c15:layout/>
              </c:ext>
            </c:extLst>
          </c:dLbls>
          <c:cat>
            <c:strRef>
              <c:f>Sheet1!$C$6:$H$6</c:f>
              <c:strCache>
                <c:ptCount val="6"/>
                <c:pt idx="0">
                  <c:v>18-25岁</c:v>
                </c:pt>
                <c:pt idx="1">
                  <c:v>26-35岁</c:v>
                </c:pt>
                <c:pt idx="2">
                  <c:v>36-44岁</c:v>
                </c:pt>
                <c:pt idx="3">
                  <c:v>45-54岁</c:v>
                </c:pt>
                <c:pt idx="4">
                  <c:v>55-59岁</c:v>
                </c:pt>
                <c:pt idx="5">
                  <c:v>60岁以上</c:v>
                </c:pt>
              </c:strCache>
            </c:strRef>
          </c:cat>
          <c:val>
            <c:numRef>
              <c:f>Sheet1!$C$10:$H$10</c:f>
              <c:numCache>
                <c:formatCode>0%</c:formatCode>
                <c:ptCount val="6"/>
                <c:pt idx="0">
                  <c:v>0.10526315789473684</c:v>
                </c:pt>
                <c:pt idx="1">
                  <c:v>0.21052631578947367</c:v>
                </c:pt>
                <c:pt idx="2">
                  <c:v>0.26315789473684209</c:v>
                </c:pt>
                <c:pt idx="3">
                  <c:v>0.21052631578947367</c:v>
                </c:pt>
                <c:pt idx="4">
                  <c:v>0.15789473684210525</c:v>
                </c:pt>
                <c:pt idx="5">
                  <c:v>5.2631578947368418E-2</c:v>
                </c:pt>
              </c:numCache>
            </c:numRef>
          </c:val>
          <c:extLst xmlns:c16r2="http://schemas.microsoft.com/office/drawing/2015/06/chart">
            <c:ext xmlns:c16="http://schemas.microsoft.com/office/drawing/2014/chart" uri="{C3380CC4-5D6E-409C-BE32-E72D297353CC}">
              <c16:uniqueId val="{00000006-B314-4C59-850D-02C3F4CD4CCA}"/>
            </c:ext>
          </c:extLst>
        </c:ser>
        <c:dLbls>
          <c:showLegendKey val="0"/>
          <c:showVal val="0"/>
          <c:showCatName val="0"/>
          <c:showSerName val="0"/>
          <c:showPercent val="0"/>
          <c:showBubbleSize val="0"/>
          <c:showLeaderLines val="1"/>
        </c:dLbls>
        <c:firstSliceAng val="0"/>
      </c:pieChart>
      <c:spPr>
        <a:noFill/>
        <a:ln w="3175">
          <a:noFill/>
        </a:ln>
      </c:spPr>
    </c:plotArea>
    <c:legend>
      <c:legendPos val="r"/>
      <c:layout>
        <c:manualLayout>
          <c:xMode val="edge"/>
          <c:yMode val="edge"/>
          <c:x val="0.71129252391838105"/>
          <c:y val="0.28189869883285901"/>
          <c:w val="0.25224999999999997"/>
          <c:h val="0.64249999999999996"/>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zero"/>
    <c:showDLblsOverMax val="0"/>
  </c:chart>
  <c:txPr>
    <a:bodyPr wrap="square"/>
    <a:lstStyle/>
    <a:p>
      <a:pPr>
        <a:defRPr lang="zh-CN"/>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zh-CN" sz="1600" b="1" i="0" u="none" strike="noStrike" kern="1200" baseline="0">
              <a:solidFill>
                <a:schemeClr val="tx1"/>
              </a:solidFill>
              <a:latin typeface="+mn-lt"/>
              <a:ea typeface="+mn-ea"/>
              <a:cs typeface="+mn-cs"/>
            </a:defRPr>
          </a:pPr>
          <a:endParaRPr lang="zh-CN"/>
        </a:p>
      </c:txPr>
    </c:title>
    <c:autoTitleDeleted val="0"/>
    <c:plotArea>
      <c:layout/>
      <c:pieChart>
        <c:varyColors val="1"/>
        <c:ser>
          <c:idx val="13"/>
          <c:order val="0"/>
          <c:tx>
            <c:strRef>
              <c:f>Sheet1!$B$20</c:f>
              <c:strCache>
                <c:ptCount val="1"/>
                <c:pt idx="0">
                  <c:v>公司各年龄段占比</c:v>
                </c:pt>
              </c:strCache>
            </c:strRef>
          </c:tx>
          <c:dPt>
            <c:idx val="0"/>
            <c:bubble3D val="0"/>
            <c:extLst xmlns:c16r2="http://schemas.microsoft.com/office/drawing/2015/06/chart">
              <c:ext xmlns:c16="http://schemas.microsoft.com/office/drawing/2014/chart" uri="{C3380CC4-5D6E-409C-BE32-E72D297353CC}">
                <c16:uniqueId val="{00000000-3891-42D5-815B-4571736CCC67}"/>
              </c:ext>
            </c:extLst>
          </c:dPt>
          <c:dPt>
            <c:idx val="1"/>
            <c:bubble3D val="0"/>
            <c:extLst xmlns:c16r2="http://schemas.microsoft.com/office/drawing/2015/06/chart">
              <c:ext xmlns:c16="http://schemas.microsoft.com/office/drawing/2014/chart" uri="{C3380CC4-5D6E-409C-BE32-E72D297353CC}">
                <c16:uniqueId val="{00000001-3891-42D5-815B-4571736CCC67}"/>
              </c:ext>
            </c:extLst>
          </c:dPt>
          <c:dPt>
            <c:idx val="2"/>
            <c:bubble3D val="0"/>
            <c:extLst xmlns:c16r2="http://schemas.microsoft.com/office/drawing/2015/06/chart">
              <c:ext xmlns:c16="http://schemas.microsoft.com/office/drawing/2014/chart" uri="{C3380CC4-5D6E-409C-BE32-E72D297353CC}">
                <c16:uniqueId val="{00000002-3891-42D5-815B-4571736CCC67}"/>
              </c:ext>
            </c:extLst>
          </c:dPt>
          <c:dPt>
            <c:idx val="3"/>
            <c:bubble3D val="0"/>
            <c:extLst xmlns:c16r2="http://schemas.microsoft.com/office/drawing/2015/06/chart">
              <c:ext xmlns:c16="http://schemas.microsoft.com/office/drawing/2014/chart" uri="{C3380CC4-5D6E-409C-BE32-E72D297353CC}">
                <c16:uniqueId val="{00000003-3891-42D5-815B-4571736CCC67}"/>
              </c:ext>
            </c:extLst>
          </c:dPt>
          <c:dPt>
            <c:idx val="4"/>
            <c:bubble3D val="0"/>
            <c:extLst xmlns:c16r2="http://schemas.microsoft.com/office/drawing/2015/06/chart">
              <c:ext xmlns:c16="http://schemas.microsoft.com/office/drawing/2014/chart" uri="{C3380CC4-5D6E-409C-BE32-E72D297353CC}">
                <c16:uniqueId val="{00000004-3891-42D5-815B-4571736CCC67}"/>
              </c:ext>
            </c:extLst>
          </c:dPt>
          <c:dPt>
            <c:idx val="5"/>
            <c:bubble3D val="0"/>
            <c:extLst xmlns:c16r2="http://schemas.microsoft.com/office/drawing/2015/06/chart">
              <c:ext xmlns:c16="http://schemas.microsoft.com/office/drawing/2014/chart" uri="{C3380CC4-5D6E-409C-BE32-E72D297353CC}">
                <c16:uniqueId val="{00000005-3891-42D5-815B-4571736CCC67}"/>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leaderLines>
              <c:spPr>
                <a:ln w="9525" cap="flat" cmpd="sng" algn="ctr">
                  <a:solidFill>
                    <a:srgbClr val="000000">
                      <a:alpha val="100000"/>
                    </a:srgbClr>
                  </a:solidFill>
                  <a:prstDash val="solid"/>
                  <a:round/>
                </a:ln>
              </c:spPr>
            </c:leaderLines>
            <c:extLst xmlns:c16r2="http://schemas.microsoft.com/office/drawing/2015/06/chart">
              <c:ext xmlns:c15="http://schemas.microsoft.com/office/drawing/2012/chart" uri="{CE6537A1-D6FC-4f65-9D91-7224C49458BB}">
                <c15:layout/>
              </c:ext>
            </c:extLst>
          </c:dLbls>
          <c:cat>
            <c:strRef>
              <c:f>Sheet1!$C$6:$H$6</c:f>
              <c:strCache>
                <c:ptCount val="6"/>
                <c:pt idx="0">
                  <c:v>18-25岁</c:v>
                </c:pt>
                <c:pt idx="1">
                  <c:v>26-35岁</c:v>
                </c:pt>
                <c:pt idx="2">
                  <c:v>36-44岁</c:v>
                </c:pt>
                <c:pt idx="3">
                  <c:v>45-54岁</c:v>
                </c:pt>
                <c:pt idx="4">
                  <c:v>55-59岁</c:v>
                </c:pt>
                <c:pt idx="5">
                  <c:v>60岁以上</c:v>
                </c:pt>
              </c:strCache>
            </c:strRef>
          </c:cat>
          <c:val>
            <c:numRef>
              <c:f>Sheet1!$C$20:$H$20</c:f>
              <c:numCache>
                <c:formatCode>0%</c:formatCode>
                <c:ptCount val="6"/>
                <c:pt idx="0">
                  <c:v>0.25106382978723402</c:v>
                </c:pt>
                <c:pt idx="1">
                  <c:v>0.26382978723404255</c:v>
                </c:pt>
                <c:pt idx="2">
                  <c:v>0.22978723404255319</c:v>
                </c:pt>
                <c:pt idx="3">
                  <c:v>0.13191489361702127</c:v>
                </c:pt>
                <c:pt idx="4">
                  <c:v>8.5106382978723402E-2</c:v>
                </c:pt>
                <c:pt idx="5">
                  <c:v>3.8297872340425532E-2</c:v>
                </c:pt>
              </c:numCache>
            </c:numRef>
          </c:val>
          <c:extLst xmlns:c16r2="http://schemas.microsoft.com/office/drawing/2015/06/chart">
            <c:ext xmlns:c16="http://schemas.microsoft.com/office/drawing/2014/chart" uri="{C3380CC4-5D6E-409C-BE32-E72D297353CC}">
              <c16:uniqueId val="{00000006-3891-42D5-815B-4571736CCC67}"/>
            </c:ext>
          </c:extLst>
        </c:ser>
        <c:dLbls>
          <c:showLegendKey val="0"/>
          <c:showVal val="0"/>
          <c:showCatName val="0"/>
          <c:showSerName val="0"/>
          <c:showPercent val="0"/>
          <c:showBubbleSize val="0"/>
          <c:showLeaderLines val="1"/>
        </c:dLbls>
        <c:firstSliceAng val="0"/>
      </c:pieChart>
      <c:spPr>
        <a:noFill/>
        <a:ln w="3175">
          <a:noFill/>
        </a:ln>
      </c:spPr>
    </c:plotArea>
    <c:legend>
      <c:legendPos val="r"/>
      <c:layout>
        <c:manualLayout>
          <c:xMode val="edge"/>
          <c:yMode val="edge"/>
          <c:x val="0.74918871475470705"/>
          <c:y val="0.159098381933028"/>
          <c:w val="0.12225"/>
          <c:h val="0.75724999999999998"/>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zero"/>
    <c:showDLblsOverMax val="0"/>
  </c:chart>
  <c:spPr>
    <a:solidFill>
      <a:schemeClr val="bg2">
        <a:lumMod val="75000"/>
      </a:schemeClr>
    </a:solidFill>
  </c:spPr>
  <c:txPr>
    <a:bodyPr wrap="square"/>
    <a:lstStyle/>
    <a:p>
      <a:pPr>
        <a:defRPr lang="zh-CN"/>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title>
    <c:autoTitleDeleted val="0"/>
    <c:plotArea>
      <c:layout/>
      <c:pieChart>
        <c:varyColors val="1"/>
        <c:ser>
          <c:idx val="5"/>
          <c:order val="0"/>
          <c:tx>
            <c:strRef>
              <c:f>Sheet1!$B$12</c:f>
              <c:strCache>
                <c:ptCount val="1"/>
                <c:pt idx="0">
                  <c:v>管理基层各年龄段占比</c:v>
                </c:pt>
              </c:strCache>
            </c:strRef>
          </c:tx>
          <c:dPt>
            <c:idx val="0"/>
            <c:bubble3D val="0"/>
            <c:extLst xmlns:c16r2="http://schemas.microsoft.com/office/drawing/2015/06/chart">
              <c:ext xmlns:c16="http://schemas.microsoft.com/office/drawing/2014/chart" uri="{C3380CC4-5D6E-409C-BE32-E72D297353CC}">
                <c16:uniqueId val="{00000000-69B6-4820-922C-EFE8B5F58A26}"/>
              </c:ext>
            </c:extLst>
          </c:dPt>
          <c:dPt>
            <c:idx val="1"/>
            <c:bubble3D val="0"/>
            <c:extLst xmlns:c16r2="http://schemas.microsoft.com/office/drawing/2015/06/chart">
              <c:ext xmlns:c16="http://schemas.microsoft.com/office/drawing/2014/chart" uri="{C3380CC4-5D6E-409C-BE32-E72D297353CC}">
                <c16:uniqueId val="{00000001-69B6-4820-922C-EFE8B5F58A26}"/>
              </c:ext>
            </c:extLst>
          </c:dPt>
          <c:dPt>
            <c:idx val="2"/>
            <c:bubble3D val="0"/>
            <c:extLst xmlns:c16r2="http://schemas.microsoft.com/office/drawing/2015/06/chart">
              <c:ext xmlns:c16="http://schemas.microsoft.com/office/drawing/2014/chart" uri="{C3380CC4-5D6E-409C-BE32-E72D297353CC}">
                <c16:uniqueId val="{00000002-69B6-4820-922C-EFE8B5F58A26}"/>
              </c:ext>
            </c:extLst>
          </c:dPt>
          <c:dPt>
            <c:idx val="3"/>
            <c:bubble3D val="0"/>
            <c:extLst xmlns:c16r2="http://schemas.microsoft.com/office/drawing/2015/06/chart">
              <c:ext xmlns:c16="http://schemas.microsoft.com/office/drawing/2014/chart" uri="{C3380CC4-5D6E-409C-BE32-E72D297353CC}">
                <c16:uniqueId val="{00000003-69B6-4820-922C-EFE8B5F58A26}"/>
              </c:ext>
            </c:extLst>
          </c:dPt>
          <c:dPt>
            <c:idx val="4"/>
            <c:bubble3D val="0"/>
            <c:extLst xmlns:c16r2="http://schemas.microsoft.com/office/drawing/2015/06/chart">
              <c:ext xmlns:c16="http://schemas.microsoft.com/office/drawing/2014/chart" uri="{C3380CC4-5D6E-409C-BE32-E72D297353CC}">
                <c16:uniqueId val="{00000004-69B6-4820-922C-EFE8B5F58A26}"/>
              </c:ext>
            </c:extLst>
          </c:dPt>
          <c:dPt>
            <c:idx val="5"/>
            <c:bubble3D val="0"/>
            <c:extLst xmlns:c16r2="http://schemas.microsoft.com/office/drawing/2015/06/chart">
              <c:ext xmlns:c16="http://schemas.microsoft.com/office/drawing/2014/chart" uri="{C3380CC4-5D6E-409C-BE32-E72D297353CC}">
                <c16:uniqueId val="{00000005-69B6-4820-922C-EFE8B5F58A26}"/>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leaderLines>
              <c:spPr>
                <a:ln w="9525" cap="flat" cmpd="sng" algn="ctr">
                  <a:solidFill>
                    <a:srgbClr val="000000">
                      <a:alpha val="100000"/>
                    </a:srgbClr>
                  </a:solidFill>
                  <a:prstDash val="solid"/>
                  <a:round/>
                </a:ln>
              </c:spPr>
            </c:leaderLines>
            <c:extLst xmlns:c16r2="http://schemas.microsoft.com/office/drawing/2015/06/chart">
              <c:ext xmlns:c15="http://schemas.microsoft.com/office/drawing/2012/chart" uri="{CE6537A1-D6FC-4f65-9D91-7224C49458BB}">
                <c15:layout/>
              </c:ext>
            </c:extLst>
          </c:dLbls>
          <c:cat>
            <c:strRef>
              <c:f>Sheet1!$C$6:$H$6</c:f>
              <c:strCache>
                <c:ptCount val="6"/>
                <c:pt idx="0">
                  <c:v>18-25岁</c:v>
                </c:pt>
                <c:pt idx="1">
                  <c:v>26-35岁</c:v>
                </c:pt>
                <c:pt idx="2">
                  <c:v>36-44岁</c:v>
                </c:pt>
                <c:pt idx="3">
                  <c:v>45-54岁</c:v>
                </c:pt>
                <c:pt idx="4">
                  <c:v>55-59岁</c:v>
                </c:pt>
                <c:pt idx="5">
                  <c:v>60岁以上</c:v>
                </c:pt>
              </c:strCache>
            </c:strRef>
          </c:cat>
          <c:val>
            <c:numRef>
              <c:f>Sheet1!$C$12:$H$12</c:f>
              <c:numCache>
                <c:formatCode>0%</c:formatCode>
                <c:ptCount val="6"/>
                <c:pt idx="0">
                  <c:v>0.1875</c:v>
                </c:pt>
                <c:pt idx="1">
                  <c:v>0.3125</c:v>
                </c:pt>
                <c:pt idx="2">
                  <c:v>0.25</c:v>
                </c:pt>
                <c:pt idx="3">
                  <c:v>0.14583333333333334</c:v>
                </c:pt>
                <c:pt idx="4">
                  <c:v>6.25E-2</c:v>
                </c:pt>
                <c:pt idx="5">
                  <c:v>4.1666666666666664E-2</c:v>
                </c:pt>
              </c:numCache>
            </c:numRef>
          </c:val>
          <c:extLst xmlns:c16r2="http://schemas.microsoft.com/office/drawing/2015/06/chart">
            <c:ext xmlns:c16="http://schemas.microsoft.com/office/drawing/2014/chart" uri="{C3380CC4-5D6E-409C-BE32-E72D297353CC}">
              <c16:uniqueId val="{00000006-69B6-4820-922C-EFE8B5F58A26}"/>
            </c:ext>
          </c:extLst>
        </c:ser>
        <c:dLbls>
          <c:showLegendKey val="0"/>
          <c:showVal val="0"/>
          <c:showCatName val="0"/>
          <c:showSerName val="0"/>
          <c:showPercent val="0"/>
          <c:showBubbleSize val="0"/>
          <c:showLeaderLines val="1"/>
        </c:dLbls>
        <c:firstSliceAng val="0"/>
      </c:pieChart>
      <c:spPr>
        <a:noFill/>
        <a:ln w="3175">
          <a:noFill/>
        </a:ln>
      </c:spPr>
    </c:plotArea>
    <c:legend>
      <c:legendPos val="r"/>
      <c:layout>
        <c:manualLayout>
          <c:xMode val="edge"/>
          <c:yMode val="edge"/>
          <c:x val="0.71831953913109103"/>
          <c:y val="0.282716682886549"/>
          <c:w val="0.24975"/>
          <c:h val="0.65674999999999994"/>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zero"/>
    <c:showDLblsOverMax val="0"/>
  </c:chart>
  <c:txPr>
    <a:bodyPr wrap="square"/>
    <a:lstStyle/>
    <a:p>
      <a:pPr>
        <a:defRPr lang="zh-CN"/>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title>
    <c:autoTitleDeleted val="0"/>
    <c:plotArea>
      <c:layout/>
      <c:pieChart>
        <c:varyColors val="1"/>
        <c:ser>
          <c:idx val="7"/>
          <c:order val="0"/>
          <c:tx>
            <c:strRef>
              <c:f>Sheet1!$B$14</c:f>
              <c:strCache>
                <c:ptCount val="1"/>
                <c:pt idx="0">
                  <c:v>一般管理人员各年龄段占比</c:v>
                </c:pt>
              </c:strCache>
            </c:strRef>
          </c:tx>
          <c:dPt>
            <c:idx val="0"/>
            <c:bubble3D val="0"/>
            <c:extLst xmlns:c16r2="http://schemas.microsoft.com/office/drawing/2015/06/chart">
              <c:ext xmlns:c16="http://schemas.microsoft.com/office/drawing/2014/chart" uri="{C3380CC4-5D6E-409C-BE32-E72D297353CC}">
                <c16:uniqueId val="{00000000-D053-43BD-92CB-82D47141E2BC}"/>
              </c:ext>
            </c:extLst>
          </c:dPt>
          <c:dPt>
            <c:idx val="1"/>
            <c:bubble3D val="0"/>
            <c:extLst xmlns:c16r2="http://schemas.microsoft.com/office/drawing/2015/06/chart">
              <c:ext xmlns:c16="http://schemas.microsoft.com/office/drawing/2014/chart" uri="{C3380CC4-5D6E-409C-BE32-E72D297353CC}">
                <c16:uniqueId val="{00000001-D053-43BD-92CB-82D47141E2BC}"/>
              </c:ext>
            </c:extLst>
          </c:dPt>
          <c:dPt>
            <c:idx val="2"/>
            <c:bubble3D val="0"/>
            <c:extLst xmlns:c16r2="http://schemas.microsoft.com/office/drawing/2015/06/chart">
              <c:ext xmlns:c16="http://schemas.microsoft.com/office/drawing/2014/chart" uri="{C3380CC4-5D6E-409C-BE32-E72D297353CC}">
                <c16:uniqueId val="{00000002-D053-43BD-92CB-82D47141E2BC}"/>
              </c:ext>
            </c:extLst>
          </c:dPt>
          <c:dPt>
            <c:idx val="3"/>
            <c:bubble3D val="0"/>
            <c:extLst xmlns:c16r2="http://schemas.microsoft.com/office/drawing/2015/06/chart">
              <c:ext xmlns:c16="http://schemas.microsoft.com/office/drawing/2014/chart" uri="{C3380CC4-5D6E-409C-BE32-E72D297353CC}">
                <c16:uniqueId val="{00000003-D053-43BD-92CB-82D47141E2BC}"/>
              </c:ext>
            </c:extLst>
          </c:dPt>
          <c:dPt>
            <c:idx val="4"/>
            <c:bubble3D val="0"/>
            <c:extLst xmlns:c16r2="http://schemas.microsoft.com/office/drawing/2015/06/chart">
              <c:ext xmlns:c16="http://schemas.microsoft.com/office/drawing/2014/chart" uri="{C3380CC4-5D6E-409C-BE32-E72D297353CC}">
                <c16:uniqueId val="{00000004-D053-43BD-92CB-82D47141E2BC}"/>
              </c:ext>
            </c:extLst>
          </c:dPt>
          <c:dPt>
            <c:idx val="5"/>
            <c:bubble3D val="0"/>
            <c:extLst xmlns:c16r2="http://schemas.microsoft.com/office/drawing/2015/06/chart">
              <c:ext xmlns:c16="http://schemas.microsoft.com/office/drawing/2014/chart" uri="{C3380CC4-5D6E-409C-BE32-E72D297353CC}">
                <c16:uniqueId val="{00000005-D053-43BD-92CB-82D47141E2BC}"/>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leaderLines>
              <c:spPr>
                <a:ln w="9525" cap="flat" cmpd="sng" algn="ctr">
                  <a:solidFill>
                    <a:srgbClr val="000000">
                      <a:alpha val="100000"/>
                    </a:srgbClr>
                  </a:solidFill>
                  <a:prstDash val="solid"/>
                  <a:round/>
                </a:ln>
              </c:spPr>
            </c:leaderLines>
            <c:extLst xmlns:c16r2="http://schemas.microsoft.com/office/drawing/2015/06/chart">
              <c:ext xmlns:c15="http://schemas.microsoft.com/office/drawing/2012/chart" uri="{CE6537A1-D6FC-4f65-9D91-7224C49458BB}">
                <c15:layout/>
              </c:ext>
            </c:extLst>
          </c:dLbls>
          <c:cat>
            <c:strRef>
              <c:f>Sheet1!$C$6:$H$6</c:f>
              <c:strCache>
                <c:ptCount val="6"/>
                <c:pt idx="0">
                  <c:v>18-25岁</c:v>
                </c:pt>
                <c:pt idx="1">
                  <c:v>26-35岁</c:v>
                </c:pt>
                <c:pt idx="2">
                  <c:v>36-44岁</c:v>
                </c:pt>
                <c:pt idx="3">
                  <c:v>45-54岁</c:v>
                </c:pt>
                <c:pt idx="4">
                  <c:v>55-59岁</c:v>
                </c:pt>
                <c:pt idx="5">
                  <c:v>60岁以上</c:v>
                </c:pt>
              </c:strCache>
            </c:strRef>
          </c:cat>
          <c:val>
            <c:numRef>
              <c:f>Sheet1!$C$14:$H$14</c:f>
              <c:numCache>
                <c:formatCode>0%</c:formatCode>
                <c:ptCount val="6"/>
                <c:pt idx="0">
                  <c:v>0.30769230769230771</c:v>
                </c:pt>
                <c:pt idx="1">
                  <c:v>0.23076923076923078</c:v>
                </c:pt>
                <c:pt idx="2">
                  <c:v>0.24615384615384617</c:v>
                </c:pt>
                <c:pt idx="3">
                  <c:v>0.1076923076923077</c:v>
                </c:pt>
                <c:pt idx="4">
                  <c:v>7.6923076923076927E-2</c:v>
                </c:pt>
                <c:pt idx="5">
                  <c:v>3.0769230769230771E-2</c:v>
                </c:pt>
              </c:numCache>
            </c:numRef>
          </c:val>
          <c:extLst xmlns:c16r2="http://schemas.microsoft.com/office/drawing/2015/06/chart">
            <c:ext xmlns:c16="http://schemas.microsoft.com/office/drawing/2014/chart" uri="{C3380CC4-5D6E-409C-BE32-E72D297353CC}">
              <c16:uniqueId val="{00000006-D053-43BD-92CB-82D47141E2BC}"/>
            </c:ext>
          </c:extLst>
        </c:ser>
        <c:dLbls>
          <c:showLegendKey val="0"/>
          <c:showVal val="0"/>
          <c:showCatName val="0"/>
          <c:showSerName val="0"/>
          <c:showPercent val="0"/>
          <c:showBubbleSize val="0"/>
          <c:showLeaderLines val="1"/>
        </c:dLbls>
        <c:firstSliceAng val="0"/>
      </c:pieChart>
      <c:spPr>
        <a:noFill/>
        <a:ln w="3175">
          <a:noFill/>
        </a:ln>
      </c:spPr>
    </c:plotArea>
    <c:legend>
      <c:legendPos val="r"/>
      <c:layout>
        <c:manualLayout>
          <c:xMode val="edge"/>
          <c:yMode val="edge"/>
          <c:x val="0.72240481303473403"/>
          <c:y val="0.23769956932179101"/>
          <c:w val="0.25424999999999998"/>
          <c:h val="0.65125"/>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zero"/>
    <c:showDLblsOverMax val="0"/>
  </c:chart>
  <c:txPr>
    <a:bodyPr wrap="square"/>
    <a:lstStyle/>
    <a:p>
      <a:pPr>
        <a:defRPr lang="zh-CN"/>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title>
    <c:autoTitleDeleted val="0"/>
    <c:plotArea>
      <c:layout/>
      <c:pieChart>
        <c:varyColors val="1"/>
        <c:ser>
          <c:idx val="9"/>
          <c:order val="0"/>
          <c:tx>
            <c:strRef>
              <c:f>Sheet1!$B$16</c:f>
              <c:strCache>
                <c:ptCount val="1"/>
                <c:pt idx="0">
                  <c:v>操作工各年龄段占比</c:v>
                </c:pt>
              </c:strCache>
            </c:strRef>
          </c:tx>
          <c:dPt>
            <c:idx val="0"/>
            <c:bubble3D val="0"/>
            <c:extLst xmlns:c16r2="http://schemas.microsoft.com/office/drawing/2015/06/chart">
              <c:ext xmlns:c16="http://schemas.microsoft.com/office/drawing/2014/chart" uri="{C3380CC4-5D6E-409C-BE32-E72D297353CC}">
                <c16:uniqueId val="{00000000-2848-48D4-ACE5-4B962408B5C1}"/>
              </c:ext>
            </c:extLst>
          </c:dPt>
          <c:dPt>
            <c:idx val="1"/>
            <c:bubble3D val="0"/>
            <c:extLst xmlns:c16r2="http://schemas.microsoft.com/office/drawing/2015/06/chart">
              <c:ext xmlns:c16="http://schemas.microsoft.com/office/drawing/2014/chart" uri="{C3380CC4-5D6E-409C-BE32-E72D297353CC}">
                <c16:uniqueId val="{00000001-2848-48D4-ACE5-4B962408B5C1}"/>
              </c:ext>
            </c:extLst>
          </c:dPt>
          <c:dPt>
            <c:idx val="2"/>
            <c:bubble3D val="0"/>
            <c:extLst xmlns:c16r2="http://schemas.microsoft.com/office/drawing/2015/06/chart">
              <c:ext xmlns:c16="http://schemas.microsoft.com/office/drawing/2014/chart" uri="{C3380CC4-5D6E-409C-BE32-E72D297353CC}">
                <c16:uniqueId val="{00000002-2848-48D4-ACE5-4B962408B5C1}"/>
              </c:ext>
            </c:extLst>
          </c:dPt>
          <c:dPt>
            <c:idx val="3"/>
            <c:bubble3D val="0"/>
            <c:extLst xmlns:c16r2="http://schemas.microsoft.com/office/drawing/2015/06/chart">
              <c:ext xmlns:c16="http://schemas.microsoft.com/office/drawing/2014/chart" uri="{C3380CC4-5D6E-409C-BE32-E72D297353CC}">
                <c16:uniqueId val="{00000003-2848-48D4-ACE5-4B962408B5C1}"/>
              </c:ext>
            </c:extLst>
          </c:dPt>
          <c:dPt>
            <c:idx val="4"/>
            <c:bubble3D val="0"/>
            <c:extLst xmlns:c16r2="http://schemas.microsoft.com/office/drawing/2015/06/chart">
              <c:ext xmlns:c16="http://schemas.microsoft.com/office/drawing/2014/chart" uri="{C3380CC4-5D6E-409C-BE32-E72D297353CC}">
                <c16:uniqueId val="{00000004-2848-48D4-ACE5-4B962408B5C1}"/>
              </c:ext>
            </c:extLst>
          </c:dPt>
          <c:dPt>
            <c:idx val="5"/>
            <c:bubble3D val="0"/>
            <c:extLst xmlns:c16r2="http://schemas.microsoft.com/office/drawing/2015/06/chart">
              <c:ext xmlns:c16="http://schemas.microsoft.com/office/drawing/2014/chart" uri="{C3380CC4-5D6E-409C-BE32-E72D297353CC}">
                <c16:uniqueId val="{00000005-2848-48D4-ACE5-4B962408B5C1}"/>
              </c:ext>
            </c:extLst>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estFit"/>
            <c:showLegendKey val="0"/>
            <c:showVal val="1"/>
            <c:showCatName val="0"/>
            <c:showSerName val="0"/>
            <c:showPercent val="0"/>
            <c:showBubbleSize val="0"/>
            <c:showLeaderLines val="1"/>
            <c:leaderLines>
              <c:spPr>
                <a:ln w="9525" cap="flat" cmpd="sng" algn="ctr">
                  <a:solidFill>
                    <a:srgbClr val="000000">
                      <a:alpha val="100000"/>
                    </a:srgbClr>
                  </a:solidFill>
                  <a:prstDash val="solid"/>
                  <a:round/>
                </a:ln>
              </c:spPr>
            </c:leaderLines>
            <c:extLst xmlns:c16r2="http://schemas.microsoft.com/office/drawing/2015/06/chart">
              <c:ext xmlns:c15="http://schemas.microsoft.com/office/drawing/2012/chart" uri="{CE6537A1-D6FC-4f65-9D91-7224C49458BB}">
                <c15:layout/>
              </c:ext>
            </c:extLst>
          </c:dLbls>
          <c:cat>
            <c:strRef>
              <c:f>Sheet1!$C$6:$H$6</c:f>
              <c:strCache>
                <c:ptCount val="6"/>
                <c:pt idx="0">
                  <c:v>18-25岁</c:v>
                </c:pt>
                <c:pt idx="1">
                  <c:v>26-35岁</c:v>
                </c:pt>
                <c:pt idx="2">
                  <c:v>36-44岁</c:v>
                </c:pt>
                <c:pt idx="3">
                  <c:v>45-54岁</c:v>
                </c:pt>
                <c:pt idx="4">
                  <c:v>55-59岁</c:v>
                </c:pt>
                <c:pt idx="5">
                  <c:v>60岁以上</c:v>
                </c:pt>
              </c:strCache>
            </c:strRef>
          </c:cat>
          <c:val>
            <c:numRef>
              <c:f>Sheet1!$C$16:$H$16</c:f>
              <c:numCache>
                <c:formatCode>0%</c:formatCode>
                <c:ptCount val="6"/>
                <c:pt idx="0">
                  <c:v>0.34482758620689657</c:v>
                </c:pt>
                <c:pt idx="1">
                  <c:v>0.31034482758620691</c:v>
                </c:pt>
                <c:pt idx="2">
                  <c:v>0.17241379310344829</c:v>
                </c:pt>
                <c:pt idx="3">
                  <c:v>8.6206896551724144E-2</c:v>
                </c:pt>
                <c:pt idx="4">
                  <c:v>5.1724137931034482E-2</c:v>
                </c:pt>
                <c:pt idx="5">
                  <c:v>3.4482758620689655E-2</c:v>
                </c:pt>
              </c:numCache>
            </c:numRef>
          </c:val>
          <c:extLst xmlns:c16r2="http://schemas.microsoft.com/office/drawing/2015/06/chart">
            <c:ext xmlns:c16="http://schemas.microsoft.com/office/drawing/2014/chart" uri="{C3380CC4-5D6E-409C-BE32-E72D297353CC}">
              <c16:uniqueId val="{00000006-2848-48D4-ACE5-4B962408B5C1}"/>
            </c:ext>
          </c:extLst>
        </c:ser>
        <c:dLbls>
          <c:showLegendKey val="0"/>
          <c:showVal val="0"/>
          <c:showCatName val="0"/>
          <c:showSerName val="0"/>
          <c:showPercent val="0"/>
          <c:showBubbleSize val="0"/>
          <c:showLeaderLines val="1"/>
        </c:dLbls>
        <c:firstSliceAng val="0"/>
      </c:pieChart>
      <c:spPr>
        <a:noFill/>
        <a:ln w="3175">
          <a:noFill/>
        </a:ln>
      </c:spPr>
    </c:plotArea>
    <c:legend>
      <c:legendPos val="r"/>
      <c:layout>
        <c:manualLayout>
          <c:xMode val="edge"/>
          <c:yMode val="edge"/>
          <c:x val="0.71164237803607899"/>
          <c:y val="0.23947803134777601"/>
          <c:w val="0.24825"/>
          <c:h val="0.64875000000000005"/>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zero"/>
    <c:showDLblsOverMax val="0"/>
  </c:chart>
  <c:txPr>
    <a:bodyPr wrap="square"/>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Scale="122"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zoomScale="12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0" y="0"/>
    <xdr:ext cx="9306393" cy="6081947"/>
    <xdr:graphicFrame macro="">
      <xdr:nvGraphicFramePr>
        <xdr:cNvPr id="2" name="图表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6393" cy="6081947"/>
    <xdr:graphicFrame macro="">
      <xdr:nvGraphicFramePr>
        <xdr:cNvPr id="2" name="图表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8</xdr:col>
      <xdr:colOff>228600</xdr:colOff>
      <xdr:row>9</xdr:row>
      <xdr:rowOff>10160</xdr:rowOff>
    </xdr:from>
    <xdr:to>
      <xdr:col>12</xdr:col>
      <xdr:colOff>438150</xdr:colOff>
      <xdr:row>13</xdr:row>
      <xdr:rowOff>75565</xdr:rowOff>
    </xdr:to>
    <xdr:graphicFrame macro="">
      <xdr:nvGraphicFramePr>
        <xdr:cNvPr id="1090"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485775</xdr:colOff>
      <xdr:row>9</xdr:row>
      <xdr:rowOff>0</xdr:rowOff>
    </xdr:from>
    <xdr:to>
      <xdr:col>17</xdr:col>
      <xdr:colOff>9525</xdr:colOff>
      <xdr:row>13</xdr:row>
      <xdr:rowOff>75565</xdr:rowOff>
    </xdr:to>
    <xdr:graphicFrame macro="">
      <xdr:nvGraphicFramePr>
        <xdr:cNvPr id="1091" name="图表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238125</xdr:colOff>
      <xdr:row>4</xdr:row>
      <xdr:rowOff>28575</xdr:rowOff>
    </xdr:from>
    <xdr:to>
      <xdr:col>16</xdr:col>
      <xdr:colOff>676275</xdr:colOff>
      <xdr:row>8</xdr:row>
      <xdr:rowOff>390525</xdr:rowOff>
    </xdr:to>
    <xdr:graphicFrame macro="">
      <xdr:nvGraphicFramePr>
        <xdr:cNvPr id="1092"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209550</xdr:colOff>
      <xdr:row>13</xdr:row>
      <xdr:rowOff>199390</xdr:rowOff>
    </xdr:from>
    <xdr:to>
      <xdr:col>12</xdr:col>
      <xdr:colOff>447675</xdr:colOff>
      <xdr:row>17</xdr:row>
      <xdr:rowOff>180975</xdr:rowOff>
    </xdr:to>
    <xdr:graphicFrame macro="">
      <xdr:nvGraphicFramePr>
        <xdr:cNvPr id="1093" name="图表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514350</xdr:colOff>
      <xdr:row>13</xdr:row>
      <xdr:rowOff>180975</xdr:rowOff>
    </xdr:from>
    <xdr:to>
      <xdr:col>17</xdr:col>
      <xdr:colOff>19050</xdr:colOff>
      <xdr:row>17</xdr:row>
      <xdr:rowOff>191135</xdr:rowOff>
    </xdr:to>
    <xdr:graphicFrame macro="">
      <xdr:nvGraphicFramePr>
        <xdr:cNvPr id="1094"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200025</xdr:colOff>
      <xdr:row>17</xdr:row>
      <xdr:rowOff>238125</xdr:rowOff>
    </xdr:from>
    <xdr:to>
      <xdr:col>12</xdr:col>
      <xdr:colOff>457200</xdr:colOff>
      <xdr:row>20</xdr:row>
      <xdr:rowOff>8255</xdr:rowOff>
    </xdr:to>
    <xdr:graphicFrame macro="">
      <xdr:nvGraphicFramePr>
        <xdr:cNvPr id="1095" name="图表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105410</xdr:colOff>
      <xdr:row>1</xdr:row>
      <xdr:rowOff>75565</xdr:rowOff>
    </xdr:from>
    <xdr:to>
      <xdr:col>1</xdr:col>
      <xdr:colOff>591185</xdr:colOff>
      <xdr:row>1</xdr:row>
      <xdr:rowOff>504825</xdr:rowOff>
    </xdr:to>
    <xdr:pic>
      <xdr:nvPicPr>
        <xdr:cNvPr id="1096" name="图片 1" descr="d:\我的文档\桌面\80294.png"/>
        <xdr:cNvPicPr>
          <a:picLocks noChangeAspect="1"/>
        </xdr:cNvPicPr>
      </xdr:nvPicPr>
      <xdr:blipFill>
        <a:blip xmlns:r="http://schemas.openxmlformats.org/officeDocument/2006/relationships" r:embed="rId7">
          <a:grayscl/>
        </a:blip>
        <a:stretch>
          <a:fillRect/>
        </a:stretch>
      </xdr:blipFill>
      <xdr:spPr>
        <a:xfrm>
          <a:off x="791210" y="247015"/>
          <a:ext cx="485775" cy="42926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22"/>
  <sheetViews>
    <sheetView showGridLines="0" tabSelected="1" zoomScale="85" zoomScaleNormal="85" workbookViewId="0">
      <selection activeCell="AD11" sqref="AD11"/>
    </sheetView>
  </sheetViews>
  <sheetFormatPr defaultColWidth="9" defaultRowHeight="13.5" x14ac:dyDescent="0.15"/>
  <cols>
    <col min="2" max="2" width="12.625" style="1" customWidth="1"/>
    <col min="3" max="8" width="6.125" customWidth="1"/>
  </cols>
  <sheetData>
    <row r="2" spans="2:17" ht="43.5" customHeight="1" x14ac:dyDescent="0.15">
      <c r="B2" s="13" t="s">
        <v>23</v>
      </c>
      <c r="C2" s="13"/>
      <c r="D2" s="13"/>
      <c r="E2" s="13"/>
      <c r="F2" s="13"/>
      <c r="G2" s="13"/>
      <c r="H2" s="13"/>
      <c r="I2" s="13"/>
      <c r="J2" s="13"/>
      <c r="K2" s="13"/>
      <c r="L2" s="13"/>
      <c r="M2" s="13"/>
      <c r="N2" s="13"/>
      <c r="O2" s="13"/>
      <c r="P2" s="13"/>
      <c r="Q2" s="13"/>
    </row>
    <row r="3" spans="2:17" ht="27" customHeight="1" x14ac:dyDescent="0.15">
      <c r="B3" s="14" t="s">
        <v>0</v>
      </c>
      <c r="C3" s="14"/>
      <c r="D3" s="14"/>
      <c r="E3" s="14"/>
      <c r="F3" s="14"/>
      <c r="G3" s="14"/>
      <c r="H3" s="14"/>
      <c r="I3" s="14"/>
      <c r="J3" s="14"/>
      <c r="K3" s="14"/>
      <c r="L3" s="14"/>
      <c r="M3" s="14"/>
      <c r="N3" s="14"/>
      <c r="O3" s="14"/>
      <c r="P3" s="14"/>
      <c r="Q3" s="14"/>
    </row>
    <row r="4" spans="2:17" ht="43.5" customHeight="1" x14ac:dyDescent="0.15">
      <c r="B4" s="15" t="s">
        <v>1</v>
      </c>
      <c r="C4" s="15"/>
      <c r="D4" s="15"/>
      <c r="E4" s="15"/>
      <c r="F4" s="15"/>
      <c r="G4" s="15"/>
      <c r="H4" s="15"/>
      <c r="I4" s="15"/>
      <c r="J4" s="15"/>
      <c r="K4" s="15"/>
      <c r="L4" s="15"/>
      <c r="M4" s="15"/>
      <c r="N4" s="15"/>
      <c r="O4" s="15"/>
      <c r="P4" s="15"/>
      <c r="Q4" s="15"/>
    </row>
    <row r="5" spans="2:17" x14ac:dyDescent="0.15">
      <c r="B5" s="2"/>
      <c r="C5" s="16" t="s">
        <v>2</v>
      </c>
      <c r="D5" s="16"/>
      <c r="E5" s="16"/>
      <c r="F5" s="16"/>
      <c r="G5" s="16"/>
      <c r="H5" s="16"/>
    </row>
    <row r="6" spans="2:17" ht="27" customHeight="1" x14ac:dyDescent="0.15">
      <c r="B6" s="3" t="s">
        <v>3</v>
      </c>
      <c r="C6" s="4" t="s">
        <v>4</v>
      </c>
      <c r="D6" s="4" t="s">
        <v>5</v>
      </c>
      <c r="E6" s="4" t="s">
        <v>6</v>
      </c>
      <c r="F6" s="4" t="s">
        <v>7</v>
      </c>
      <c r="G6" s="4" t="s">
        <v>8</v>
      </c>
      <c r="H6" s="4" t="s">
        <v>9</v>
      </c>
    </row>
    <row r="7" spans="2:17" ht="33.75" customHeight="1" x14ac:dyDescent="0.15">
      <c r="B7" s="5" t="s">
        <v>10</v>
      </c>
      <c r="C7" s="6">
        <v>0</v>
      </c>
      <c r="D7" s="6">
        <v>1</v>
      </c>
      <c r="E7" s="6">
        <v>2</v>
      </c>
      <c r="F7" s="6">
        <v>1</v>
      </c>
      <c r="G7" s="6">
        <v>1</v>
      </c>
      <c r="H7" s="6">
        <v>0</v>
      </c>
    </row>
    <row r="8" spans="2:17" ht="33.75" customHeight="1" x14ac:dyDescent="0.15">
      <c r="B8" s="5" t="s">
        <v>11</v>
      </c>
      <c r="C8" s="7">
        <f t="shared" ref="C8:H8" si="0">C7/SUM($C7:$H7)</f>
        <v>0</v>
      </c>
      <c r="D8" s="7">
        <f t="shared" si="0"/>
        <v>0.2</v>
      </c>
      <c r="E8" s="7">
        <f t="shared" si="0"/>
        <v>0.4</v>
      </c>
      <c r="F8" s="7">
        <f t="shared" si="0"/>
        <v>0.2</v>
      </c>
      <c r="G8" s="7">
        <f t="shared" si="0"/>
        <v>0.2</v>
      </c>
      <c r="H8" s="7">
        <f t="shared" si="0"/>
        <v>0</v>
      </c>
    </row>
    <row r="9" spans="2:17" ht="33.75" customHeight="1" x14ac:dyDescent="0.15">
      <c r="B9" s="5" t="s">
        <v>12</v>
      </c>
      <c r="C9" s="6">
        <v>4</v>
      </c>
      <c r="D9" s="6">
        <v>8</v>
      </c>
      <c r="E9" s="6">
        <v>10</v>
      </c>
      <c r="F9" s="6">
        <v>8</v>
      </c>
      <c r="G9" s="6">
        <v>6</v>
      </c>
      <c r="H9" s="6">
        <v>2</v>
      </c>
    </row>
    <row r="10" spans="2:17" ht="33.75" customHeight="1" x14ac:dyDescent="0.15">
      <c r="B10" s="5" t="s">
        <v>13</v>
      </c>
      <c r="C10" s="7">
        <f t="shared" ref="C10:H10" si="1">C9/SUM($C9:$H9)</f>
        <v>0.10526315789473684</v>
      </c>
      <c r="D10" s="7">
        <f t="shared" si="1"/>
        <v>0.21052631578947367</v>
      </c>
      <c r="E10" s="7">
        <f t="shared" si="1"/>
        <v>0.26315789473684209</v>
      </c>
      <c r="F10" s="7">
        <f t="shared" si="1"/>
        <v>0.21052631578947367</v>
      </c>
      <c r="G10" s="7">
        <f t="shared" si="1"/>
        <v>0.15789473684210525</v>
      </c>
      <c r="H10" s="7">
        <f t="shared" si="1"/>
        <v>5.2631578947368418E-2</v>
      </c>
    </row>
    <row r="11" spans="2:17" ht="33.75" customHeight="1" x14ac:dyDescent="0.15">
      <c r="B11" s="5" t="s">
        <v>14</v>
      </c>
      <c r="C11" s="6">
        <v>9</v>
      </c>
      <c r="D11" s="6">
        <v>15</v>
      </c>
      <c r="E11" s="6">
        <v>12</v>
      </c>
      <c r="F11" s="6">
        <v>7</v>
      </c>
      <c r="G11" s="6">
        <v>3</v>
      </c>
      <c r="H11" s="6">
        <v>2</v>
      </c>
    </row>
    <row r="12" spans="2:17" ht="33.75" customHeight="1" x14ac:dyDescent="0.15">
      <c r="B12" s="5" t="s">
        <v>15</v>
      </c>
      <c r="C12" s="7">
        <f t="shared" ref="C12:H12" si="2">C11/SUM($C11:$H11)</f>
        <v>0.1875</v>
      </c>
      <c r="D12" s="7">
        <f t="shared" si="2"/>
        <v>0.3125</v>
      </c>
      <c r="E12" s="7">
        <f t="shared" si="2"/>
        <v>0.25</v>
      </c>
      <c r="F12" s="7">
        <f t="shared" si="2"/>
        <v>0.14583333333333334</v>
      </c>
      <c r="G12" s="7">
        <f t="shared" si="2"/>
        <v>6.25E-2</v>
      </c>
      <c r="H12" s="7">
        <f t="shared" si="2"/>
        <v>4.1666666666666664E-2</v>
      </c>
    </row>
    <row r="13" spans="2:17" ht="33.75" customHeight="1" x14ac:dyDescent="0.15">
      <c r="B13" s="5" t="s">
        <v>16</v>
      </c>
      <c r="C13" s="6">
        <v>20</v>
      </c>
      <c r="D13" s="6">
        <v>15</v>
      </c>
      <c r="E13" s="6">
        <v>16</v>
      </c>
      <c r="F13" s="6">
        <v>7</v>
      </c>
      <c r="G13" s="6">
        <v>5</v>
      </c>
      <c r="H13" s="6">
        <v>2</v>
      </c>
    </row>
    <row r="14" spans="2:17" ht="33.75" customHeight="1" x14ac:dyDescent="0.15">
      <c r="B14" s="5" t="s">
        <v>17</v>
      </c>
      <c r="C14" s="7">
        <f t="shared" ref="C14:H14" si="3">C13/SUM($C13:$H13)</f>
        <v>0.30769230769230771</v>
      </c>
      <c r="D14" s="7">
        <f t="shared" si="3"/>
        <v>0.23076923076923078</v>
      </c>
      <c r="E14" s="7">
        <f t="shared" si="3"/>
        <v>0.24615384615384617</v>
      </c>
      <c r="F14" s="7">
        <f t="shared" si="3"/>
        <v>0.1076923076923077</v>
      </c>
      <c r="G14" s="7">
        <f t="shared" si="3"/>
        <v>7.6923076923076927E-2</v>
      </c>
      <c r="H14" s="7">
        <f t="shared" si="3"/>
        <v>3.0769230769230771E-2</v>
      </c>
    </row>
    <row r="15" spans="2:17" ht="33.75" customHeight="1" x14ac:dyDescent="0.15">
      <c r="B15" s="5" t="s">
        <v>18</v>
      </c>
      <c r="C15" s="6">
        <v>20</v>
      </c>
      <c r="D15" s="6">
        <v>18</v>
      </c>
      <c r="E15" s="6">
        <v>10</v>
      </c>
      <c r="F15" s="6">
        <v>5</v>
      </c>
      <c r="G15" s="6">
        <v>3</v>
      </c>
      <c r="H15" s="6">
        <v>2</v>
      </c>
    </row>
    <row r="16" spans="2:17" ht="33.75" customHeight="1" x14ac:dyDescent="0.15">
      <c r="B16" s="5" t="s">
        <v>19</v>
      </c>
      <c r="C16" s="7">
        <f t="shared" ref="C16:H16" si="4">C15/SUM($C15:$H15)</f>
        <v>0.34482758620689657</v>
      </c>
      <c r="D16" s="7">
        <f t="shared" si="4"/>
        <v>0.31034482758620691</v>
      </c>
      <c r="E16" s="7">
        <f t="shared" si="4"/>
        <v>0.17241379310344829</v>
      </c>
      <c r="F16" s="7">
        <f t="shared" si="4"/>
        <v>8.6206896551724144E-2</v>
      </c>
      <c r="G16" s="7">
        <f t="shared" si="4"/>
        <v>5.1724137931034482E-2</v>
      </c>
      <c r="H16" s="7">
        <f t="shared" si="4"/>
        <v>3.4482758620689655E-2</v>
      </c>
    </row>
    <row r="17" spans="2:17" ht="33.75" customHeight="1" x14ac:dyDescent="0.15">
      <c r="B17" s="5" t="s">
        <v>20</v>
      </c>
      <c r="C17" s="6">
        <v>6</v>
      </c>
      <c r="D17" s="6">
        <v>5</v>
      </c>
      <c r="E17" s="6">
        <v>4</v>
      </c>
      <c r="F17" s="6">
        <v>3</v>
      </c>
      <c r="G17" s="6">
        <v>2</v>
      </c>
      <c r="H17" s="6">
        <v>1</v>
      </c>
    </row>
    <row r="18" spans="2:17" ht="33.75" customHeight="1" x14ac:dyDescent="0.15">
      <c r="B18" s="5" t="s">
        <v>20</v>
      </c>
      <c r="C18" s="7">
        <f t="shared" ref="C18:H18" si="5">C17/SUM($C17:$H17)</f>
        <v>0.2857142857142857</v>
      </c>
      <c r="D18" s="7">
        <f t="shared" si="5"/>
        <v>0.23809523809523808</v>
      </c>
      <c r="E18" s="7">
        <f t="shared" si="5"/>
        <v>0.19047619047619047</v>
      </c>
      <c r="F18" s="7">
        <f t="shared" si="5"/>
        <v>0.14285714285714285</v>
      </c>
      <c r="G18" s="7">
        <f t="shared" si="5"/>
        <v>9.5238095238095233E-2</v>
      </c>
      <c r="H18" s="7">
        <f t="shared" si="5"/>
        <v>4.7619047619047616E-2</v>
      </c>
    </row>
    <row r="19" spans="2:17" ht="58.5" customHeight="1" x14ac:dyDescent="0.15">
      <c r="B19" s="8" t="s">
        <v>21</v>
      </c>
      <c r="C19" s="9">
        <f t="shared" ref="C19:H19" si="6">C7+C9+C11+C13+C15+C17</f>
        <v>59</v>
      </c>
      <c r="D19" s="9">
        <f t="shared" si="6"/>
        <v>62</v>
      </c>
      <c r="E19" s="9">
        <f t="shared" si="6"/>
        <v>54</v>
      </c>
      <c r="F19" s="9">
        <f t="shared" si="6"/>
        <v>31</v>
      </c>
      <c r="G19" s="9">
        <f t="shared" si="6"/>
        <v>20</v>
      </c>
      <c r="H19" s="9">
        <f t="shared" si="6"/>
        <v>9</v>
      </c>
    </row>
    <row r="20" spans="2:17" ht="58.5" customHeight="1" x14ac:dyDescent="0.15">
      <c r="B20" s="8" t="s">
        <v>22</v>
      </c>
      <c r="C20" s="10">
        <f t="shared" ref="C20:H20" si="7">C19/SUM($C19:$H19)</f>
        <v>0.25106382978723402</v>
      </c>
      <c r="D20" s="10">
        <f t="shared" si="7"/>
        <v>0.26382978723404255</v>
      </c>
      <c r="E20" s="10">
        <f t="shared" si="7"/>
        <v>0.22978723404255319</v>
      </c>
      <c r="F20" s="10">
        <f t="shared" si="7"/>
        <v>0.13191489361702127</v>
      </c>
      <c r="G20" s="10">
        <f t="shared" si="7"/>
        <v>8.5106382978723402E-2</v>
      </c>
      <c r="H20" s="10">
        <f t="shared" si="7"/>
        <v>3.8297872340425532E-2</v>
      </c>
    </row>
    <row r="22" spans="2:17" ht="52.5" customHeight="1" x14ac:dyDescent="0.15">
      <c r="K22" s="17"/>
      <c r="L22" s="17"/>
      <c r="M22" s="17"/>
      <c r="N22" s="11"/>
      <c r="O22" s="12"/>
      <c r="P22" s="12"/>
      <c r="Q22" s="12"/>
    </row>
  </sheetData>
  <mergeCells count="5">
    <mergeCell ref="B2:Q2"/>
    <mergeCell ref="B3:Q3"/>
    <mergeCell ref="B4:Q4"/>
    <mergeCell ref="C5:H5"/>
    <mergeCell ref="K22:M22"/>
  </mergeCells>
  <phoneticPr fontId="10" type="noConversion"/>
  <pageMargins left="0.69930555555555596" right="0.69930555555555596" top="0.75" bottom="0.75" header="0.3" footer="0.3"/>
  <pageSetup paperSize="9" orientation="landscape" horizontalDpi="2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图表</vt:lpstr>
      </vt:variant>
      <vt:variant>
        <vt:i4>2</vt:i4>
      </vt:variant>
    </vt:vector>
  </HeadingPairs>
  <TitlesOfParts>
    <vt:vector size="3" baseType="lpstr">
      <vt:lpstr>Sheet1</vt:lpstr>
      <vt:lpstr>Chart2</vt:lpstr>
      <vt:lpstr>Chart1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Client</cp:lastModifiedBy>
  <cp:revision>1</cp:revision>
  <dcterms:created xsi:type="dcterms:W3CDTF">2006-09-13T11:21:51Z</dcterms:created>
  <dcterms:modified xsi:type="dcterms:W3CDTF">2019-05-14T08:25:28Z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2052-10.1.0.6466</vt:lpwstr>
  </property>
</Properties>
</file>